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tricsdecisions-my.sharepoint.com/personal/azongo_metric-decision_com/Documents/INS/CAE/Banque de données travailleurs/Data/Solde/"/>
    </mc:Choice>
  </mc:AlternateContent>
  <xr:revisionPtr revIDLastSave="1" documentId="11_6819463BC860AE84E3CF86F449FF08BE1374314B" xr6:coauthVersionLast="47" xr6:coauthVersionMax="47" xr10:uidLastSave="{C3AC0F6F-1887-4159-82F1-F550561D0529}"/>
  <bookViews>
    <workbookView xWindow="-110" yWindow="-110" windowWidth="25820" windowHeight="15500" xr2:uid="{00000000-000D-0000-FFFF-FFFF00000000}"/>
  </bookViews>
  <sheets>
    <sheet name="SOMMAIRE" sheetId="1" r:id="rId1"/>
    <sheet name="CITP_GG1" sheetId="2" r:id="rId2"/>
    <sheet name="CITP_GG2" sheetId="3" r:id="rId3"/>
    <sheet name="CITP_GG3" sheetId="4" r:id="rId4"/>
    <sheet name="CITP_GG4" sheetId="5" r:id="rId5"/>
    <sheet name="CITP_GG5" sheetId="6" r:id="rId6"/>
    <sheet name="CITP_GG6" sheetId="7" r:id="rId7"/>
    <sheet name="CITP_GG7" sheetId="8" r:id="rId8"/>
    <sheet name="CITP_GG9" sheetId="9" r:id="rId9"/>
    <sheet name="GRADE_A3" sheetId="10" r:id="rId10"/>
    <sheet name="GRADE_A4" sheetId="11" r:id="rId11"/>
    <sheet name="GRADE_A5" sheetId="12" r:id="rId12"/>
    <sheet name="GRADE_A6" sheetId="13" r:id="rId13"/>
    <sheet name="GRADE_A7" sheetId="14" r:id="rId14"/>
    <sheet name="GRADE_B1" sheetId="15" r:id="rId15"/>
    <sheet name="GRADE_B3" sheetId="16" r:id="rId16"/>
    <sheet name="GRADE_C1" sheetId="17" r:id="rId17"/>
    <sheet name="GRADE_C2" sheetId="18" r:id="rId18"/>
    <sheet name="GRADE_C3" sheetId="19" r:id="rId19"/>
    <sheet name="GRADE_D1" sheetId="20" r:id="rId20"/>
    <sheet name="GRADE_D2" sheetId="21" r:id="rId21"/>
    <sheet name="SEXE_Femme" sheetId="22" r:id="rId22"/>
    <sheet name="SEXE_Homme" sheetId="23" r:id="rId23"/>
    <sheet name="MULTI_A3" sheetId="24" r:id="rId24"/>
    <sheet name="MULTI_A4" sheetId="25" r:id="rId25"/>
    <sheet name="MULTI_A5" sheetId="26" r:id="rId26"/>
    <sheet name="MULTI_A6" sheetId="27" r:id="rId27"/>
    <sheet name="MULTI_A7" sheetId="28" r:id="rId28"/>
    <sheet name="MULTI_B1" sheetId="29" r:id="rId29"/>
    <sheet name="MULTI_B3" sheetId="30" r:id="rId30"/>
    <sheet name="MULTI_C1" sheetId="31" r:id="rId31"/>
    <sheet name="MULTI_C2" sheetId="32" r:id="rId32"/>
    <sheet name="MULTI_C3" sheetId="33" r:id="rId33"/>
    <sheet name="MULTI_D1" sheetId="34" r:id="rId34"/>
    <sheet name="MULTI_D2" sheetId="35" r:id="rId35"/>
    <sheet name="BAREME_Bar_me_G_n_ral" sheetId="36" r:id="rId36"/>
    <sheet name="BAREME_CORPS_DIPL" sheetId="37" r:id="rId37"/>
    <sheet name="BAREME_CORPS_PREF" sheetId="38" r:id="rId38"/>
    <sheet name="BAREME_Cadre_Sup_Sant_" sheetId="39" r:id="rId39"/>
    <sheet name="BAREME_ENS_SEC___PRIM" sheetId="40" r:id="rId40"/>
    <sheet name="BAREME_ENS_SUP" sheetId="41" r:id="rId41"/>
    <sheet name="BAREME_GREFFE" sheetId="42" r:id="rId42"/>
    <sheet name="BAREME_Informaticien" sheetId="43" r:id="rId43"/>
    <sheet name="BAREME_MAGISTRAT_" sheetId="44" r:id="rId44"/>
    <sheet name="BAREME_SECRETAIRE_DIRECTION" sheetId="45" r:id="rId45"/>
    <sheet name="BAREME_Tech_Sant_" sheetId="46" r:id="rId46"/>
    <sheet name="BAREME_G_Bar_me_G_n_ral" sheetId="47" r:id="rId47"/>
    <sheet name="BAREME_G_CORPS_DIPL" sheetId="48" r:id="rId48"/>
    <sheet name="BAREME_G_CORPS_PREF" sheetId="49" r:id="rId49"/>
    <sheet name="BAREME_G_Cadre_Sup_Sant_" sheetId="50" r:id="rId50"/>
    <sheet name="BAREME_G_ENS_SEC___PRIM" sheetId="51" r:id="rId51"/>
    <sheet name="BAREME_G_ENS_SUP" sheetId="52" r:id="rId52"/>
    <sheet name="BAREME_G_GREFFE" sheetId="53" r:id="rId53"/>
    <sheet name="BAREME_G_Informaticien" sheetId="54" r:id="rId54"/>
    <sheet name="BAREME_G_MAGISTRAT_" sheetId="55" r:id="rId55"/>
    <sheet name="BAREME_G_SECRETAIRE_DIRECTION" sheetId="56" r:id="rId56"/>
    <sheet name="BAREME_G_Tech_Sant_" sheetId="57" r:id="rId57"/>
    <sheet name="BAREME_S_Bar_me_G_n_ral" sheetId="58" r:id="rId58"/>
    <sheet name="BAREME_S_CORPS_DIPL" sheetId="59" r:id="rId59"/>
    <sheet name="BAREME_S_CORPS_PREF" sheetId="60" r:id="rId60"/>
    <sheet name="BAREME_S_Cadre_Sup_Sant_" sheetId="61" r:id="rId61"/>
    <sheet name="BAREME_S_ENS_SEC___PRIM" sheetId="62" r:id="rId62"/>
    <sheet name="BAREME_S_ENS_SUP" sheetId="63" r:id="rId63"/>
    <sheet name="BAREME_S_GREFFE" sheetId="64" r:id="rId64"/>
    <sheet name="BAREME_S_Informaticien" sheetId="65" r:id="rId65"/>
    <sheet name="BAREME_S_MAGISTRAT_" sheetId="66" r:id="rId66"/>
    <sheet name="BAREME_S_SECRETAIRE_DIRECTION" sheetId="67" r:id="rId67"/>
    <sheet name="BAREME_S_Tech_Sant_" sheetId="68" r:id="rId68"/>
    <sheet name="MODELE_ANSTAT_2024" sheetId="69" r:id="rId69"/>
    <sheet name="MODELE_ANSTAT_2025" sheetId="70" r:id="rId7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0" l="1"/>
  <c r="A2" i="69"/>
  <c r="A2" i="68"/>
  <c r="A2" i="67"/>
  <c r="A2" i="66"/>
  <c r="A2" i="65"/>
  <c r="A2" i="64"/>
  <c r="A2" i="63"/>
  <c r="A2" i="62"/>
  <c r="A2" i="61"/>
  <c r="A2" i="60"/>
  <c r="A2" i="59"/>
  <c r="A2" i="58"/>
  <c r="A2" i="57"/>
  <c r="A2" i="56"/>
  <c r="A2" i="55"/>
  <c r="A2" i="54"/>
  <c r="A2" i="53"/>
  <c r="A2" i="52"/>
  <c r="A2" i="51"/>
  <c r="A2" i="50"/>
  <c r="A2" i="49"/>
  <c r="A2" i="48"/>
  <c r="A2" i="47"/>
  <c r="A2" i="46"/>
  <c r="A2" i="45"/>
  <c r="A2" i="44"/>
  <c r="A2" i="43"/>
  <c r="A2" i="42"/>
  <c r="A2" i="41"/>
  <c r="A2" i="40"/>
  <c r="A2" i="39"/>
  <c r="A2" i="38"/>
  <c r="A2" i="37"/>
  <c r="A2" i="36"/>
  <c r="A2" i="35"/>
  <c r="A2" i="34"/>
  <c r="A2" i="33"/>
  <c r="A2" i="32"/>
  <c r="A2" i="31"/>
  <c r="A2" i="30"/>
  <c r="A2" i="29"/>
  <c r="A2" i="28"/>
  <c r="A2" i="27"/>
  <c r="A2" i="26"/>
  <c r="A2" i="25"/>
  <c r="A2" i="24"/>
  <c r="A2" i="23"/>
  <c r="A2" i="22"/>
  <c r="A2" i="21"/>
  <c r="A2" i="20"/>
  <c r="A2" i="19"/>
  <c r="A2" i="18"/>
  <c r="A2" i="17"/>
  <c r="A2" i="16"/>
  <c r="A2" i="15"/>
  <c r="A2" i="14"/>
  <c r="A2" i="13"/>
  <c r="A2" i="12"/>
  <c r="A2" i="11"/>
  <c r="A2" i="10"/>
  <c r="A2" i="9"/>
  <c r="A2" i="8"/>
  <c r="A2" i="7"/>
  <c r="A2" i="6"/>
  <c r="A2" i="5"/>
  <c r="A2" i="4"/>
  <c r="A2" i="3"/>
  <c r="A2" i="2"/>
  <c r="B73" i="1"/>
  <c r="B72" i="1"/>
  <c r="E67" i="1"/>
  <c r="D67" i="1"/>
  <c r="A67" i="1"/>
  <c r="E66" i="1"/>
  <c r="D66" i="1"/>
  <c r="A66" i="1"/>
  <c r="E65" i="1"/>
  <c r="D65" i="1"/>
  <c r="A65" i="1"/>
  <c r="E64" i="1"/>
  <c r="D64" i="1"/>
  <c r="A64" i="1"/>
  <c r="E63" i="1"/>
  <c r="D63" i="1"/>
  <c r="A63" i="1"/>
  <c r="E62" i="1"/>
  <c r="D62" i="1"/>
  <c r="A62" i="1"/>
  <c r="E61" i="1"/>
  <c r="D61" i="1"/>
  <c r="A61" i="1"/>
  <c r="E60" i="1"/>
  <c r="D60" i="1"/>
  <c r="A60" i="1"/>
  <c r="E59" i="1"/>
  <c r="D59" i="1"/>
  <c r="A59" i="1"/>
  <c r="E58" i="1"/>
  <c r="D58" i="1"/>
  <c r="A58" i="1"/>
  <c r="E57" i="1"/>
  <c r="D57" i="1"/>
  <c r="A57" i="1"/>
  <c r="A52" i="1"/>
  <c r="A51" i="1"/>
  <c r="A50" i="1"/>
  <c r="A49" i="1"/>
  <c r="A48" i="1"/>
  <c r="A47" i="1"/>
  <c r="A46" i="1"/>
  <c r="A45" i="1"/>
  <c r="A44" i="1"/>
  <c r="A43" i="1"/>
  <c r="A42" i="1"/>
  <c r="A41" i="1"/>
  <c r="A36" i="1"/>
  <c r="A35" i="1"/>
  <c r="A30" i="1"/>
  <c r="A29" i="1"/>
  <c r="A28" i="1"/>
  <c r="A27" i="1"/>
  <c r="A26" i="1"/>
  <c r="A25" i="1"/>
  <c r="A24" i="1"/>
  <c r="A23" i="1"/>
  <c r="A22" i="1"/>
  <c r="A21" i="1"/>
  <c r="A20" i="1"/>
  <c r="A19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<sst xmlns="http://schemas.openxmlformats.org/spreadsheetml/2006/main" count="16615" uniqueCount="422">
  <si>
    <t>INDICATEURS SALAIRES — Salaire brut | 2024-2025 | avec zéros</t>
  </si>
  <si>
    <t>Cliquez sur une section pour accéder aux détails</t>
  </si>
  <si>
    <t>📊 SECTION 1 : CLASSIFICATION PAR GRAND GROUPE CITP</t>
  </si>
  <si>
    <t>Code</t>
  </si>
  <si>
    <t>Grand Groupe CITP</t>
  </si>
  <si>
    <t>Effectif total</t>
  </si>
  <si>
    <t>Nb métiers</t>
  </si>
  <si>
    <t>📊 SECTION 2 : CLASSIFICATION PAR GRADE</t>
  </si>
  <si>
    <t>Grade</t>
  </si>
  <si>
    <t>Description</t>
  </si>
  <si>
    <t>Revenu moyen</t>
  </si>
  <si>
    <t>Catégorie A</t>
  </si>
  <si>
    <t>Catégorie B</t>
  </si>
  <si>
    <t>Catégorie C</t>
  </si>
  <si>
    <t>Catégorie D</t>
  </si>
  <si>
    <t>📊 SECTION 3 : CLASSIFICATION PAR SEXE</t>
  </si>
  <si>
    <t>Sexe</t>
  </si>
  <si>
    <t>Agents féminins</t>
  </si>
  <si>
    <t>Agents masculins</t>
  </si>
  <si>
    <t>📊 SECTION 4 : MULTI-POSTES PAR GRADE</t>
  </si>
  <si>
    <t>Mono-postes</t>
  </si>
  <si>
    <t>Multi-postes</t>
  </si>
  <si>
    <t>📊 SECTION 5 : CLASSIFICATION PAR BARÈME / GRILLE SALARIALE</t>
  </si>
  <si>
    <t>Barème / Grille salariale</t>
  </si>
  <si>
    <t>Détail grade</t>
  </si>
  <si>
    <t>Détail sexe</t>
  </si>
  <si>
    <t>📋 ANNEXE : MODÈLE STATISTIQUE ANSTAT — Par année</t>
  </si>
  <si>
    <t>Année</t>
  </si>
  <si>
    <t>Lien vers la feuille</t>
  </si>
  <si>
    <t>1 - Directeurs, cadres de direction et gérants</t>
  </si>
  <si>
    <t>ANNEE</t>
  </si>
  <si>
    <t>MOIS_NUM</t>
  </si>
  <si>
    <t>MOIS</t>
  </si>
  <si>
    <t>Code_CITP</t>
  </si>
  <si>
    <t>Metier_CITP</t>
  </si>
  <si>
    <t>Effectif</t>
  </si>
  <si>
    <t>Revenu_moyen</t>
  </si>
  <si>
    <t>Revenu_median</t>
  </si>
  <si>
    <t>Revenu_min</t>
  </si>
  <si>
    <t>Revenu_max</t>
  </si>
  <si>
    <t>Revenu_p25</t>
  </si>
  <si>
    <t>Revenu_p75</t>
  </si>
  <si>
    <t>Janvier</t>
  </si>
  <si>
    <t>1112</t>
  </si>
  <si>
    <t>Hauts fonctionnaires</t>
  </si>
  <si>
    <t>1112 | 1211</t>
  </si>
  <si>
    <t>Hauts fonctionnaires | Directeurs financiers</t>
  </si>
  <si>
    <t>1120</t>
  </si>
  <si>
    <t>Directeurs généraux et présidents-directeurs généraux</t>
  </si>
  <si>
    <t>1211</t>
  </si>
  <si>
    <t>Directeurs financiers</t>
  </si>
  <si>
    <t>1219</t>
  </si>
  <si>
    <t>Responsables des services commerciaux et administratifs non classés ailleurs</t>
  </si>
  <si>
    <t>1323</t>
  </si>
  <si>
    <t>Directeurs de la construction</t>
  </si>
  <si>
    <t>1342</t>
  </si>
  <si>
    <t>Directeurs de services de santé</t>
  </si>
  <si>
    <t>1344</t>
  </si>
  <si>
    <t>Gestionnaires des services sociaux</t>
  </si>
  <si>
    <t>1346</t>
  </si>
  <si>
    <t>Directeurs d'agence de services financiers et d'assurance</t>
  </si>
  <si>
    <t>1349</t>
  </si>
  <si>
    <t>Gestionnaires de services professionnels non classés ailleurs</t>
  </si>
  <si>
    <t>Février</t>
  </si>
  <si>
    <t>1212</t>
  </si>
  <si>
    <t>Responsables des ressources humaines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</si>
  <si>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</si>
  <si>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</si>
  <si>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</si>
  <si>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</si>
  <si>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</si>
  <si>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</si>
  <si>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</si>
  <si>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</si>
  <si>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</si>
  <si>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</si>
  <si>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2 - Professions intellectuelles et scientifiques</t>
  </si>
  <si>
    <t>2114</t>
  </si>
  <si>
    <t>Géologues et géophysiciens</t>
  </si>
  <si>
    <t>2120</t>
  </si>
  <si>
    <t>Mathématiciens, actuaires et statisticiens</t>
  </si>
  <si>
    <t>2120 , 2631</t>
  </si>
  <si>
    <t>Mathématiciens, actuaires et statisticiens | Économistes</t>
  </si>
  <si>
    <t>2131</t>
  </si>
  <si>
    <t>Biologistes, botanistes, zoologistes et professionnels apparentés</t>
  </si>
  <si>
    <t>2132</t>
  </si>
  <si>
    <t>Conseillers en agriculture, foresterie et pêche</t>
  </si>
  <si>
    <t>2141</t>
  </si>
  <si>
    <t>Ingénieurs industriels et de production</t>
  </si>
  <si>
    <t>2142</t>
  </si>
  <si>
    <t>Ingénieurs civils</t>
  </si>
  <si>
    <t>2143</t>
  </si>
  <si>
    <t>Ingénieurs en environnement</t>
  </si>
  <si>
    <t>2144</t>
  </si>
  <si>
    <t>Ingénieurs mécaniciens</t>
  </si>
  <si>
    <t>2145</t>
  </si>
  <si>
    <t>Ingénieurs chimistes</t>
  </si>
  <si>
    <t>2146</t>
  </si>
  <si>
    <t>Ingénieurs miniers, métallurgistes et professionnels apparentés</t>
  </si>
  <si>
    <t>2149</t>
  </si>
  <si>
    <t>Professionnels de l'ingénierie non classés ailleurs</t>
  </si>
  <si>
    <t>2151</t>
  </si>
  <si>
    <t>Ingénieurs électriciens</t>
  </si>
  <si>
    <t>2152</t>
  </si>
  <si>
    <t>Ingénieurs en électronique</t>
  </si>
  <si>
    <t>2153</t>
  </si>
  <si>
    <t>Ingénieurs en télécommunications</t>
  </si>
  <si>
    <t>2161</t>
  </si>
  <si>
    <t>Architectes du bâtiment</t>
  </si>
  <si>
    <t>2211</t>
  </si>
  <si>
    <t>Médecins généralistes</t>
  </si>
  <si>
    <t>2221</t>
  </si>
  <si>
    <t>Professionnels infirmiers</t>
  </si>
  <si>
    <t>2222</t>
  </si>
  <si>
    <t>Professionnels de la sage-femme</t>
  </si>
  <si>
    <t>2250</t>
  </si>
  <si>
    <t>Vétérinaires</t>
  </si>
  <si>
    <t>2261</t>
  </si>
  <si>
    <t>Dentistes</t>
  </si>
  <si>
    <t>2262</t>
  </si>
  <si>
    <t>Pharmaciens</t>
  </si>
  <si>
    <t>2263</t>
  </si>
  <si>
    <t>Professionnels de la santé et de l'hygiène environnementales et professionnelles</t>
  </si>
  <si>
    <t>2264</t>
  </si>
  <si>
    <t>Physiothérapeutes</t>
  </si>
  <si>
    <t>2269</t>
  </si>
  <si>
    <t>Professionnels de la santé non classés ailleurs</t>
  </si>
  <si>
    <t>2310</t>
  </si>
  <si>
    <t>Professeurs d'université et d'enseignement supérieur</t>
  </si>
  <si>
    <t>2320</t>
  </si>
  <si>
    <t>Enseignants en formation professionnelle</t>
  </si>
  <si>
    <t>2330</t>
  </si>
  <si>
    <t>Enseignants du secondaire</t>
  </si>
  <si>
    <t>2341</t>
  </si>
  <si>
    <t>Enseignants du primaire</t>
  </si>
  <si>
    <t>2351</t>
  </si>
  <si>
    <t>Spécialistes des méthodes pédagogiques</t>
  </si>
  <si>
    <t>2352</t>
  </si>
  <si>
    <t>Enseignants spécialisés</t>
  </si>
  <si>
    <t>2355</t>
  </si>
  <si>
    <t>Autres enseignants en arts</t>
  </si>
  <si>
    <t>2359</t>
  </si>
  <si>
    <t>Professionnels de l'enseignement non classés ailleurs</t>
  </si>
  <si>
    <t>2411</t>
  </si>
  <si>
    <t>Comptables</t>
  </si>
  <si>
    <t>2421</t>
  </si>
  <si>
    <t>Analystes en gestion et en organisation</t>
  </si>
  <si>
    <t>2432</t>
  </si>
  <si>
    <t>Professionnels des relations publiques</t>
  </si>
  <si>
    <t>2511</t>
  </si>
  <si>
    <t>Analystes de systèmes</t>
  </si>
  <si>
    <t>2612</t>
  </si>
  <si>
    <t>Juges</t>
  </si>
  <si>
    <t>2619</t>
  </si>
  <si>
    <t>Professionnels du droit non classés ailleurs</t>
  </si>
  <si>
    <t>2621</t>
  </si>
  <si>
    <t>Archivistes et conservateurs</t>
  </si>
  <si>
    <t>2622</t>
  </si>
  <si>
    <t>Bibliothécaires et professionnels de l'information connexes</t>
  </si>
  <si>
    <t>2635</t>
  </si>
  <si>
    <t>Professionnels du travail social et du counseling</t>
  </si>
  <si>
    <t>2642</t>
  </si>
  <si>
    <t>Journalistes</t>
  </si>
  <si>
    <t>3 - Professions intermédiaires</t>
  </si>
  <si>
    <t>3111</t>
  </si>
  <si>
    <t>Techniciens en sciences chimiques et physiques</t>
  </si>
  <si>
    <t>3112</t>
  </si>
  <si>
    <t>Techniciens en génie civil</t>
  </si>
  <si>
    <t>3113</t>
  </si>
  <si>
    <t>Techniciens en génie électrique</t>
  </si>
  <si>
    <t>3114</t>
  </si>
  <si>
    <t>Techniciens en génie électronique</t>
  </si>
  <si>
    <t>3123</t>
  </si>
  <si>
    <t>Superviseurs de la construction</t>
  </si>
  <si>
    <t>3141</t>
  </si>
  <si>
    <t>Techniciens en sciences de la vie (à l'exclusion des techniciens médicaux)</t>
  </si>
  <si>
    <t>3212</t>
  </si>
  <si>
    <t>Techniciens de laboratoire médical et pathologique</t>
  </si>
  <si>
    <t>3251</t>
  </si>
  <si>
    <t>Assistants dentaires et thérapeutes</t>
  </si>
  <si>
    <t>3259</t>
  </si>
  <si>
    <t>Professionnels paramédicaux non classés ailleurs</t>
  </si>
  <si>
    <t>3314</t>
  </si>
  <si>
    <t>Professionnels associés en statistiques, mathématiques et domaines connexes</t>
  </si>
  <si>
    <t>3315</t>
  </si>
  <si>
    <t>Évaluateurs et experts en sinistres</t>
  </si>
  <si>
    <t>3322</t>
  </si>
  <si>
    <t>Représentants commerciaux</t>
  </si>
  <si>
    <t>3342</t>
  </si>
  <si>
    <t>Secrétaires juridiques</t>
  </si>
  <si>
    <t>3343</t>
  </si>
  <si>
    <t>Secrétaires administratifs et de direction</t>
  </si>
  <si>
    <t>3344</t>
  </si>
  <si>
    <t>Secrétaires médicaux</t>
  </si>
  <si>
    <t>3351</t>
  </si>
  <si>
    <t>Inspecteurs des douanes et des frontières</t>
  </si>
  <si>
    <t>3352</t>
  </si>
  <si>
    <t>Fonctionnaires chargés des impôts et des droits d'accise</t>
  </si>
  <si>
    <t>3354</t>
  </si>
  <si>
    <t>Agents chargés de délivrer les licences gouvernementales</t>
  </si>
  <si>
    <t>3359</t>
  </si>
  <si>
    <t>Professionnels associés à la réglementation gouvernementale non classés ailleurs</t>
  </si>
  <si>
    <t>3412</t>
  </si>
  <si>
    <t>Professionnels associés en travail social</t>
  </si>
  <si>
    <t>3433</t>
  </si>
  <si>
    <t>Techniciens de galerie, de musée et de bibliothèque</t>
  </si>
  <si>
    <t>3511</t>
  </si>
  <si>
    <t>Techniciens en exploitation des technologies de l'information et des communications</t>
  </si>
  <si>
    <t>3512</t>
  </si>
  <si>
    <t>Techniciens en soutien aux utilisateurs des technologies de l'information et des communications</t>
  </si>
  <si>
    <t>3522</t>
  </si>
  <si>
    <t>Techniciens en génie des télécommunications</t>
  </si>
  <si>
    <t>3115</t>
  </si>
  <si>
    <t>Techniciens en génie mécanique</t>
  </si>
  <si>
    <t>3253</t>
  </si>
  <si>
    <t>Agents de santé communautaires</t>
  </si>
  <si>
    <t>4 - Employés de type administratif</t>
  </si>
  <si>
    <t>4120</t>
  </si>
  <si>
    <t>Secrétaires (généralistes)</t>
  </si>
  <si>
    <t>4131</t>
  </si>
  <si>
    <t>Dactylographes et opérateurs de traitement de texte</t>
  </si>
  <si>
    <t>4221</t>
  </si>
  <si>
    <t>Conseillers et commis en voyages</t>
  </si>
  <si>
    <t>4311</t>
  </si>
  <si>
    <t>Commis à la comptabilité et à la tenue de livres</t>
  </si>
  <si>
    <t>4312</t>
  </si>
  <si>
    <t>Commis aux statistiques, aux finances et aux assurances</t>
  </si>
  <si>
    <t>4323</t>
  </si>
  <si>
    <t>Commis au transport</t>
  </si>
  <si>
    <t>4416</t>
  </si>
  <si>
    <t>Commis au personnel</t>
  </si>
  <si>
    <t>5 - Personnel des services directs aux particuliers, commerçants et vendeurs</t>
  </si>
  <si>
    <t>5321</t>
  </si>
  <si>
    <t>Aides-soignants</t>
  </si>
  <si>
    <t>5412</t>
  </si>
  <si>
    <t>Agents de police</t>
  </si>
  <si>
    <t>5413</t>
  </si>
  <si>
    <t>Gardiens de prison</t>
  </si>
  <si>
    <t>5414</t>
  </si>
  <si>
    <t>Agents de sécurité</t>
  </si>
  <si>
    <t>6 - Agriculteurs et ouvriers qualifiés de l'agriculture, de la sylviculture et de la pêche</t>
  </si>
  <si>
    <t>6130</t>
  </si>
  <si>
    <t>Producteurs mixtes (cultures et élevage)</t>
  </si>
  <si>
    <t>6210</t>
  </si>
  <si>
    <t>Travailleurs forestiers et assimilés</t>
  </si>
  <si>
    <t>7 - Métiers qualifiés de l'industrie et de l'artisanat</t>
  </si>
  <si>
    <t>7322</t>
  </si>
  <si>
    <t>Imprimeurs</t>
  </si>
  <si>
    <t>7543</t>
  </si>
  <si>
    <t>Trieurs et testeurs de produits (à l'exception des aliments et des boissons)</t>
  </si>
  <si>
    <t>9 - Professions élémentaires</t>
  </si>
  <si>
    <t>9215</t>
  </si>
  <si>
    <t>Ouvriers forestiers</t>
  </si>
  <si>
    <t>GRADE A3</t>
  </si>
  <si>
    <t>GRADE_PRINCIPAL</t>
  </si>
  <si>
    <t>A3</t>
  </si>
  <si>
    <t>GRADE A4</t>
  </si>
  <si>
    <t>A4</t>
  </si>
  <si>
    <t>GRADE A5</t>
  </si>
  <si>
    <t>A5</t>
  </si>
  <si>
    <t>GRADE A6</t>
  </si>
  <si>
    <t>A6</t>
  </si>
  <si>
    <t>GRADE A7</t>
  </si>
  <si>
    <t>A7</t>
  </si>
  <si>
    <t>GRADE B1</t>
  </si>
  <si>
    <t>B1</t>
  </si>
  <si>
    <t>GRADE B3</t>
  </si>
  <si>
    <t>B3</t>
  </si>
  <si>
    <t>GRADE C1</t>
  </si>
  <si>
    <t>C1</t>
  </si>
  <si>
    <t>GRADE C2</t>
  </si>
  <si>
    <t>C2</t>
  </si>
  <si>
    <t>GRADE C3</t>
  </si>
  <si>
    <t>C3</t>
  </si>
  <si>
    <t>GRADE D1</t>
  </si>
  <si>
    <t>D1</t>
  </si>
  <si>
    <t>GRADE D2</t>
  </si>
  <si>
    <t>D2</t>
  </si>
  <si>
    <t>SEXE : Femme</t>
  </si>
  <si>
    <t>SEXE_STD</t>
  </si>
  <si>
    <t>Femme</t>
  </si>
  <si>
    <t>SEXE : Homme</t>
  </si>
  <si>
    <t>Homme</t>
  </si>
  <si>
    <t>MULTI-POSTES : A3</t>
  </si>
  <si>
    <t>1</t>
  </si>
  <si>
    <t>2</t>
  </si>
  <si>
    <t>MULTI-POSTES : A4</t>
  </si>
  <si>
    <t>MULTI-POSTES : A5</t>
  </si>
  <si>
    <t>MULTI-POSTES : A6</t>
  </si>
  <si>
    <t>MULTI-POSTES : A7</t>
  </si>
  <si>
    <t>MULTI-POSTES : B1</t>
  </si>
  <si>
    <t>MULTI-POSTES : B3</t>
  </si>
  <si>
    <t>MULTI-POSTES : C1</t>
  </si>
  <si>
    <t>MULTI-POSTES : C2</t>
  </si>
  <si>
    <t>MULTI-POSTES : C3</t>
  </si>
  <si>
    <t>MULTI-POSTES : D1</t>
  </si>
  <si>
    <t>MULTI-POSTES : D2</t>
  </si>
  <si>
    <t>BARÈME : Barême Général</t>
  </si>
  <si>
    <t>bareme</t>
  </si>
  <si>
    <t>Barême Général</t>
  </si>
  <si>
    <t>BARÈME : CORPS DIPL</t>
  </si>
  <si>
    <t>CORPS DIPL</t>
  </si>
  <si>
    <t>BARÈME : CORPS PREF</t>
  </si>
  <si>
    <t>CORPS PREF</t>
  </si>
  <si>
    <t>BARÈME : Cadre-Sup-Santé</t>
  </si>
  <si>
    <t>Cadre-Sup-Santé</t>
  </si>
  <si>
    <t>BARÈME : ENS SEC &amp; PRIM</t>
  </si>
  <si>
    <t>ENS SEC &amp; PRIM</t>
  </si>
  <si>
    <t>BARÈME : ENS SUP</t>
  </si>
  <si>
    <t>ENS SUP</t>
  </si>
  <si>
    <t>BARÈME : GREFFE</t>
  </si>
  <si>
    <t>GREFFE</t>
  </si>
  <si>
    <t>BARÈME : Informaticien</t>
  </si>
  <si>
    <t>Informaticien</t>
  </si>
  <si>
    <t xml:space="preserve">BARÈME : MAGISTRAT </t>
  </si>
  <si>
    <t xml:space="preserve">MAGISTRAT </t>
  </si>
  <si>
    <t>BARÈME : SECRETAIRE DIRECTION</t>
  </si>
  <si>
    <t>SECRETAIRE DIRECTION</t>
  </si>
  <si>
    <t>BARÈME : Tech-Santé</t>
  </si>
  <si>
    <t>Tech-Santé</t>
  </si>
  <si>
    <t>BARÈME × GRADE : Barême Général</t>
  </si>
  <si>
    <t>BARÈME × GRADE : CORPS DIPL</t>
  </si>
  <si>
    <t>BARÈME × GRADE : CORPS PREF</t>
  </si>
  <si>
    <t>BARÈME × GRADE : Cadre-Sup-Santé</t>
  </si>
  <si>
    <t>BARÈME × GRADE : ENS SEC &amp; PRIM</t>
  </si>
  <si>
    <t>BARÈME × GRADE : ENS SUP</t>
  </si>
  <si>
    <t>BARÈME × GRADE : GREFFE</t>
  </si>
  <si>
    <t>BARÈME × GRADE : Informaticien</t>
  </si>
  <si>
    <t xml:space="preserve">BARÈME × GRADE : MAGISTRAT </t>
  </si>
  <si>
    <t>BARÈME × GRADE : SECRETAIRE DIRECTION</t>
  </si>
  <si>
    <t>BARÈME × GRADE : Tech-Santé</t>
  </si>
  <si>
    <t>BARÈME × SEXE : Barême Général</t>
  </si>
  <si>
    <t>BARÈME × SEXE : CORPS DIPL</t>
  </si>
  <si>
    <t>BARÈME × SEXE : CORPS PREF</t>
  </si>
  <si>
    <t>BARÈME × SEXE : Cadre-Sup-Santé</t>
  </si>
  <si>
    <t>BARÈME × SEXE : ENS SEC &amp; PRIM</t>
  </si>
  <si>
    <t>BARÈME × SEXE : ENS SUP</t>
  </si>
  <si>
    <t>BARÈME × SEXE : GREFFE</t>
  </si>
  <si>
    <t>BARÈME × SEXE : Informaticien</t>
  </si>
  <si>
    <t xml:space="preserve">BARÈME × SEXE : MAGISTRAT </t>
  </si>
  <si>
    <t>BARÈME × SEXE : SECRETAIRE DIRECTION</t>
  </si>
  <si>
    <t>BARÈME × SEXE : Tech-Santé</t>
  </si>
  <si>
    <t>MODÈLE DE DONNÉES DE SALAIRE DES FONCTIONNAIRES — 2024</t>
  </si>
  <si>
    <t>__UNNAMED__1</t>
  </si>
  <si>
    <t>__UNNAMED__2</t>
  </si>
  <si>
    <t>__UNNAMED__3</t>
  </si>
  <si>
    <t>salaires en FCFA</t>
  </si>
  <si>
    <t>salaire brut minimum</t>
  </si>
  <si>
    <t>salaire brut moyen</t>
  </si>
  <si>
    <t>salaire brut maximum</t>
  </si>
  <si>
    <t>TOUS SECTEURS CONFONDUS</t>
  </si>
  <si>
    <t>191417</t>
  </si>
  <si>
    <t>428283</t>
  </si>
  <si>
    <t>1514138</t>
  </si>
  <si>
    <t>SECTEUR EDUCATION</t>
  </si>
  <si>
    <t>Primaire</t>
  </si>
  <si>
    <t>266776</t>
  </si>
  <si>
    <t>398428</t>
  </si>
  <si>
    <t>584961</t>
  </si>
  <si>
    <t>Secondaire</t>
  </si>
  <si>
    <t>398882</t>
  </si>
  <si>
    <t>587107</t>
  </si>
  <si>
    <t>1070224</t>
  </si>
  <si>
    <t>Supérieur</t>
  </si>
  <si>
    <t>656667</t>
  </si>
  <si>
    <t>881859</t>
  </si>
  <si>
    <t>SECTEUR SANTE</t>
  </si>
  <si>
    <t>Cadres supérieurs</t>
  </si>
  <si>
    <t>407405</t>
  </si>
  <si>
    <t>541954</t>
  </si>
  <si>
    <t>826377</t>
  </si>
  <si>
    <t>Personnels Techniques</t>
  </si>
  <si>
    <t>204237</t>
  </si>
  <si>
    <t>320565</t>
  </si>
  <si>
    <t>695879</t>
  </si>
  <si>
    <t>AUTRES SECTEURS</t>
  </si>
  <si>
    <t>Para-militaire</t>
  </si>
  <si>
    <t>Barème Général</t>
  </si>
  <si>
    <t>319207</t>
  </si>
  <si>
    <t>782590</t>
  </si>
  <si>
    <t>PERSONNELS SOUS STATUT PARTICULIER</t>
  </si>
  <si>
    <t>Magistrat</t>
  </si>
  <si>
    <t>690287</t>
  </si>
  <si>
    <t>1001968</t>
  </si>
  <si>
    <t>1453912</t>
  </si>
  <si>
    <t>Corps préfectoral</t>
  </si>
  <si>
    <t>686976</t>
  </si>
  <si>
    <t>818828</t>
  </si>
  <si>
    <t>1476407</t>
  </si>
  <si>
    <t>Corps diplomatique</t>
  </si>
  <si>
    <t>477946</t>
  </si>
  <si>
    <t>758124</t>
  </si>
  <si>
    <t>1078748</t>
  </si>
  <si>
    <t>Greffier</t>
  </si>
  <si>
    <t>309915</t>
  </si>
  <si>
    <t>441810</t>
  </si>
  <si>
    <t>812667</t>
  </si>
  <si>
    <t>MODÈLE DE DONNÉES DE SALAIRE DES FONCTIONNAIRES — 2025</t>
  </si>
  <si>
    <t>191418</t>
  </si>
  <si>
    <t>427965</t>
  </si>
  <si>
    <t>1529212</t>
  </si>
  <si>
    <t>393394</t>
  </si>
  <si>
    <t>584893</t>
  </si>
  <si>
    <t>590411</t>
  </si>
  <si>
    <t>1120700</t>
  </si>
  <si>
    <t>886817</t>
  </si>
  <si>
    <t>1508539</t>
  </si>
  <si>
    <t>547461</t>
  </si>
  <si>
    <t>858844</t>
  </si>
  <si>
    <t>319078</t>
  </si>
  <si>
    <t>707591</t>
  </si>
  <si>
    <t>320839</t>
  </si>
  <si>
    <t>787145</t>
  </si>
  <si>
    <t>1021486</t>
  </si>
  <si>
    <t>686975</t>
  </si>
  <si>
    <t>807615</t>
  </si>
  <si>
    <t>1523585</t>
  </si>
  <si>
    <t>500446</t>
  </si>
  <si>
    <t>804294</t>
  </si>
  <si>
    <t>1099725</t>
  </si>
  <si>
    <t>447898</t>
  </si>
  <si>
    <t>851336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</si>
</sst>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u/>
      <sz val="12"/>
      <color rgb="FF0563C1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4F81BD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243EAC-51C4-4B57-858C-32CA85F71E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45" customWidth="1"/>
    <col min="2" max="2" width="20" customWidth="1"/>
    <col min="3" max="5" width="18" customWidth="1"/>
  </cols>
  <sheetData>
    <row r="1" spans="1:5" ht="28" customHeight="1" x14ac:dyDescent="0.35">
      <c r="A1" s="6" t="s">
        <v>0</v>
      </c>
      <c r="B1" s="4"/>
      <c r="C1" s="4"/>
      <c r="D1" s="4"/>
      <c r="E1" s="4"/>
    </row>
    <row r="2" spans="1:5" x14ac:dyDescent="0.35">
      <c r="A2" s="5" t="s">
        <v>1</v>
      </c>
      <c r="B2" s="4"/>
      <c r="C2" s="4"/>
      <c r="D2" s="4"/>
      <c r="E2" s="4"/>
    </row>
    <row r="4" spans="1:5" ht="28" customHeight="1" x14ac:dyDescent="0.35">
      <c r="A4" s="3" t="s">
        <v>2</v>
      </c>
      <c r="B4" s="4"/>
      <c r="C4" s="4"/>
      <c r="D4" s="4"/>
      <c r="E4" s="4"/>
    </row>
    <row r="5" spans="1:5" x14ac:dyDescent="0.35">
      <c r="A5" s="1" t="s">
        <v>3</v>
      </c>
      <c r="B5" s="1" t="s">
        <v>4</v>
      </c>
      <c r="C5" s="1" t="s">
        <v>5</v>
      </c>
      <c r="D5" s="1" t="s">
        <v>6</v>
      </c>
      <c r="E5" s="1"/>
    </row>
    <row r="6" spans="1:5" ht="15.5" x14ac:dyDescent="0.35">
      <c r="A6">
        <v>1</v>
      </c>
      <c r="B6" s="2" t="str">
        <f>HYPERLINK("#CITP_GG1!A1","1 - Directeurs, cadres de direction et gérants")</f>
        <v>1 - Directeurs, cadres de direction et gérants</v>
      </c>
      <c r="C6">
        <v>126491</v>
      </c>
      <c r="D6">
        <v>11</v>
      </c>
    </row>
    <row r="7" spans="1:5" ht="15.5" x14ac:dyDescent="0.35">
      <c r="A7">
        <v>2</v>
      </c>
      <c r="B7" s="2" t="str">
        <f>HYPERLINK("#CITP_GG2!A1","2 - Professions intellectuelles et scientifiques")</f>
        <v>2 - Professions intellectuelles et scientifiques</v>
      </c>
      <c r="C7">
        <v>4904068</v>
      </c>
      <c r="D7">
        <v>43</v>
      </c>
    </row>
    <row r="8" spans="1:5" ht="15.5" x14ac:dyDescent="0.35">
      <c r="A8">
        <v>3</v>
      </c>
      <c r="B8" s="2" t="str">
        <f>HYPERLINK("#CITP_GG3!A1","3 - Professions intermédiaires")</f>
        <v>3 - Professions intermédiaires</v>
      </c>
      <c r="C8">
        <v>896141</v>
      </c>
      <c r="D8">
        <v>26</v>
      </c>
    </row>
    <row r="9" spans="1:5" ht="15.5" x14ac:dyDescent="0.35">
      <c r="A9">
        <v>4</v>
      </c>
      <c r="B9" s="2" t="str">
        <f>HYPERLINK("#CITP_GG4!A1","4 - Employés de type administratif")</f>
        <v>4 - Employés de type administratif</v>
      </c>
      <c r="C9">
        <v>166296</v>
      </c>
      <c r="D9">
        <v>7</v>
      </c>
    </row>
    <row r="10" spans="1:5" ht="15.5" x14ac:dyDescent="0.35">
      <c r="A10">
        <v>5</v>
      </c>
      <c r="B10" s="2" t="str">
        <f>HYPERLINK("#CITP_GG5!A1","5 - Personnel des services directs aux particuliers, commerçants et vendeurs")</f>
        <v>5 - Personnel des services directs aux particuliers, commerçants et vendeurs</v>
      </c>
      <c r="C10">
        <v>253463</v>
      </c>
      <c r="D10">
        <v>4</v>
      </c>
    </row>
    <row r="11" spans="1:5" ht="15.5" x14ac:dyDescent="0.35">
      <c r="A11">
        <v>6</v>
      </c>
      <c r="B11" s="2" t="str">
        <f>HYPERLINK("#CITP_GG6!A1","6 - Agriculteurs et ouvriers qualifiés de l'agriculture, de la sylviculture et de la pêche")</f>
        <v>6 - Agriculteurs et ouvriers qualifiés de l'agriculture, de la sylviculture et de la pêche</v>
      </c>
      <c r="C11">
        <v>123864</v>
      </c>
      <c r="D11">
        <v>2</v>
      </c>
    </row>
    <row r="12" spans="1:5" ht="15.5" x14ac:dyDescent="0.35">
      <c r="A12">
        <v>7</v>
      </c>
      <c r="B12" s="2" t="str">
        <f>HYPERLINK("#CITP_GG7!A1","7 - Métiers qualifiés de l'industrie et de l'artisanat")</f>
        <v>7 - Métiers qualifiés de l'industrie et de l'artisanat</v>
      </c>
      <c r="C12">
        <v>6073</v>
      </c>
      <c r="D12">
        <v>2</v>
      </c>
    </row>
    <row r="13" spans="1:5" ht="15.5" x14ac:dyDescent="0.35">
      <c r="A13">
        <v>8</v>
      </c>
      <c r="B13" s="2" t="str">
        <f>HYPERLINK("#CITP_GG8!A1","8 - Conducteurs d'installations et de machines, et ouvriers de l'assemblage")</f>
        <v>8 - Conducteurs d'installations et de machines, et ouvriers de l'assemblage</v>
      </c>
      <c r="C13">
        <v>0</v>
      </c>
      <c r="D13">
        <v>0</v>
      </c>
    </row>
    <row r="14" spans="1:5" ht="15.5" x14ac:dyDescent="0.35">
      <c r="A14">
        <v>9</v>
      </c>
      <c r="B14" s="2" t="str">
        <f>HYPERLINK("#CITP_GG9!A1","9 - Professions élémentaires")</f>
        <v>9 - Professions élémentaires</v>
      </c>
      <c r="C14">
        <v>38471</v>
      </c>
      <c r="D14">
        <v>1</v>
      </c>
    </row>
    <row r="17" spans="1:5" ht="28" customHeight="1" x14ac:dyDescent="0.35">
      <c r="A17" s="3" t="s">
        <v>7</v>
      </c>
      <c r="B17" s="4"/>
      <c r="C17" s="4"/>
      <c r="D17" s="4"/>
      <c r="E17" s="4"/>
    </row>
    <row r="18" spans="1:5" x14ac:dyDescent="0.35">
      <c r="A18" s="1" t="s">
        <v>8</v>
      </c>
      <c r="B18" s="1" t="s">
        <v>9</v>
      </c>
      <c r="C18" s="1" t="s">
        <v>5</v>
      </c>
      <c r="D18" s="1" t="s">
        <v>10</v>
      </c>
      <c r="E18" s="1"/>
    </row>
    <row r="19" spans="1:5" ht="15.5" x14ac:dyDescent="0.35">
      <c r="A19" s="2" t="str">
        <f>HYPERLINK("#GRADE_A3!A1","A3")</f>
        <v>A3</v>
      </c>
      <c r="B19" t="s">
        <v>11</v>
      </c>
      <c r="C19">
        <v>1074731</v>
      </c>
      <c r="D19">
        <v>481179</v>
      </c>
    </row>
    <row r="20" spans="1:5" ht="15.5" x14ac:dyDescent="0.35">
      <c r="A20" s="2" t="str">
        <f>HYPERLINK("#GRADE_A4!A1","A4")</f>
        <v>A4</v>
      </c>
      <c r="B20" t="s">
        <v>11</v>
      </c>
      <c r="C20">
        <v>796668</v>
      </c>
      <c r="D20">
        <v>566078</v>
      </c>
    </row>
    <row r="21" spans="1:5" ht="15.5" x14ac:dyDescent="0.35">
      <c r="A21" s="2" t="str">
        <f>HYPERLINK("#GRADE_A5!A1","A5")</f>
        <v>A5</v>
      </c>
      <c r="B21" t="s">
        <v>11</v>
      </c>
      <c r="C21">
        <v>390765</v>
      </c>
      <c r="D21">
        <v>740726</v>
      </c>
    </row>
    <row r="22" spans="1:5" ht="15.5" x14ac:dyDescent="0.35">
      <c r="A22" s="2" t="str">
        <f>HYPERLINK("#GRADE_A6!A1","A6")</f>
        <v>A6</v>
      </c>
      <c r="B22" t="s">
        <v>11</v>
      </c>
      <c r="C22">
        <v>64021</v>
      </c>
      <c r="D22">
        <v>910694</v>
      </c>
    </row>
    <row r="23" spans="1:5" ht="15.5" x14ac:dyDescent="0.35">
      <c r="A23" s="2" t="str">
        <f>HYPERLINK("#GRADE_A7!A1","A7")</f>
        <v>A7</v>
      </c>
      <c r="B23" t="s">
        <v>11</v>
      </c>
      <c r="C23">
        <v>48899</v>
      </c>
      <c r="D23">
        <v>972452</v>
      </c>
    </row>
    <row r="24" spans="1:5" ht="15.5" x14ac:dyDescent="0.35">
      <c r="A24" s="2" t="str">
        <f>HYPERLINK("#GRADE_B1!A1","B1")</f>
        <v>B1</v>
      </c>
      <c r="B24" t="s">
        <v>12</v>
      </c>
      <c r="C24">
        <v>76895</v>
      </c>
      <c r="D24">
        <v>256375</v>
      </c>
    </row>
    <row r="25" spans="1:5" ht="15.5" x14ac:dyDescent="0.35">
      <c r="A25" s="2" t="str">
        <f>HYPERLINK("#GRADE_B3!A1","B3")</f>
        <v>B3</v>
      </c>
      <c r="B25" t="s">
        <v>12</v>
      </c>
      <c r="C25">
        <v>2547535</v>
      </c>
      <c r="D25">
        <v>391176</v>
      </c>
    </row>
    <row r="26" spans="1:5" ht="15.5" x14ac:dyDescent="0.35">
      <c r="A26" s="2" t="str">
        <f>HYPERLINK("#GRADE_C1!A1","C1")</f>
        <v>C1</v>
      </c>
      <c r="B26" t="s">
        <v>13</v>
      </c>
      <c r="C26">
        <v>293124</v>
      </c>
      <c r="D26">
        <v>229892</v>
      </c>
    </row>
    <row r="27" spans="1:5" ht="15.5" x14ac:dyDescent="0.35">
      <c r="A27" s="2" t="str">
        <f>HYPERLINK("#GRADE_C2!A1","C2")</f>
        <v>C2</v>
      </c>
      <c r="B27" t="s">
        <v>13</v>
      </c>
      <c r="C27">
        <v>110817</v>
      </c>
      <c r="D27">
        <v>244033</v>
      </c>
    </row>
    <row r="28" spans="1:5" ht="15.5" x14ac:dyDescent="0.35">
      <c r="A28" s="2" t="str">
        <f>HYPERLINK("#GRADE_C3!A1","C3")</f>
        <v>C3</v>
      </c>
      <c r="B28" t="s">
        <v>13</v>
      </c>
      <c r="C28">
        <v>1000732</v>
      </c>
      <c r="D28">
        <v>296082</v>
      </c>
    </row>
    <row r="29" spans="1:5" ht="15.5" x14ac:dyDescent="0.35">
      <c r="A29" s="2" t="str">
        <f>HYPERLINK("#GRADE_D1!A1","D1")</f>
        <v>D1</v>
      </c>
      <c r="B29" t="s">
        <v>14</v>
      </c>
      <c r="C29">
        <v>135022</v>
      </c>
      <c r="D29">
        <v>216179</v>
      </c>
    </row>
    <row r="30" spans="1:5" ht="15.5" x14ac:dyDescent="0.35">
      <c r="A30" s="2" t="str">
        <f>HYPERLINK("#GRADE_D2!A1","D2")</f>
        <v>D2</v>
      </c>
      <c r="B30" t="s">
        <v>14</v>
      </c>
      <c r="C30">
        <v>132</v>
      </c>
      <c r="D30">
        <v>235768</v>
      </c>
    </row>
    <row r="33" spans="1:5" ht="28" customHeight="1" x14ac:dyDescent="0.35">
      <c r="A33" s="3" t="s">
        <v>15</v>
      </c>
      <c r="B33" s="4"/>
      <c r="C33" s="4"/>
      <c r="D33" s="4"/>
      <c r="E33" s="4"/>
    </row>
    <row r="34" spans="1:5" x14ac:dyDescent="0.35">
      <c r="A34" s="1" t="s">
        <v>16</v>
      </c>
      <c r="B34" s="1" t="s">
        <v>9</v>
      </c>
      <c r="C34" s="1" t="s">
        <v>5</v>
      </c>
      <c r="D34" s="1" t="s">
        <v>10</v>
      </c>
      <c r="E34" s="1"/>
    </row>
    <row r="35" spans="1:5" ht="15.5" x14ac:dyDescent="0.35">
      <c r="A35" s="2" t="str">
        <f>HYPERLINK("#SEXE_Femme!A1","Femme")</f>
        <v>Femme</v>
      </c>
      <c r="B35" t="s">
        <v>17</v>
      </c>
      <c r="C35">
        <v>2504870</v>
      </c>
      <c r="D35">
        <v>382341</v>
      </c>
    </row>
    <row r="36" spans="1:5" ht="15.5" x14ac:dyDescent="0.35">
      <c r="A36" s="2" t="str">
        <f>HYPERLINK("#SEXE_Homme!A1","Homme")</f>
        <v>Homme</v>
      </c>
      <c r="B36" t="s">
        <v>18</v>
      </c>
      <c r="C36">
        <v>4034471</v>
      </c>
      <c r="D36">
        <v>456541</v>
      </c>
    </row>
    <row r="39" spans="1:5" ht="28" customHeight="1" x14ac:dyDescent="0.35">
      <c r="A39" s="3" t="s">
        <v>19</v>
      </c>
      <c r="B39" s="4"/>
      <c r="C39" s="4"/>
      <c r="D39" s="4"/>
      <c r="E39" s="4"/>
    </row>
    <row r="40" spans="1:5" x14ac:dyDescent="0.35">
      <c r="A40" s="1" t="s">
        <v>8</v>
      </c>
      <c r="B40" s="1" t="s">
        <v>9</v>
      </c>
      <c r="C40" s="1" t="s">
        <v>20</v>
      </c>
      <c r="D40" s="1" t="s">
        <v>21</v>
      </c>
      <c r="E40" s="1"/>
    </row>
    <row r="41" spans="1:5" ht="15.5" x14ac:dyDescent="0.35">
      <c r="A41" s="2" t="str">
        <f>HYPERLINK("#MULTI_A3!A1","A3")</f>
        <v>A3</v>
      </c>
      <c r="B41" t="s">
        <v>11</v>
      </c>
      <c r="C41">
        <v>1074256</v>
      </c>
      <c r="D41">
        <v>475</v>
      </c>
    </row>
    <row r="42" spans="1:5" ht="15.5" x14ac:dyDescent="0.35">
      <c r="A42" s="2" t="str">
        <f>HYPERLINK("#MULTI_A4!A1","A4")</f>
        <v>A4</v>
      </c>
      <c r="B42" t="s">
        <v>11</v>
      </c>
      <c r="C42">
        <v>792989</v>
      </c>
      <c r="D42">
        <v>3679</v>
      </c>
    </row>
    <row r="43" spans="1:5" ht="15.5" x14ac:dyDescent="0.35">
      <c r="A43" s="2" t="str">
        <f>HYPERLINK("#MULTI_A5!A1","A5")</f>
        <v>A5</v>
      </c>
      <c r="B43" t="s">
        <v>11</v>
      </c>
      <c r="C43">
        <v>387518</v>
      </c>
      <c r="D43">
        <v>3247</v>
      </c>
    </row>
    <row r="44" spans="1:5" ht="15.5" x14ac:dyDescent="0.35">
      <c r="A44" s="2" t="str">
        <f>HYPERLINK("#MULTI_A6!A1","A6")</f>
        <v>A6</v>
      </c>
      <c r="B44" t="s">
        <v>11</v>
      </c>
      <c r="C44">
        <v>61210</v>
      </c>
      <c r="D44">
        <v>2811</v>
      </c>
    </row>
    <row r="45" spans="1:5" ht="15.5" x14ac:dyDescent="0.35">
      <c r="A45" s="2" t="str">
        <f>HYPERLINK("#MULTI_A7!A1","A7")</f>
        <v>A7</v>
      </c>
      <c r="B45" t="s">
        <v>11</v>
      </c>
      <c r="C45">
        <v>47208</v>
      </c>
      <c r="D45">
        <v>1691</v>
      </c>
    </row>
    <row r="46" spans="1:5" ht="15.5" x14ac:dyDescent="0.35">
      <c r="A46" s="2" t="str">
        <f>HYPERLINK("#MULTI_B1!A1","B1")</f>
        <v>B1</v>
      </c>
      <c r="B46" t="s">
        <v>12</v>
      </c>
      <c r="C46">
        <v>76887</v>
      </c>
      <c r="D46">
        <v>8</v>
      </c>
    </row>
    <row r="47" spans="1:5" ht="15.5" x14ac:dyDescent="0.35">
      <c r="A47" s="2" t="str">
        <f>HYPERLINK("#MULTI_B3!A1","B3")</f>
        <v>B3</v>
      </c>
      <c r="B47" t="s">
        <v>12</v>
      </c>
      <c r="C47">
        <v>2547333</v>
      </c>
      <c r="D47">
        <v>202</v>
      </c>
    </row>
    <row r="48" spans="1:5" ht="15.5" x14ac:dyDescent="0.35">
      <c r="A48" s="2" t="str">
        <f>HYPERLINK("#MULTI_C1!A1","C1")</f>
        <v>C1</v>
      </c>
      <c r="B48" t="s">
        <v>13</v>
      </c>
      <c r="C48">
        <v>293100</v>
      </c>
      <c r="D48">
        <v>24</v>
      </c>
    </row>
    <row r="49" spans="1:5" ht="15.5" x14ac:dyDescent="0.35">
      <c r="A49" s="2" t="str">
        <f>HYPERLINK("#MULTI_C2!A1","C2")</f>
        <v>C2</v>
      </c>
      <c r="B49" t="s">
        <v>13</v>
      </c>
      <c r="C49">
        <v>110816</v>
      </c>
      <c r="D49">
        <v>1</v>
      </c>
    </row>
    <row r="50" spans="1:5" ht="15.5" x14ac:dyDescent="0.35">
      <c r="A50" s="2" t="str">
        <f>HYPERLINK("#MULTI_C3!A1","C3")</f>
        <v>C3</v>
      </c>
      <c r="B50" t="s">
        <v>13</v>
      </c>
      <c r="C50">
        <v>1000732</v>
      </c>
      <c r="D50">
        <v>0</v>
      </c>
    </row>
    <row r="51" spans="1:5" ht="15.5" x14ac:dyDescent="0.35">
      <c r="A51" s="2" t="str">
        <f>HYPERLINK("#MULTI_D1!A1","D1")</f>
        <v>D1</v>
      </c>
      <c r="B51" t="s">
        <v>14</v>
      </c>
      <c r="C51">
        <v>135018</v>
      </c>
      <c r="D51">
        <v>4</v>
      </c>
    </row>
    <row r="52" spans="1:5" ht="15.5" x14ac:dyDescent="0.35">
      <c r="A52" s="2" t="str">
        <f>HYPERLINK("#MULTI_D2!A1","D2")</f>
        <v>D2</v>
      </c>
      <c r="B52" t="s">
        <v>14</v>
      </c>
      <c r="C52">
        <v>132</v>
      </c>
      <c r="D52">
        <v>0</v>
      </c>
    </row>
    <row r="55" spans="1:5" ht="28" customHeight="1" x14ac:dyDescent="0.35">
      <c r="A55" s="3" t="s">
        <v>22</v>
      </c>
      <c r="B55" s="4"/>
      <c r="C55" s="4"/>
      <c r="D55" s="4"/>
      <c r="E55" s="4"/>
    </row>
    <row r="56" spans="1:5" x14ac:dyDescent="0.35">
      <c r="A56" s="1" t="s">
        <v>23</v>
      </c>
      <c r="B56" s="1" t="s">
        <v>5</v>
      </c>
      <c r="C56" s="1" t="s">
        <v>10</v>
      </c>
      <c r="D56" s="1" t="s">
        <v>24</v>
      </c>
      <c r="E56" s="1" t="s">
        <v>25</v>
      </c>
    </row>
    <row r="57" spans="1:5" ht="15.5" x14ac:dyDescent="0.35">
      <c r="A57" s="2" t="str">
        <f>HYPERLINK("#BAREME_Bar_me_G_n_ral!A1","Barême Général")</f>
        <v>Barême Général</v>
      </c>
      <c r="B57">
        <v>1372092</v>
      </c>
      <c r="C57">
        <v>320049</v>
      </c>
      <c r="D57" s="2" t="str">
        <f>HYPERLINK("#BAREME_G_Bar_me_G_n_ral!A1","→ par grade")</f>
        <v>→ par grade</v>
      </c>
      <c r="E57" s="2" t="str">
        <f>HYPERLINK("#BAREME_S_Bar_me_G_n_ral!A1","→ par sexe")</f>
        <v>→ par sexe</v>
      </c>
    </row>
    <row r="58" spans="1:5" ht="15.5" x14ac:dyDescent="0.35">
      <c r="A58" s="2" t="str">
        <f>HYPERLINK("#BAREME_CORPS_DIPL!A1","CORPS DIPL")</f>
        <v>CORPS DIPL</v>
      </c>
      <c r="B58">
        <v>4062</v>
      </c>
      <c r="C58">
        <v>774503</v>
      </c>
      <c r="D58" s="2" t="str">
        <f>HYPERLINK("#BAREME_G_CORPS_DIPL!A1","→ par grade")</f>
        <v>→ par grade</v>
      </c>
      <c r="E58" s="2" t="str">
        <f>HYPERLINK("#BAREME_S_CORPS_DIPL!A1","→ par sexe")</f>
        <v>→ par sexe</v>
      </c>
    </row>
    <row r="59" spans="1:5" ht="15.5" x14ac:dyDescent="0.35">
      <c r="A59" s="2" t="str">
        <f>HYPERLINK("#BAREME_CORPS_PREF!A1","CORPS PREF")</f>
        <v>CORPS PREF</v>
      </c>
      <c r="B59">
        <v>9827</v>
      </c>
      <c r="C59">
        <v>813488</v>
      </c>
      <c r="D59" s="2" t="str">
        <f>HYPERLINK("#BAREME_G_CORPS_PREF!A1","→ par grade")</f>
        <v>→ par grade</v>
      </c>
      <c r="E59" s="2" t="str">
        <f>HYPERLINK("#BAREME_S_CORPS_PREF!A1","→ par sexe")</f>
        <v>→ par sexe</v>
      </c>
    </row>
    <row r="60" spans="1:5" ht="15.5" x14ac:dyDescent="0.35">
      <c r="A60" s="2" t="str">
        <f>HYPERLINK("#BAREME_Cadre_Sup_Sant_!A1","Cadre-Sup-Santé")</f>
        <v>Cadre-Sup-Santé</v>
      </c>
      <c r="B60">
        <v>155886</v>
      </c>
      <c r="C60">
        <v>544752</v>
      </c>
      <c r="D60" s="2" t="str">
        <f>HYPERLINK("#BAREME_G_Cadre_Sup_Sant_!A1","→ par grade")</f>
        <v>→ par grade</v>
      </c>
      <c r="E60" s="2" t="str">
        <f>HYPERLINK("#BAREME_S_Cadre_Sup_Sant_!A1","→ par sexe")</f>
        <v>→ par sexe</v>
      </c>
    </row>
    <row r="61" spans="1:5" ht="15.5" x14ac:dyDescent="0.35">
      <c r="A61" s="2" t="str">
        <f>HYPERLINK("#BAREME_ENS_SEC___PRIM!A1","ENS SEC &amp; PRIM")</f>
        <v>ENS SEC &amp; PRIM</v>
      </c>
      <c r="B61">
        <v>3745924</v>
      </c>
      <c r="C61">
        <v>473821</v>
      </c>
      <c r="D61" s="2" t="str">
        <f>HYPERLINK("#BAREME_G_ENS_SEC___PRIM!A1","→ par grade")</f>
        <v>→ par grade</v>
      </c>
      <c r="E61" s="2" t="str">
        <f>HYPERLINK("#BAREME_S_ENS_SEC___PRIM!A1","→ par sexe")</f>
        <v>→ par sexe</v>
      </c>
    </row>
    <row r="62" spans="1:5" ht="15.5" x14ac:dyDescent="0.35">
      <c r="A62" s="2" t="str">
        <f>HYPERLINK("#BAREME_ENS_SUP!A1","ENS SUP")</f>
        <v>ENS SUP</v>
      </c>
      <c r="B62">
        <v>137828</v>
      </c>
      <c r="C62">
        <v>884490</v>
      </c>
      <c r="D62" s="2" t="str">
        <f>HYPERLINK("#BAREME_G_ENS_SUP!A1","→ par grade")</f>
        <v>→ par grade</v>
      </c>
      <c r="E62" s="2" t="str">
        <f>HYPERLINK("#BAREME_S_ENS_SUP!A1","→ par sexe")</f>
        <v>→ par sexe</v>
      </c>
    </row>
    <row r="63" spans="1:5" ht="15.5" x14ac:dyDescent="0.35">
      <c r="A63" s="2" t="str">
        <f>HYPERLINK("#BAREME_GREFFE!A1","GREFFE")</f>
        <v>GREFFE</v>
      </c>
      <c r="B63">
        <v>26845</v>
      </c>
      <c r="C63">
        <v>444941</v>
      </c>
      <c r="D63" s="2" t="str">
        <f>HYPERLINK("#BAREME_G_GREFFE!A1","→ par grade")</f>
        <v>→ par grade</v>
      </c>
      <c r="E63" s="2" t="str">
        <f>HYPERLINK("#BAREME_S_GREFFE!A1","→ par sexe")</f>
        <v>→ par sexe</v>
      </c>
    </row>
    <row r="64" spans="1:5" ht="15.5" x14ac:dyDescent="0.35">
      <c r="A64" s="2" t="str">
        <f>HYPERLINK("#BAREME_Informaticien!A1","Informaticien")</f>
        <v>Informaticien</v>
      </c>
      <c r="B64">
        <v>89772</v>
      </c>
      <c r="C64">
        <v>350247</v>
      </c>
      <c r="D64" s="2" t="str">
        <f>HYPERLINK("#BAREME_G_Informaticien!A1","→ par grade")</f>
        <v>→ par grade</v>
      </c>
      <c r="E64" s="2" t="str">
        <f>HYPERLINK("#BAREME_S_Informaticien!A1","→ par sexe")</f>
        <v>→ par sexe</v>
      </c>
    </row>
    <row r="65" spans="1:5" ht="15.5" x14ac:dyDescent="0.35">
      <c r="A65" s="2" t="str">
        <f>HYPERLINK("#BAREME_MAGISTRAT_!A1","MAGISTRAT ")</f>
        <v xml:space="preserve">MAGISTRAT </v>
      </c>
      <c r="B65">
        <v>15984</v>
      </c>
      <c r="C65">
        <v>1011892</v>
      </c>
      <c r="D65" s="2" t="str">
        <f>HYPERLINK("#BAREME_G_MAGISTRAT_!A1","→ par grade")</f>
        <v>→ par grade</v>
      </c>
      <c r="E65" s="2" t="str">
        <f>HYPERLINK("#BAREME_S_MAGISTRAT_!A1","→ par sexe")</f>
        <v>→ par sexe</v>
      </c>
    </row>
    <row r="66" spans="1:5" ht="15.5" x14ac:dyDescent="0.35">
      <c r="A66" s="2" t="str">
        <f>HYPERLINK("#BAREME_SECRETAIRE_DIRECTION!A1","SECRETAIRE DIRECTION")</f>
        <v>SECRETAIRE DIRECTION</v>
      </c>
      <c r="B66">
        <v>177900</v>
      </c>
      <c r="C66">
        <v>287772</v>
      </c>
      <c r="D66" s="2" t="str">
        <f>HYPERLINK("#BAREME_G_SECRETAIRE_DIRECTION!A1","→ par grade")</f>
        <v>→ par grade</v>
      </c>
      <c r="E66" s="2" t="str">
        <f>HYPERLINK("#BAREME_S_SECRETAIRE_DIRECTION!A1","→ par sexe")</f>
        <v>→ par sexe</v>
      </c>
    </row>
    <row r="67" spans="1:5" ht="15.5" x14ac:dyDescent="0.35">
      <c r="A67" s="2" t="str">
        <f>HYPERLINK("#BAREME_Tech_Sant_!A1","Tech-Santé")</f>
        <v>Tech-Santé</v>
      </c>
      <c r="B67">
        <v>803221</v>
      </c>
      <c r="C67">
        <v>319786</v>
      </c>
      <c r="D67" s="2" t="str">
        <f>HYPERLINK("#BAREME_G_Tech_Sant_!A1","→ par grade")</f>
        <v>→ par grade</v>
      </c>
      <c r="E67" s="2" t="str">
        <f>HYPERLINK("#BAREME_S_Tech_Sant_!A1","→ par sexe")</f>
        <v>→ par sexe</v>
      </c>
    </row>
    <row r="70" spans="1:5" ht="28" customHeight="1" x14ac:dyDescent="0.35">
      <c r="A70" s="7" t="s">
        <v>26</v>
      </c>
      <c r="B70" s="4"/>
      <c r="C70" s="4"/>
      <c r="D70" s="4"/>
      <c r="E70" s="4"/>
    </row>
    <row r="71" spans="1:5" x14ac:dyDescent="0.35">
      <c r="A71" s="1" t="s">
        <v>27</v>
      </c>
      <c r="B71" s="1" t="s">
        <v>28</v>
      </c>
      <c r="C71" s="1"/>
      <c r="D71" s="1"/>
      <c r="E71" s="1"/>
    </row>
    <row r="72" spans="1:5" ht="15.5" x14ac:dyDescent="0.35">
      <c r="A72">
        <v>2024</v>
      </c>
      <c r="B72" s="2" t="str">
        <f>HYPERLINK("#MODELE_ANSTAT_2024!A1","Voir le modèle ANSTAT 2024 →")</f>
        <v>Voir le modèle ANSTAT 2024 →</v>
      </c>
    </row>
    <row r="73" spans="1:5" ht="15.5" x14ac:dyDescent="0.35">
      <c r="A73">
        <v>2025</v>
      </c>
      <c r="B73" s="2" t="str">
        <f>HYPERLINK("#MODELE_ANSTAT_2025!A1","Voir le modèle ANSTAT 2025 →")</f>
        <v>Voir le modèle ANSTAT 2025 →</v>
      </c>
    </row>
  </sheetData>
  <mergeCells count="8">
    <mergeCell ref="A1:E1"/>
    <mergeCell ref="A17:E17"/>
    <mergeCell ref="A70:E70"/>
    <mergeCell ref="A39:E39"/>
    <mergeCell ref="A55:E55"/>
    <mergeCell ref="A4:E4"/>
    <mergeCell ref="A2:E2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7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43</v>
      </c>
      <c r="E5" t="s">
        <v>44</v>
      </c>
      <c r="F5">
        <v>1685</v>
      </c>
      <c r="G5">
        <v>581295</v>
      </c>
      <c r="H5">
        <v>525582</v>
      </c>
      <c r="I5">
        <v>325286</v>
      </c>
      <c r="J5">
        <v>1036706</v>
      </c>
      <c r="K5">
        <v>432540</v>
      </c>
      <c r="L5">
        <v>725116</v>
      </c>
    </row>
    <row r="6" spans="1:12" x14ac:dyDescent="0.35">
      <c r="A6">
        <v>2024</v>
      </c>
      <c r="B6">
        <v>1</v>
      </c>
      <c r="C6" t="s">
        <v>42</v>
      </c>
      <c r="D6" t="s">
        <v>45</v>
      </c>
      <c r="E6" t="s">
        <v>46</v>
      </c>
      <c r="F6">
        <v>155</v>
      </c>
      <c r="G6">
        <v>698343</v>
      </c>
      <c r="H6">
        <v>695411</v>
      </c>
      <c r="I6">
        <v>620090</v>
      </c>
      <c r="J6">
        <v>768416</v>
      </c>
      <c r="K6">
        <v>680092</v>
      </c>
      <c r="L6">
        <v>715411</v>
      </c>
    </row>
    <row r="7" spans="1:12" x14ac:dyDescent="0.35">
      <c r="A7">
        <v>2024</v>
      </c>
      <c r="B7">
        <v>1</v>
      </c>
      <c r="C7" t="s">
        <v>42</v>
      </c>
      <c r="D7" t="s">
        <v>47</v>
      </c>
      <c r="E7" t="s">
        <v>48</v>
      </c>
      <c r="F7">
        <v>2</v>
      </c>
      <c r="G7">
        <v>681642</v>
      </c>
      <c r="H7">
        <v>681642</v>
      </c>
      <c r="I7">
        <v>672592</v>
      </c>
      <c r="J7">
        <v>690693</v>
      </c>
      <c r="K7">
        <v>672592</v>
      </c>
      <c r="L7">
        <v>690693</v>
      </c>
    </row>
    <row r="8" spans="1:12" x14ac:dyDescent="0.35">
      <c r="A8">
        <v>2024</v>
      </c>
      <c r="B8">
        <v>1</v>
      </c>
      <c r="C8" t="s">
        <v>42</v>
      </c>
      <c r="D8" t="s">
        <v>49</v>
      </c>
      <c r="E8" t="s">
        <v>50</v>
      </c>
      <c r="F8">
        <v>2605</v>
      </c>
      <c r="G8">
        <v>545326</v>
      </c>
      <c r="H8">
        <v>561038</v>
      </c>
      <c r="I8">
        <v>325286</v>
      </c>
      <c r="J8">
        <v>728379</v>
      </c>
      <c r="K8">
        <v>457675</v>
      </c>
      <c r="L8">
        <v>644081</v>
      </c>
    </row>
    <row r="9" spans="1:12" x14ac:dyDescent="0.35">
      <c r="A9">
        <v>2024</v>
      </c>
      <c r="B9">
        <v>1</v>
      </c>
      <c r="C9" t="s">
        <v>42</v>
      </c>
      <c r="D9" t="s">
        <v>51</v>
      </c>
      <c r="E9" t="s">
        <v>52</v>
      </c>
      <c r="F9">
        <v>42</v>
      </c>
      <c r="G9">
        <v>601697</v>
      </c>
      <c r="H9">
        <v>613439</v>
      </c>
      <c r="I9">
        <v>447675</v>
      </c>
      <c r="J9">
        <v>685324</v>
      </c>
      <c r="K9">
        <v>548538</v>
      </c>
      <c r="L9">
        <v>667689</v>
      </c>
    </row>
    <row r="10" spans="1:12" x14ac:dyDescent="0.35">
      <c r="A10">
        <v>2024</v>
      </c>
      <c r="B10">
        <v>1</v>
      </c>
      <c r="C10" t="s">
        <v>42</v>
      </c>
      <c r="D10" t="s">
        <v>53</v>
      </c>
      <c r="E10" t="s">
        <v>54</v>
      </c>
      <c r="F10">
        <v>24</v>
      </c>
      <c r="G10">
        <v>673966</v>
      </c>
      <c r="H10">
        <v>682549</v>
      </c>
      <c r="I10">
        <v>568538</v>
      </c>
      <c r="J10">
        <v>715879</v>
      </c>
      <c r="K10">
        <v>673379</v>
      </c>
      <c r="L10">
        <v>685879</v>
      </c>
    </row>
    <row r="11" spans="1:12" x14ac:dyDescent="0.35">
      <c r="A11">
        <v>2024</v>
      </c>
      <c r="B11">
        <v>1</v>
      </c>
      <c r="C11" t="s">
        <v>42</v>
      </c>
      <c r="D11" t="s">
        <v>55</v>
      </c>
      <c r="E11" t="s">
        <v>56</v>
      </c>
      <c r="F11">
        <v>152</v>
      </c>
      <c r="G11">
        <v>710314</v>
      </c>
      <c r="H11">
        <v>738582</v>
      </c>
      <c r="I11">
        <v>543304</v>
      </c>
      <c r="J11">
        <v>934587</v>
      </c>
      <c r="K11">
        <v>679169</v>
      </c>
      <c r="L11">
        <v>778736</v>
      </c>
    </row>
    <row r="12" spans="1:12" x14ac:dyDescent="0.35">
      <c r="A12">
        <v>2024</v>
      </c>
      <c r="B12">
        <v>1</v>
      </c>
      <c r="C12" t="s">
        <v>42</v>
      </c>
      <c r="D12" t="s">
        <v>57</v>
      </c>
      <c r="E12" t="s">
        <v>58</v>
      </c>
      <c r="F12">
        <v>11</v>
      </c>
      <c r="G12">
        <v>656089</v>
      </c>
      <c r="H12">
        <v>665879</v>
      </c>
      <c r="I12">
        <v>614868</v>
      </c>
      <c r="J12">
        <v>703379</v>
      </c>
      <c r="K12">
        <v>634868</v>
      </c>
      <c r="L12">
        <v>685879</v>
      </c>
    </row>
    <row r="13" spans="1:12" x14ac:dyDescent="0.35">
      <c r="A13">
        <v>2024</v>
      </c>
      <c r="B13">
        <v>1</v>
      </c>
      <c r="C13" t="s">
        <v>42</v>
      </c>
      <c r="D13" t="s">
        <v>59</v>
      </c>
      <c r="E13" t="s">
        <v>60</v>
      </c>
      <c r="F13">
        <v>2</v>
      </c>
      <c r="G13">
        <v>604597</v>
      </c>
      <c r="H13">
        <v>604597</v>
      </c>
      <c r="I13">
        <v>579326</v>
      </c>
      <c r="J13">
        <v>629868</v>
      </c>
      <c r="K13">
        <v>579326</v>
      </c>
      <c r="L13">
        <v>629868</v>
      </c>
    </row>
    <row r="14" spans="1:12" x14ac:dyDescent="0.35">
      <c r="A14">
        <v>2024</v>
      </c>
      <c r="B14">
        <v>1</v>
      </c>
      <c r="C14" t="s">
        <v>42</v>
      </c>
      <c r="D14" t="s">
        <v>61</v>
      </c>
      <c r="E14" t="s">
        <v>62</v>
      </c>
      <c r="F14">
        <v>84</v>
      </c>
      <c r="G14">
        <v>457263</v>
      </c>
      <c r="H14">
        <v>429485</v>
      </c>
      <c r="I14">
        <v>317836</v>
      </c>
      <c r="J14">
        <v>704351</v>
      </c>
      <c r="K14">
        <v>395322</v>
      </c>
      <c r="L14">
        <v>451985</v>
      </c>
    </row>
    <row r="15" spans="1:12" x14ac:dyDescent="0.35">
      <c r="A15">
        <v>2024</v>
      </c>
      <c r="B15">
        <v>2</v>
      </c>
      <c r="C15" t="s">
        <v>63</v>
      </c>
      <c r="D15" t="s">
        <v>43</v>
      </c>
      <c r="E15" t="s">
        <v>44</v>
      </c>
      <c r="F15">
        <v>1747</v>
      </c>
      <c r="G15">
        <v>594345</v>
      </c>
      <c r="H15">
        <v>563773</v>
      </c>
      <c r="I15">
        <v>325286</v>
      </c>
      <c r="J15">
        <v>1036706</v>
      </c>
      <c r="K15">
        <v>450544</v>
      </c>
      <c r="L15">
        <v>740116</v>
      </c>
    </row>
    <row r="16" spans="1:12" x14ac:dyDescent="0.35">
      <c r="A16">
        <v>2024</v>
      </c>
      <c r="B16">
        <v>2</v>
      </c>
      <c r="C16" t="s">
        <v>63</v>
      </c>
      <c r="D16" t="s">
        <v>45</v>
      </c>
      <c r="E16" t="s">
        <v>46</v>
      </c>
      <c r="F16">
        <v>159</v>
      </c>
      <c r="G16">
        <v>713252</v>
      </c>
      <c r="H16">
        <v>716541</v>
      </c>
      <c r="I16">
        <v>620090</v>
      </c>
      <c r="J16">
        <v>779041</v>
      </c>
      <c r="K16">
        <v>700090</v>
      </c>
      <c r="L16">
        <v>731541</v>
      </c>
    </row>
    <row r="17" spans="1:12" x14ac:dyDescent="0.35">
      <c r="A17">
        <v>2024</v>
      </c>
      <c r="B17">
        <v>2</v>
      </c>
      <c r="C17" t="s">
        <v>63</v>
      </c>
      <c r="D17" t="s">
        <v>47</v>
      </c>
      <c r="E17" t="s">
        <v>48</v>
      </c>
      <c r="F17">
        <v>2</v>
      </c>
      <c r="G17">
        <v>703726</v>
      </c>
      <c r="H17">
        <v>703726</v>
      </c>
      <c r="I17">
        <v>690693</v>
      </c>
      <c r="J17">
        <v>716760</v>
      </c>
      <c r="K17">
        <v>690693</v>
      </c>
      <c r="L17">
        <v>716760</v>
      </c>
    </row>
    <row r="18" spans="1:12" x14ac:dyDescent="0.35">
      <c r="A18">
        <v>2024</v>
      </c>
      <c r="B18">
        <v>2</v>
      </c>
      <c r="C18" t="s">
        <v>63</v>
      </c>
      <c r="D18" t="s">
        <v>49</v>
      </c>
      <c r="E18" t="s">
        <v>50</v>
      </c>
      <c r="F18">
        <v>2638</v>
      </c>
      <c r="G18">
        <v>555225</v>
      </c>
      <c r="H18">
        <v>581038</v>
      </c>
      <c r="I18">
        <v>325286</v>
      </c>
      <c r="J18">
        <v>728379</v>
      </c>
      <c r="K18">
        <v>472155</v>
      </c>
      <c r="L18">
        <v>652455</v>
      </c>
    </row>
    <row r="19" spans="1:12" x14ac:dyDescent="0.35">
      <c r="A19">
        <v>2024</v>
      </c>
      <c r="B19">
        <v>2</v>
      </c>
      <c r="C19" t="s">
        <v>63</v>
      </c>
      <c r="D19" t="s">
        <v>64</v>
      </c>
      <c r="E19" t="s">
        <v>65</v>
      </c>
      <c r="F19">
        <v>1</v>
      </c>
      <c r="G19">
        <v>342368</v>
      </c>
      <c r="H19">
        <v>342368</v>
      </c>
      <c r="I19">
        <v>342368</v>
      </c>
      <c r="J19">
        <v>342368</v>
      </c>
      <c r="K19">
        <v>342368</v>
      </c>
      <c r="L19">
        <v>342368</v>
      </c>
    </row>
    <row r="20" spans="1:12" x14ac:dyDescent="0.35">
      <c r="A20">
        <v>2024</v>
      </c>
      <c r="B20">
        <v>2</v>
      </c>
      <c r="C20" t="s">
        <v>63</v>
      </c>
      <c r="D20" t="s">
        <v>51</v>
      </c>
      <c r="E20" t="s">
        <v>52</v>
      </c>
      <c r="F20">
        <v>42</v>
      </c>
      <c r="G20">
        <v>607423</v>
      </c>
      <c r="H20">
        <v>614942</v>
      </c>
      <c r="I20">
        <v>447675</v>
      </c>
      <c r="J20">
        <v>685324</v>
      </c>
      <c r="K20">
        <v>554358</v>
      </c>
      <c r="L20">
        <v>675140</v>
      </c>
    </row>
    <row r="21" spans="1:12" x14ac:dyDescent="0.35">
      <c r="A21">
        <v>2024</v>
      </c>
      <c r="B21">
        <v>2</v>
      </c>
      <c r="C21" t="s">
        <v>63</v>
      </c>
      <c r="D21" t="s">
        <v>53</v>
      </c>
      <c r="E21" t="s">
        <v>54</v>
      </c>
      <c r="F21">
        <v>23</v>
      </c>
      <c r="G21">
        <v>673520</v>
      </c>
      <c r="H21">
        <v>680880</v>
      </c>
      <c r="I21">
        <v>568538</v>
      </c>
      <c r="J21">
        <v>715879</v>
      </c>
      <c r="K21">
        <v>673379</v>
      </c>
      <c r="L21">
        <v>688380</v>
      </c>
    </row>
    <row r="22" spans="1:12" x14ac:dyDescent="0.35">
      <c r="A22">
        <v>2024</v>
      </c>
      <c r="B22">
        <v>2</v>
      </c>
      <c r="C22" t="s">
        <v>63</v>
      </c>
      <c r="D22" t="s">
        <v>55</v>
      </c>
      <c r="E22" t="s">
        <v>56</v>
      </c>
      <c r="F22">
        <v>154</v>
      </c>
      <c r="G22">
        <v>714992</v>
      </c>
      <c r="H22">
        <v>739020</v>
      </c>
      <c r="I22">
        <v>543304</v>
      </c>
      <c r="J22">
        <v>1010733</v>
      </c>
      <c r="K22">
        <v>686669</v>
      </c>
      <c r="L22">
        <v>778736</v>
      </c>
    </row>
    <row r="23" spans="1:12" x14ac:dyDescent="0.35">
      <c r="A23">
        <v>2024</v>
      </c>
      <c r="B23">
        <v>2</v>
      </c>
      <c r="C23" t="s">
        <v>63</v>
      </c>
      <c r="D23" t="s">
        <v>57</v>
      </c>
      <c r="E23" t="s">
        <v>58</v>
      </c>
      <c r="F23">
        <v>11</v>
      </c>
      <c r="G23">
        <v>658242</v>
      </c>
      <c r="H23">
        <v>665879</v>
      </c>
      <c r="I23">
        <v>614868</v>
      </c>
      <c r="J23">
        <v>703379</v>
      </c>
      <c r="K23">
        <v>634868</v>
      </c>
      <c r="L23">
        <v>685879</v>
      </c>
    </row>
    <row r="24" spans="1:12" x14ac:dyDescent="0.35">
      <c r="A24">
        <v>2024</v>
      </c>
      <c r="B24">
        <v>2</v>
      </c>
      <c r="C24" t="s">
        <v>63</v>
      </c>
      <c r="D24" t="s">
        <v>59</v>
      </c>
      <c r="E24" t="s">
        <v>60</v>
      </c>
      <c r="F24">
        <v>2</v>
      </c>
      <c r="G24">
        <v>624732</v>
      </c>
      <c r="H24">
        <v>624732</v>
      </c>
      <c r="I24">
        <v>599462</v>
      </c>
      <c r="J24">
        <v>650003</v>
      </c>
      <c r="K24">
        <v>599462</v>
      </c>
      <c r="L24">
        <v>650003</v>
      </c>
    </row>
    <row r="25" spans="1:12" x14ac:dyDescent="0.35">
      <c r="A25">
        <v>2024</v>
      </c>
      <c r="B25">
        <v>2</v>
      </c>
      <c r="C25" t="s">
        <v>63</v>
      </c>
      <c r="D25" t="s">
        <v>61</v>
      </c>
      <c r="E25" t="s">
        <v>62</v>
      </c>
      <c r="F25">
        <v>93</v>
      </c>
      <c r="G25">
        <v>443168</v>
      </c>
      <c r="H25">
        <v>429485</v>
      </c>
      <c r="I25">
        <v>302836</v>
      </c>
      <c r="J25">
        <v>704351</v>
      </c>
      <c r="K25">
        <v>342836</v>
      </c>
      <c r="L25">
        <v>446985</v>
      </c>
    </row>
    <row r="26" spans="1:12" x14ac:dyDescent="0.35">
      <c r="A26">
        <v>2024</v>
      </c>
      <c r="B26">
        <v>3</v>
      </c>
      <c r="C26" t="s">
        <v>66</v>
      </c>
      <c r="D26" t="s">
        <v>43</v>
      </c>
      <c r="E26" t="s">
        <v>44</v>
      </c>
      <c r="F26">
        <v>1944</v>
      </c>
      <c r="G26">
        <v>640407</v>
      </c>
      <c r="H26">
        <v>580804</v>
      </c>
      <c r="I26">
        <v>325286</v>
      </c>
      <c r="J26">
        <v>1406212</v>
      </c>
      <c r="K26">
        <v>443044</v>
      </c>
      <c r="L26">
        <v>849723</v>
      </c>
    </row>
    <row r="27" spans="1:12" x14ac:dyDescent="0.35">
      <c r="A27">
        <v>2024</v>
      </c>
      <c r="B27">
        <v>3</v>
      </c>
      <c r="C27" t="s">
        <v>66</v>
      </c>
      <c r="D27" t="s">
        <v>45</v>
      </c>
      <c r="E27" t="s">
        <v>46</v>
      </c>
      <c r="F27">
        <v>158</v>
      </c>
      <c r="G27">
        <v>706142</v>
      </c>
      <c r="H27">
        <v>706149</v>
      </c>
      <c r="I27">
        <v>620090</v>
      </c>
      <c r="J27">
        <v>768649</v>
      </c>
      <c r="K27">
        <v>695411</v>
      </c>
      <c r="L27">
        <v>720916</v>
      </c>
    </row>
    <row r="28" spans="1:12" x14ac:dyDescent="0.35">
      <c r="A28">
        <v>2024</v>
      </c>
      <c r="B28">
        <v>3</v>
      </c>
      <c r="C28" t="s">
        <v>66</v>
      </c>
      <c r="D28" t="s">
        <v>47</v>
      </c>
      <c r="E28" t="s">
        <v>48</v>
      </c>
      <c r="F28">
        <v>2</v>
      </c>
      <c r="G28">
        <v>693052</v>
      </c>
      <c r="H28">
        <v>693052</v>
      </c>
      <c r="I28">
        <v>690693</v>
      </c>
      <c r="J28">
        <v>695411</v>
      </c>
      <c r="K28">
        <v>690693</v>
      </c>
      <c r="L28">
        <v>695411</v>
      </c>
    </row>
    <row r="29" spans="1:12" x14ac:dyDescent="0.35">
      <c r="A29">
        <v>2024</v>
      </c>
      <c r="B29">
        <v>3</v>
      </c>
      <c r="C29" t="s">
        <v>66</v>
      </c>
      <c r="D29" t="s">
        <v>49</v>
      </c>
      <c r="E29" t="s">
        <v>50</v>
      </c>
      <c r="F29">
        <v>2693</v>
      </c>
      <c r="G29">
        <v>546160</v>
      </c>
      <c r="H29">
        <v>565903</v>
      </c>
      <c r="I29">
        <v>325286</v>
      </c>
      <c r="J29">
        <v>728379</v>
      </c>
      <c r="K29">
        <v>458044</v>
      </c>
      <c r="L29">
        <v>644400</v>
      </c>
    </row>
    <row r="30" spans="1:12" x14ac:dyDescent="0.35">
      <c r="A30">
        <v>2024</v>
      </c>
      <c r="B30">
        <v>3</v>
      </c>
      <c r="C30" t="s">
        <v>66</v>
      </c>
      <c r="D30" t="s">
        <v>64</v>
      </c>
      <c r="E30" t="s">
        <v>65</v>
      </c>
      <c r="F30">
        <v>15</v>
      </c>
      <c r="G30">
        <v>342368</v>
      </c>
      <c r="H30">
        <v>342368</v>
      </c>
      <c r="I30">
        <v>342368</v>
      </c>
      <c r="J30">
        <v>342368</v>
      </c>
      <c r="K30">
        <v>342368</v>
      </c>
      <c r="L30">
        <v>342368</v>
      </c>
    </row>
    <row r="31" spans="1:12" x14ac:dyDescent="0.35">
      <c r="A31">
        <v>2024</v>
      </c>
      <c r="B31">
        <v>3</v>
      </c>
      <c r="C31" t="s">
        <v>66</v>
      </c>
      <c r="D31" t="s">
        <v>51</v>
      </c>
      <c r="E31" t="s">
        <v>52</v>
      </c>
      <c r="F31">
        <v>43</v>
      </c>
      <c r="G31">
        <v>603093</v>
      </c>
      <c r="H31">
        <v>613439</v>
      </c>
      <c r="I31">
        <v>447675</v>
      </c>
      <c r="J31">
        <v>685324</v>
      </c>
      <c r="K31">
        <v>556038</v>
      </c>
      <c r="L31">
        <v>667689</v>
      </c>
    </row>
    <row r="32" spans="1:12" x14ac:dyDescent="0.35">
      <c r="A32">
        <v>2024</v>
      </c>
      <c r="B32">
        <v>3</v>
      </c>
      <c r="C32" t="s">
        <v>66</v>
      </c>
      <c r="D32" t="s">
        <v>53</v>
      </c>
      <c r="E32" t="s">
        <v>54</v>
      </c>
      <c r="F32">
        <v>23</v>
      </c>
      <c r="G32">
        <v>673520</v>
      </c>
      <c r="H32">
        <v>680880</v>
      </c>
      <c r="I32">
        <v>568538</v>
      </c>
      <c r="J32">
        <v>715879</v>
      </c>
      <c r="K32">
        <v>673379</v>
      </c>
      <c r="L32">
        <v>688380</v>
      </c>
    </row>
    <row r="33" spans="1:12" x14ac:dyDescent="0.35">
      <c r="A33">
        <v>2024</v>
      </c>
      <c r="B33">
        <v>3</v>
      </c>
      <c r="C33" t="s">
        <v>66</v>
      </c>
      <c r="D33" t="s">
        <v>55</v>
      </c>
      <c r="E33" t="s">
        <v>56</v>
      </c>
      <c r="F33">
        <v>151</v>
      </c>
      <c r="G33">
        <v>719380</v>
      </c>
      <c r="H33">
        <v>741520</v>
      </c>
      <c r="I33">
        <v>543304</v>
      </c>
      <c r="J33">
        <v>1010733</v>
      </c>
      <c r="K33">
        <v>695879</v>
      </c>
      <c r="L33">
        <v>781236</v>
      </c>
    </row>
    <row r="34" spans="1:12" x14ac:dyDescent="0.35">
      <c r="A34">
        <v>2024</v>
      </c>
      <c r="B34">
        <v>3</v>
      </c>
      <c r="C34" t="s">
        <v>66</v>
      </c>
      <c r="D34" t="s">
        <v>57</v>
      </c>
      <c r="E34" t="s">
        <v>58</v>
      </c>
      <c r="F34">
        <v>11</v>
      </c>
      <c r="G34">
        <v>657560</v>
      </c>
      <c r="H34">
        <v>665879</v>
      </c>
      <c r="I34">
        <v>614868</v>
      </c>
      <c r="J34">
        <v>703379</v>
      </c>
      <c r="K34">
        <v>634868</v>
      </c>
      <c r="L34">
        <v>685879</v>
      </c>
    </row>
    <row r="35" spans="1:12" x14ac:dyDescent="0.35">
      <c r="A35">
        <v>2024</v>
      </c>
      <c r="B35">
        <v>3</v>
      </c>
      <c r="C35" t="s">
        <v>66</v>
      </c>
      <c r="D35" t="s">
        <v>59</v>
      </c>
      <c r="E35" t="s">
        <v>60</v>
      </c>
      <c r="F35">
        <v>2</v>
      </c>
      <c r="G35">
        <v>604597</v>
      </c>
      <c r="H35">
        <v>604597</v>
      </c>
      <c r="I35">
        <v>579326</v>
      </c>
      <c r="J35">
        <v>629868</v>
      </c>
      <c r="K35">
        <v>579326</v>
      </c>
      <c r="L35">
        <v>629868</v>
      </c>
    </row>
    <row r="36" spans="1:12" x14ac:dyDescent="0.35">
      <c r="A36">
        <v>2024</v>
      </c>
      <c r="B36">
        <v>3</v>
      </c>
      <c r="C36" t="s">
        <v>66</v>
      </c>
      <c r="D36" t="s">
        <v>61</v>
      </c>
      <c r="E36" t="s">
        <v>62</v>
      </c>
      <c r="F36">
        <v>96</v>
      </c>
      <c r="G36">
        <v>445998</v>
      </c>
      <c r="H36">
        <v>429485</v>
      </c>
      <c r="I36">
        <v>302836</v>
      </c>
      <c r="J36">
        <v>704351</v>
      </c>
      <c r="K36">
        <v>370792</v>
      </c>
      <c r="L36">
        <v>446985</v>
      </c>
    </row>
    <row r="37" spans="1:12" x14ac:dyDescent="0.35">
      <c r="A37">
        <v>2024</v>
      </c>
      <c r="B37">
        <v>4</v>
      </c>
      <c r="C37" t="s">
        <v>67</v>
      </c>
      <c r="D37" t="s">
        <v>43</v>
      </c>
      <c r="E37" t="s">
        <v>44</v>
      </c>
      <c r="F37">
        <v>1834</v>
      </c>
      <c r="G37">
        <v>583425</v>
      </c>
      <c r="H37">
        <v>528403</v>
      </c>
      <c r="I37">
        <v>325286</v>
      </c>
      <c r="J37">
        <v>1341172</v>
      </c>
      <c r="K37">
        <v>443044</v>
      </c>
      <c r="L37">
        <v>732616</v>
      </c>
    </row>
    <row r="38" spans="1:12" x14ac:dyDescent="0.35">
      <c r="A38">
        <v>2024</v>
      </c>
      <c r="B38">
        <v>4</v>
      </c>
      <c r="C38" t="s">
        <v>67</v>
      </c>
      <c r="D38" t="s">
        <v>45</v>
      </c>
      <c r="E38" t="s">
        <v>46</v>
      </c>
      <c r="F38">
        <v>159</v>
      </c>
      <c r="G38">
        <v>707831</v>
      </c>
      <c r="H38">
        <v>706149</v>
      </c>
      <c r="I38">
        <v>620090</v>
      </c>
      <c r="J38">
        <v>768649</v>
      </c>
      <c r="K38">
        <v>695411</v>
      </c>
      <c r="L38">
        <v>721149</v>
      </c>
    </row>
    <row r="39" spans="1:12" x14ac:dyDescent="0.35">
      <c r="A39">
        <v>2024</v>
      </c>
      <c r="B39">
        <v>4</v>
      </c>
      <c r="C39" t="s">
        <v>67</v>
      </c>
      <c r="D39" t="s">
        <v>47</v>
      </c>
      <c r="E39" t="s">
        <v>48</v>
      </c>
      <c r="F39">
        <v>2</v>
      </c>
      <c r="G39">
        <v>693052</v>
      </c>
      <c r="H39">
        <v>693052</v>
      </c>
      <c r="I39">
        <v>690693</v>
      </c>
      <c r="J39">
        <v>695411</v>
      </c>
      <c r="K39">
        <v>690693</v>
      </c>
      <c r="L39">
        <v>695411</v>
      </c>
    </row>
    <row r="40" spans="1:12" x14ac:dyDescent="0.35">
      <c r="A40">
        <v>2024</v>
      </c>
      <c r="B40">
        <v>4</v>
      </c>
      <c r="C40" t="s">
        <v>67</v>
      </c>
      <c r="D40" t="s">
        <v>49</v>
      </c>
      <c r="E40" t="s">
        <v>50</v>
      </c>
      <c r="F40">
        <v>2736</v>
      </c>
      <c r="G40">
        <v>545472</v>
      </c>
      <c r="H40">
        <v>563304</v>
      </c>
      <c r="I40">
        <v>325286</v>
      </c>
      <c r="J40">
        <v>728379</v>
      </c>
      <c r="K40">
        <v>458044</v>
      </c>
      <c r="L40">
        <v>643944</v>
      </c>
    </row>
    <row r="41" spans="1:12" x14ac:dyDescent="0.35">
      <c r="A41">
        <v>2024</v>
      </c>
      <c r="B41">
        <v>4</v>
      </c>
      <c r="C41" t="s">
        <v>67</v>
      </c>
      <c r="D41" t="s">
        <v>64</v>
      </c>
      <c r="E41" t="s">
        <v>65</v>
      </c>
      <c r="F41">
        <v>20</v>
      </c>
      <c r="G41">
        <v>342368</v>
      </c>
      <c r="H41">
        <v>342368</v>
      </c>
      <c r="I41">
        <v>342368</v>
      </c>
      <c r="J41">
        <v>342368</v>
      </c>
      <c r="K41">
        <v>342368</v>
      </c>
      <c r="L41">
        <v>342368</v>
      </c>
    </row>
    <row r="42" spans="1:12" x14ac:dyDescent="0.35">
      <c r="A42">
        <v>2024</v>
      </c>
      <c r="B42">
        <v>4</v>
      </c>
      <c r="C42" t="s">
        <v>67</v>
      </c>
      <c r="D42" t="s">
        <v>51</v>
      </c>
      <c r="E42" t="s">
        <v>52</v>
      </c>
      <c r="F42">
        <v>43</v>
      </c>
      <c r="G42">
        <v>604904</v>
      </c>
      <c r="H42">
        <v>608944</v>
      </c>
      <c r="I42">
        <v>447675</v>
      </c>
      <c r="J42">
        <v>685324</v>
      </c>
      <c r="K42">
        <v>561038</v>
      </c>
      <c r="L42">
        <v>667689</v>
      </c>
    </row>
    <row r="43" spans="1:12" x14ac:dyDescent="0.35">
      <c r="A43">
        <v>2024</v>
      </c>
      <c r="B43">
        <v>4</v>
      </c>
      <c r="C43" t="s">
        <v>67</v>
      </c>
      <c r="D43" t="s">
        <v>53</v>
      </c>
      <c r="E43" t="s">
        <v>54</v>
      </c>
      <c r="F43">
        <v>23</v>
      </c>
      <c r="G43">
        <v>673520</v>
      </c>
      <c r="H43">
        <v>680880</v>
      </c>
      <c r="I43">
        <v>568538</v>
      </c>
      <c r="J43">
        <v>715879</v>
      </c>
      <c r="K43">
        <v>673379</v>
      </c>
      <c r="L43">
        <v>688380</v>
      </c>
    </row>
    <row r="44" spans="1:12" x14ac:dyDescent="0.35">
      <c r="A44">
        <v>2024</v>
      </c>
      <c r="B44">
        <v>4</v>
      </c>
      <c r="C44" t="s">
        <v>67</v>
      </c>
      <c r="D44" t="s">
        <v>55</v>
      </c>
      <c r="E44" t="s">
        <v>56</v>
      </c>
      <c r="F44">
        <v>150</v>
      </c>
      <c r="G44">
        <v>718882</v>
      </c>
      <c r="H44">
        <v>740270</v>
      </c>
      <c r="I44">
        <v>543304</v>
      </c>
      <c r="J44">
        <v>1010733</v>
      </c>
      <c r="K44">
        <v>693379</v>
      </c>
      <c r="L44">
        <v>786236</v>
      </c>
    </row>
    <row r="45" spans="1:12" x14ac:dyDescent="0.35">
      <c r="A45">
        <v>2024</v>
      </c>
      <c r="B45">
        <v>4</v>
      </c>
      <c r="C45" t="s">
        <v>67</v>
      </c>
      <c r="D45" t="s">
        <v>57</v>
      </c>
      <c r="E45" t="s">
        <v>58</v>
      </c>
      <c r="F45">
        <v>11</v>
      </c>
      <c r="G45">
        <v>652907</v>
      </c>
      <c r="H45">
        <v>665879</v>
      </c>
      <c r="I45">
        <v>614868</v>
      </c>
      <c r="J45">
        <v>688379</v>
      </c>
      <c r="K45">
        <v>629868</v>
      </c>
      <c r="L45">
        <v>683379</v>
      </c>
    </row>
    <row r="46" spans="1:12" x14ac:dyDescent="0.35">
      <c r="A46">
        <v>2024</v>
      </c>
      <c r="B46">
        <v>4</v>
      </c>
      <c r="C46" t="s">
        <v>67</v>
      </c>
      <c r="D46" t="s">
        <v>59</v>
      </c>
      <c r="E46" t="s">
        <v>60</v>
      </c>
      <c r="F46">
        <v>2</v>
      </c>
      <c r="G46">
        <v>604597</v>
      </c>
      <c r="H46">
        <v>604597</v>
      </c>
      <c r="I46">
        <v>579326</v>
      </c>
      <c r="J46">
        <v>629868</v>
      </c>
      <c r="K46">
        <v>579326</v>
      </c>
      <c r="L46">
        <v>629868</v>
      </c>
    </row>
    <row r="47" spans="1:12" x14ac:dyDescent="0.35">
      <c r="A47">
        <v>2024</v>
      </c>
      <c r="B47">
        <v>4</v>
      </c>
      <c r="C47" t="s">
        <v>67</v>
      </c>
      <c r="D47" t="s">
        <v>61</v>
      </c>
      <c r="E47" t="s">
        <v>62</v>
      </c>
      <c r="F47">
        <v>103</v>
      </c>
      <c r="G47">
        <v>443540</v>
      </c>
      <c r="H47">
        <v>429485</v>
      </c>
      <c r="I47">
        <v>302836</v>
      </c>
      <c r="J47">
        <v>704351</v>
      </c>
      <c r="K47">
        <v>373292</v>
      </c>
      <c r="L47">
        <v>444485</v>
      </c>
    </row>
    <row r="48" spans="1:12" x14ac:dyDescent="0.35">
      <c r="A48">
        <v>2024</v>
      </c>
      <c r="B48">
        <v>5</v>
      </c>
      <c r="C48" t="s">
        <v>68</v>
      </c>
      <c r="D48" t="s">
        <v>43</v>
      </c>
      <c r="E48" t="s">
        <v>44</v>
      </c>
      <c r="F48">
        <v>1855</v>
      </c>
      <c r="G48">
        <v>577774</v>
      </c>
      <c r="H48">
        <v>520903</v>
      </c>
      <c r="I48">
        <v>325286</v>
      </c>
      <c r="J48">
        <v>1419928</v>
      </c>
      <c r="K48">
        <v>440544</v>
      </c>
      <c r="L48">
        <v>725116</v>
      </c>
    </row>
    <row r="49" spans="1:12" x14ac:dyDescent="0.35">
      <c r="A49">
        <v>2024</v>
      </c>
      <c r="B49">
        <v>5</v>
      </c>
      <c r="C49" t="s">
        <v>68</v>
      </c>
      <c r="D49" t="s">
        <v>45</v>
      </c>
      <c r="E49" t="s">
        <v>46</v>
      </c>
      <c r="F49">
        <v>157</v>
      </c>
      <c r="G49">
        <v>706890</v>
      </c>
      <c r="H49">
        <v>706149</v>
      </c>
      <c r="I49">
        <v>620090</v>
      </c>
      <c r="J49">
        <v>768649</v>
      </c>
      <c r="K49">
        <v>695411</v>
      </c>
      <c r="L49">
        <v>720916</v>
      </c>
    </row>
    <row r="50" spans="1:12" x14ac:dyDescent="0.35">
      <c r="A50">
        <v>2024</v>
      </c>
      <c r="B50">
        <v>5</v>
      </c>
      <c r="C50" t="s">
        <v>68</v>
      </c>
      <c r="D50" t="s">
        <v>47</v>
      </c>
      <c r="E50" t="s">
        <v>48</v>
      </c>
      <c r="F50">
        <v>2</v>
      </c>
      <c r="G50">
        <v>693052</v>
      </c>
      <c r="H50">
        <v>693052</v>
      </c>
      <c r="I50">
        <v>690693</v>
      </c>
      <c r="J50">
        <v>695411</v>
      </c>
      <c r="K50">
        <v>690693</v>
      </c>
      <c r="L50">
        <v>695411</v>
      </c>
    </row>
    <row r="51" spans="1:12" x14ac:dyDescent="0.35">
      <c r="A51">
        <v>2024</v>
      </c>
      <c r="B51">
        <v>5</v>
      </c>
      <c r="C51" t="s">
        <v>68</v>
      </c>
      <c r="D51" t="s">
        <v>49</v>
      </c>
      <c r="E51" t="s">
        <v>50</v>
      </c>
      <c r="F51">
        <v>2743</v>
      </c>
      <c r="G51">
        <v>545833</v>
      </c>
      <c r="H51">
        <v>561604</v>
      </c>
      <c r="I51">
        <v>325286</v>
      </c>
      <c r="J51">
        <v>728379</v>
      </c>
      <c r="K51">
        <v>458044</v>
      </c>
      <c r="L51">
        <v>643944</v>
      </c>
    </row>
    <row r="52" spans="1:12" x14ac:dyDescent="0.35">
      <c r="A52">
        <v>2024</v>
      </c>
      <c r="B52">
        <v>5</v>
      </c>
      <c r="C52" t="s">
        <v>68</v>
      </c>
      <c r="D52" t="s">
        <v>64</v>
      </c>
      <c r="E52" t="s">
        <v>65</v>
      </c>
      <c r="F52">
        <v>20</v>
      </c>
      <c r="G52">
        <v>342368</v>
      </c>
      <c r="H52">
        <v>342368</v>
      </c>
      <c r="I52">
        <v>342368</v>
      </c>
      <c r="J52">
        <v>342368</v>
      </c>
      <c r="K52">
        <v>342368</v>
      </c>
      <c r="L52">
        <v>342368</v>
      </c>
    </row>
    <row r="53" spans="1:12" x14ac:dyDescent="0.35">
      <c r="A53">
        <v>2024</v>
      </c>
      <c r="B53">
        <v>5</v>
      </c>
      <c r="C53" t="s">
        <v>68</v>
      </c>
      <c r="D53" t="s">
        <v>51</v>
      </c>
      <c r="E53" t="s">
        <v>52</v>
      </c>
      <c r="F53">
        <v>43</v>
      </c>
      <c r="G53">
        <v>609494</v>
      </c>
      <c r="H53">
        <v>613439</v>
      </c>
      <c r="I53">
        <v>498082</v>
      </c>
      <c r="J53">
        <v>685324</v>
      </c>
      <c r="K53">
        <v>561038</v>
      </c>
      <c r="L53">
        <v>667689</v>
      </c>
    </row>
    <row r="54" spans="1:12" x14ac:dyDescent="0.35">
      <c r="A54">
        <v>2024</v>
      </c>
      <c r="B54">
        <v>5</v>
      </c>
      <c r="C54" t="s">
        <v>68</v>
      </c>
      <c r="D54" t="s">
        <v>53</v>
      </c>
      <c r="E54" t="s">
        <v>54</v>
      </c>
      <c r="F54">
        <v>24</v>
      </c>
      <c r="G54">
        <v>674213</v>
      </c>
      <c r="H54">
        <v>683380</v>
      </c>
      <c r="I54">
        <v>568538</v>
      </c>
      <c r="J54">
        <v>715879</v>
      </c>
      <c r="K54">
        <v>673379</v>
      </c>
      <c r="L54">
        <v>688380</v>
      </c>
    </row>
    <row r="55" spans="1:12" x14ac:dyDescent="0.35">
      <c r="A55">
        <v>2024</v>
      </c>
      <c r="B55">
        <v>5</v>
      </c>
      <c r="C55" t="s">
        <v>68</v>
      </c>
      <c r="D55" t="s">
        <v>55</v>
      </c>
      <c r="E55" t="s">
        <v>56</v>
      </c>
      <c r="F55">
        <v>146</v>
      </c>
      <c r="G55">
        <v>721355</v>
      </c>
      <c r="H55">
        <v>740270</v>
      </c>
      <c r="I55">
        <v>543304</v>
      </c>
      <c r="J55">
        <v>1010733</v>
      </c>
      <c r="K55">
        <v>693379</v>
      </c>
      <c r="L55">
        <v>786236</v>
      </c>
    </row>
    <row r="56" spans="1:12" x14ac:dyDescent="0.35">
      <c r="A56">
        <v>2024</v>
      </c>
      <c r="B56">
        <v>5</v>
      </c>
      <c r="C56" t="s">
        <v>68</v>
      </c>
      <c r="D56" t="s">
        <v>57</v>
      </c>
      <c r="E56" t="s">
        <v>58</v>
      </c>
      <c r="F56">
        <v>11</v>
      </c>
      <c r="G56">
        <v>652907</v>
      </c>
      <c r="H56">
        <v>665879</v>
      </c>
      <c r="I56">
        <v>614868</v>
      </c>
      <c r="J56">
        <v>688379</v>
      </c>
      <c r="K56">
        <v>629868</v>
      </c>
      <c r="L56">
        <v>683379</v>
      </c>
    </row>
    <row r="57" spans="1:12" x14ac:dyDescent="0.35">
      <c r="A57">
        <v>2024</v>
      </c>
      <c r="B57">
        <v>5</v>
      </c>
      <c r="C57" t="s">
        <v>68</v>
      </c>
      <c r="D57" t="s">
        <v>59</v>
      </c>
      <c r="E57" t="s">
        <v>60</v>
      </c>
      <c r="F57">
        <v>2</v>
      </c>
      <c r="G57">
        <v>604597</v>
      </c>
      <c r="H57">
        <v>604597</v>
      </c>
      <c r="I57">
        <v>579326</v>
      </c>
      <c r="J57">
        <v>629868</v>
      </c>
      <c r="K57">
        <v>579326</v>
      </c>
      <c r="L57">
        <v>629868</v>
      </c>
    </row>
    <row r="58" spans="1:12" x14ac:dyDescent="0.35">
      <c r="A58">
        <v>2024</v>
      </c>
      <c r="B58">
        <v>5</v>
      </c>
      <c r="C58" t="s">
        <v>68</v>
      </c>
      <c r="D58" t="s">
        <v>61</v>
      </c>
      <c r="E58" t="s">
        <v>62</v>
      </c>
      <c r="F58">
        <v>101</v>
      </c>
      <c r="G58">
        <v>445899</v>
      </c>
      <c r="H58">
        <v>429485</v>
      </c>
      <c r="I58">
        <v>315336</v>
      </c>
      <c r="J58">
        <v>704351</v>
      </c>
      <c r="K58">
        <v>370792</v>
      </c>
      <c r="L58">
        <v>444485</v>
      </c>
    </row>
    <row r="59" spans="1:12" x14ac:dyDescent="0.35">
      <c r="A59">
        <v>2024</v>
      </c>
      <c r="B59">
        <v>6</v>
      </c>
      <c r="C59" t="s">
        <v>69</v>
      </c>
      <c r="D59" t="s">
        <v>43</v>
      </c>
      <c r="E59" t="s">
        <v>44</v>
      </c>
      <c r="F59">
        <v>1900</v>
      </c>
      <c r="G59">
        <v>579213</v>
      </c>
      <c r="H59">
        <v>525582</v>
      </c>
      <c r="I59">
        <v>325286</v>
      </c>
      <c r="J59">
        <v>1036706</v>
      </c>
      <c r="K59">
        <v>443044</v>
      </c>
      <c r="L59">
        <v>725116</v>
      </c>
    </row>
    <row r="60" spans="1:12" x14ac:dyDescent="0.35">
      <c r="A60">
        <v>2024</v>
      </c>
      <c r="B60">
        <v>6</v>
      </c>
      <c r="C60" t="s">
        <v>69</v>
      </c>
      <c r="D60" t="s">
        <v>45</v>
      </c>
      <c r="E60" t="s">
        <v>46</v>
      </c>
      <c r="F60">
        <v>157</v>
      </c>
      <c r="G60">
        <v>706380</v>
      </c>
      <c r="H60">
        <v>706149</v>
      </c>
      <c r="I60">
        <v>620090</v>
      </c>
      <c r="J60">
        <v>768649</v>
      </c>
      <c r="K60">
        <v>695411</v>
      </c>
      <c r="L60">
        <v>720916</v>
      </c>
    </row>
    <row r="61" spans="1:12" x14ac:dyDescent="0.35">
      <c r="A61">
        <v>2024</v>
      </c>
      <c r="B61">
        <v>6</v>
      </c>
      <c r="C61" t="s">
        <v>69</v>
      </c>
      <c r="D61" t="s">
        <v>47</v>
      </c>
      <c r="E61" t="s">
        <v>48</v>
      </c>
      <c r="F61">
        <v>2</v>
      </c>
      <c r="G61">
        <v>693052</v>
      </c>
      <c r="H61">
        <v>693052</v>
      </c>
      <c r="I61">
        <v>690693</v>
      </c>
      <c r="J61">
        <v>695411</v>
      </c>
      <c r="K61">
        <v>690693</v>
      </c>
      <c r="L61">
        <v>695411</v>
      </c>
    </row>
    <row r="62" spans="1:12" x14ac:dyDescent="0.35">
      <c r="A62">
        <v>2024</v>
      </c>
      <c r="B62">
        <v>6</v>
      </c>
      <c r="C62" t="s">
        <v>69</v>
      </c>
      <c r="D62" t="s">
        <v>49</v>
      </c>
      <c r="E62" t="s">
        <v>50</v>
      </c>
      <c r="F62">
        <v>2760</v>
      </c>
      <c r="G62">
        <v>545379</v>
      </c>
      <c r="H62">
        <v>561038</v>
      </c>
      <c r="I62">
        <v>325286</v>
      </c>
      <c r="J62">
        <v>728379</v>
      </c>
      <c r="K62">
        <v>458044</v>
      </c>
      <c r="L62">
        <v>643944</v>
      </c>
    </row>
    <row r="63" spans="1:12" x14ac:dyDescent="0.35">
      <c r="A63">
        <v>2024</v>
      </c>
      <c r="B63">
        <v>6</v>
      </c>
      <c r="C63" t="s">
        <v>69</v>
      </c>
      <c r="D63" t="s">
        <v>64</v>
      </c>
      <c r="E63" t="s">
        <v>65</v>
      </c>
      <c r="F63">
        <v>20</v>
      </c>
      <c r="G63">
        <v>343118</v>
      </c>
      <c r="H63">
        <v>342368</v>
      </c>
      <c r="I63">
        <v>342368</v>
      </c>
      <c r="J63">
        <v>357368</v>
      </c>
      <c r="K63">
        <v>342368</v>
      </c>
      <c r="L63">
        <v>342368</v>
      </c>
    </row>
    <row r="64" spans="1:12" x14ac:dyDescent="0.35">
      <c r="A64">
        <v>2024</v>
      </c>
      <c r="B64">
        <v>6</v>
      </c>
      <c r="C64" t="s">
        <v>69</v>
      </c>
      <c r="D64" t="s">
        <v>51</v>
      </c>
      <c r="E64" t="s">
        <v>52</v>
      </c>
      <c r="F64">
        <v>44</v>
      </c>
      <c r="G64">
        <v>610163</v>
      </c>
      <c r="H64">
        <v>614942</v>
      </c>
      <c r="I64">
        <v>498082</v>
      </c>
      <c r="J64">
        <v>685324</v>
      </c>
      <c r="K64">
        <v>561038</v>
      </c>
      <c r="L64">
        <v>667689</v>
      </c>
    </row>
    <row r="65" spans="1:12" x14ac:dyDescent="0.35">
      <c r="A65">
        <v>2024</v>
      </c>
      <c r="B65">
        <v>6</v>
      </c>
      <c r="C65" t="s">
        <v>69</v>
      </c>
      <c r="D65" t="s">
        <v>53</v>
      </c>
      <c r="E65" t="s">
        <v>54</v>
      </c>
      <c r="F65">
        <v>24</v>
      </c>
      <c r="G65">
        <v>673588</v>
      </c>
      <c r="H65">
        <v>680880</v>
      </c>
      <c r="I65">
        <v>568538</v>
      </c>
      <c r="J65">
        <v>715879</v>
      </c>
      <c r="K65">
        <v>673379</v>
      </c>
      <c r="L65">
        <v>685879</v>
      </c>
    </row>
    <row r="66" spans="1:12" x14ac:dyDescent="0.35">
      <c r="A66">
        <v>2024</v>
      </c>
      <c r="B66">
        <v>6</v>
      </c>
      <c r="C66" t="s">
        <v>69</v>
      </c>
      <c r="D66" t="s">
        <v>55</v>
      </c>
      <c r="E66" t="s">
        <v>56</v>
      </c>
      <c r="F66">
        <v>145</v>
      </c>
      <c r="G66">
        <v>718994</v>
      </c>
      <c r="H66">
        <v>739020</v>
      </c>
      <c r="I66">
        <v>543304</v>
      </c>
      <c r="J66">
        <v>1010733</v>
      </c>
      <c r="K66">
        <v>695645</v>
      </c>
      <c r="L66">
        <v>786236</v>
      </c>
    </row>
    <row r="67" spans="1:12" x14ac:dyDescent="0.35">
      <c r="A67">
        <v>2024</v>
      </c>
      <c r="B67">
        <v>6</v>
      </c>
      <c r="C67" t="s">
        <v>69</v>
      </c>
      <c r="D67" t="s">
        <v>57</v>
      </c>
      <c r="E67" t="s">
        <v>58</v>
      </c>
      <c r="F67">
        <v>11</v>
      </c>
      <c r="G67">
        <v>652907</v>
      </c>
      <c r="H67">
        <v>665879</v>
      </c>
      <c r="I67">
        <v>614868</v>
      </c>
      <c r="J67">
        <v>688379</v>
      </c>
      <c r="K67">
        <v>629868</v>
      </c>
      <c r="L67">
        <v>683379</v>
      </c>
    </row>
    <row r="68" spans="1:12" x14ac:dyDescent="0.35">
      <c r="A68">
        <v>2024</v>
      </c>
      <c r="B68">
        <v>6</v>
      </c>
      <c r="C68" t="s">
        <v>69</v>
      </c>
      <c r="D68" t="s">
        <v>59</v>
      </c>
      <c r="E68" t="s">
        <v>60</v>
      </c>
      <c r="F68">
        <v>2</v>
      </c>
      <c r="G68">
        <v>604597</v>
      </c>
      <c r="H68">
        <v>604597</v>
      </c>
      <c r="I68">
        <v>579326</v>
      </c>
      <c r="J68">
        <v>629868</v>
      </c>
      <c r="K68">
        <v>579326</v>
      </c>
      <c r="L68">
        <v>629868</v>
      </c>
    </row>
    <row r="69" spans="1:12" x14ac:dyDescent="0.35">
      <c r="A69">
        <v>2024</v>
      </c>
      <c r="B69">
        <v>6</v>
      </c>
      <c r="C69" t="s">
        <v>69</v>
      </c>
      <c r="D69" t="s">
        <v>61</v>
      </c>
      <c r="E69" t="s">
        <v>62</v>
      </c>
      <c r="F69">
        <v>110</v>
      </c>
      <c r="G69">
        <v>427657</v>
      </c>
      <c r="H69">
        <v>424485</v>
      </c>
      <c r="I69">
        <v>322836</v>
      </c>
      <c r="J69">
        <v>704351</v>
      </c>
      <c r="K69">
        <v>332836</v>
      </c>
      <c r="L69">
        <v>439485</v>
      </c>
    </row>
    <row r="70" spans="1:12" x14ac:dyDescent="0.35">
      <c r="A70">
        <v>2024</v>
      </c>
      <c r="B70">
        <v>7</v>
      </c>
      <c r="C70" t="s">
        <v>70</v>
      </c>
      <c r="D70" t="s">
        <v>43</v>
      </c>
      <c r="E70" t="s">
        <v>44</v>
      </c>
      <c r="F70">
        <v>1924</v>
      </c>
      <c r="G70">
        <v>578319</v>
      </c>
      <c r="H70">
        <v>520903</v>
      </c>
      <c r="I70">
        <v>325286</v>
      </c>
      <c r="J70">
        <v>1036706</v>
      </c>
      <c r="K70">
        <v>443044</v>
      </c>
      <c r="L70">
        <v>728836</v>
      </c>
    </row>
    <row r="71" spans="1:12" x14ac:dyDescent="0.35">
      <c r="A71">
        <v>2024</v>
      </c>
      <c r="B71">
        <v>7</v>
      </c>
      <c r="C71" t="s">
        <v>70</v>
      </c>
      <c r="D71" t="s">
        <v>45</v>
      </c>
      <c r="E71" t="s">
        <v>46</v>
      </c>
      <c r="F71">
        <v>156</v>
      </c>
      <c r="G71">
        <v>706059</v>
      </c>
      <c r="H71">
        <v>706149</v>
      </c>
      <c r="I71">
        <v>620090</v>
      </c>
      <c r="J71">
        <v>768649</v>
      </c>
      <c r="K71">
        <v>695411</v>
      </c>
      <c r="L71">
        <v>720916</v>
      </c>
    </row>
    <row r="72" spans="1:12" x14ac:dyDescent="0.35">
      <c r="A72">
        <v>2024</v>
      </c>
      <c r="B72">
        <v>7</v>
      </c>
      <c r="C72" t="s">
        <v>70</v>
      </c>
      <c r="D72" t="s">
        <v>47</v>
      </c>
      <c r="E72" t="s">
        <v>48</v>
      </c>
      <c r="F72">
        <v>2</v>
      </c>
      <c r="G72">
        <v>693052</v>
      </c>
      <c r="H72">
        <v>693052</v>
      </c>
      <c r="I72">
        <v>690693</v>
      </c>
      <c r="J72">
        <v>695411</v>
      </c>
      <c r="K72">
        <v>690693</v>
      </c>
      <c r="L72">
        <v>695411</v>
      </c>
    </row>
    <row r="73" spans="1:12" x14ac:dyDescent="0.35">
      <c r="A73">
        <v>2024</v>
      </c>
      <c r="B73">
        <v>7</v>
      </c>
      <c r="C73" t="s">
        <v>70</v>
      </c>
      <c r="D73" t="s">
        <v>49</v>
      </c>
      <c r="E73" t="s">
        <v>50</v>
      </c>
      <c r="F73">
        <v>2768</v>
      </c>
      <c r="G73">
        <v>545300</v>
      </c>
      <c r="H73">
        <v>561038</v>
      </c>
      <c r="I73">
        <v>325286</v>
      </c>
      <c r="J73">
        <v>728379</v>
      </c>
      <c r="K73">
        <v>458044</v>
      </c>
      <c r="L73">
        <v>643944</v>
      </c>
    </row>
    <row r="74" spans="1:12" x14ac:dyDescent="0.35">
      <c r="A74">
        <v>2024</v>
      </c>
      <c r="B74">
        <v>7</v>
      </c>
      <c r="C74" t="s">
        <v>70</v>
      </c>
      <c r="D74" t="s">
        <v>64</v>
      </c>
      <c r="E74" t="s">
        <v>65</v>
      </c>
      <c r="F74">
        <v>19</v>
      </c>
      <c r="G74">
        <v>345921</v>
      </c>
      <c r="H74">
        <v>342368</v>
      </c>
      <c r="I74">
        <v>342368</v>
      </c>
      <c r="J74">
        <v>357368</v>
      </c>
      <c r="K74">
        <v>342368</v>
      </c>
      <c r="L74">
        <v>349868</v>
      </c>
    </row>
    <row r="75" spans="1:12" x14ac:dyDescent="0.35">
      <c r="A75">
        <v>2024</v>
      </c>
      <c r="B75">
        <v>7</v>
      </c>
      <c r="C75" t="s">
        <v>70</v>
      </c>
      <c r="D75" t="s">
        <v>51</v>
      </c>
      <c r="E75" t="s">
        <v>52</v>
      </c>
      <c r="F75">
        <v>44</v>
      </c>
      <c r="G75">
        <v>610163</v>
      </c>
      <c r="H75">
        <v>614942</v>
      </c>
      <c r="I75">
        <v>498082</v>
      </c>
      <c r="J75">
        <v>685324</v>
      </c>
      <c r="K75">
        <v>561038</v>
      </c>
      <c r="L75">
        <v>667689</v>
      </c>
    </row>
    <row r="76" spans="1:12" x14ac:dyDescent="0.35">
      <c r="A76">
        <v>2024</v>
      </c>
      <c r="B76">
        <v>7</v>
      </c>
      <c r="C76" t="s">
        <v>70</v>
      </c>
      <c r="D76" t="s">
        <v>53</v>
      </c>
      <c r="E76" t="s">
        <v>54</v>
      </c>
      <c r="F76">
        <v>24</v>
      </c>
      <c r="G76">
        <v>673588</v>
      </c>
      <c r="H76">
        <v>680880</v>
      </c>
      <c r="I76">
        <v>568538</v>
      </c>
      <c r="J76">
        <v>715879</v>
      </c>
      <c r="K76">
        <v>673379</v>
      </c>
      <c r="L76">
        <v>685879</v>
      </c>
    </row>
    <row r="77" spans="1:12" x14ac:dyDescent="0.35">
      <c r="A77">
        <v>2024</v>
      </c>
      <c r="B77">
        <v>7</v>
      </c>
      <c r="C77" t="s">
        <v>70</v>
      </c>
      <c r="D77" t="s">
        <v>55</v>
      </c>
      <c r="E77" t="s">
        <v>56</v>
      </c>
      <c r="F77">
        <v>144</v>
      </c>
      <c r="G77">
        <v>718965</v>
      </c>
      <c r="H77">
        <v>739020</v>
      </c>
      <c r="I77">
        <v>543304</v>
      </c>
      <c r="J77">
        <v>1010733</v>
      </c>
      <c r="K77">
        <v>695645</v>
      </c>
      <c r="L77">
        <v>786236</v>
      </c>
    </row>
    <row r="78" spans="1:12" x14ac:dyDescent="0.35">
      <c r="A78">
        <v>2024</v>
      </c>
      <c r="B78">
        <v>7</v>
      </c>
      <c r="C78" t="s">
        <v>70</v>
      </c>
      <c r="D78" t="s">
        <v>57</v>
      </c>
      <c r="E78" t="s">
        <v>58</v>
      </c>
      <c r="F78">
        <v>11</v>
      </c>
      <c r="G78">
        <v>652907</v>
      </c>
      <c r="H78">
        <v>665879</v>
      </c>
      <c r="I78">
        <v>614868</v>
      </c>
      <c r="J78">
        <v>688379</v>
      </c>
      <c r="K78">
        <v>629868</v>
      </c>
      <c r="L78">
        <v>683379</v>
      </c>
    </row>
    <row r="79" spans="1:12" x14ac:dyDescent="0.35">
      <c r="A79">
        <v>2024</v>
      </c>
      <c r="B79">
        <v>7</v>
      </c>
      <c r="C79" t="s">
        <v>70</v>
      </c>
      <c r="D79" t="s">
        <v>59</v>
      </c>
      <c r="E79" t="s">
        <v>60</v>
      </c>
      <c r="F79">
        <v>2</v>
      </c>
      <c r="G79">
        <v>604597</v>
      </c>
      <c r="H79">
        <v>604597</v>
      </c>
      <c r="I79">
        <v>579326</v>
      </c>
      <c r="J79">
        <v>629868</v>
      </c>
      <c r="K79">
        <v>579326</v>
      </c>
      <c r="L79">
        <v>629868</v>
      </c>
    </row>
    <row r="80" spans="1:12" x14ac:dyDescent="0.35">
      <c r="A80">
        <v>2024</v>
      </c>
      <c r="B80">
        <v>7</v>
      </c>
      <c r="C80" t="s">
        <v>70</v>
      </c>
      <c r="D80" t="s">
        <v>61</v>
      </c>
      <c r="E80" t="s">
        <v>62</v>
      </c>
      <c r="F80">
        <v>110</v>
      </c>
      <c r="G80">
        <v>428436</v>
      </c>
      <c r="H80">
        <v>424485</v>
      </c>
      <c r="I80">
        <v>322836</v>
      </c>
      <c r="J80">
        <v>704351</v>
      </c>
      <c r="K80">
        <v>332836</v>
      </c>
      <c r="L80">
        <v>439485</v>
      </c>
    </row>
    <row r="81" spans="1:12" x14ac:dyDescent="0.35">
      <c r="A81">
        <v>2024</v>
      </c>
      <c r="B81">
        <v>8</v>
      </c>
      <c r="C81" t="s">
        <v>71</v>
      </c>
      <c r="D81" t="s">
        <v>43</v>
      </c>
      <c r="E81" t="s">
        <v>44</v>
      </c>
      <c r="F81">
        <v>1926</v>
      </c>
      <c r="G81">
        <v>575320</v>
      </c>
      <c r="H81">
        <v>520903</v>
      </c>
      <c r="I81">
        <v>325286</v>
      </c>
      <c r="J81">
        <v>1368456</v>
      </c>
      <c r="K81">
        <v>440544</v>
      </c>
      <c r="L81">
        <v>718276</v>
      </c>
    </row>
    <row r="82" spans="1:12" x14ac:dyDescent="0.35">
      <c r="A82">
        <v>2024</v>
      </c>
      <c r="B82">
        <v>8</v>
      </c>
      <c r="C82" t="s">
        <v>71</v>
      </c>
      <c r="D82" t="s">
        <v>45</v>
      </c>
      <c r="E82" t="s">
        <v>46</v>
      </c>
      <c r="F82">
        <v>159</v>
      </c>
      <c r="G82">
        <v>710320</v>
      </c>
      <c r="H82">
        <v>706149</v>
      </c>
      <c r="I82">
        <v>630977</v>
      </c>
      <c r="J82">
        <v>780969</v>
      </c>
      <c r="K82">
        <v>695411</v>
      </c>
      <c r="L82">
        <v>721149</v>
      </c>
    </row>
    <row r="83" spans="1:12" x14ac:dyDescent="0.35">
      <c r="A83">
        <v>2024</v>
      </c>
      <c r="B83">
        <v>8</v>
      </c>
      <c r="C83" t="s">
        <v>71</v>
      </c>
      <c r="D83" t="s">
        <v>47</v>
      </c>
      <c r="E83" t="s">
        <v>48</v>
      </c>
      <c r="F83">
        <v>2</v>
      </c>
      <c r="G83">
        <v>693052</v>
      </c>
      <c r="H83">
        <v>693052</v>
      </c>
      <c r="I83">
        <v>690693</v>
      </c>
      <c r="J83">
        <v>695411</v>
      </c>
      <c r="K83">
        <v>690693</v>
      </c>
      <c r="L83">
        <v>695411</v>
      </c>
    </row>
    <row r="84" spans="1:12" x14ac:dyDescent="0.35">
      <c r="A84">
        <v>2024</v>
      </c>
      <c r="B84">
        <v>8</v>
      </c>
      <c r="C84" t="s">
        <v>71</v>
      </c>
      <c r="D84" t="s">
        <v>49</v>
      </c>
      <c r="E84" t="s">
        <v>50</v>
      </c>
      <c r="F84">
        <v>2777</v>
      </c>
      <c r="G84">
        <v>545555</v>
      </c>
      <c r="H84">
        <v>561038</v>
      </c>
      <c r="I84">
        <v>325286</v>
      </c>
      <c r="J84">
        <v>728379</v>
      </c>
      <c r="K84">
        <v>458044</v>
      </c>
      <c r="L84">
        <v>644918</v>
      </c>
    </row>
    <row r="85" spans="1:12" x14ac:dyDescent="0.35">
      <c r="A85">
        <v>2024</v>
      </c>
      <c r="B85">
        <v>8</v>
      </c>
      <c r="C85" t="s">
        <v>71</v>
      </c>
      <c r="D85" t="s">
        <v>64</v>
      </c>
      <c r="E85" t="s">
        <v>65</v>
      </c>
      <c r="F85">
        <v>19</v>
      </c>
      <c r="G85">
        <v>345921</v>
      </c>
      <c r="H85">
        <v>342368</v>
      </c>
      <c r="I85">
        <v>342368</v>
      </c>
      <c r="J85">
        <v>357368</v>
      </c>
      <c r="K85">
        <v>342368</v>
      </c>
      <c r="L85">
        <v>349868</v>
      </c>
    </row>
    <row r="86" spans="1:12" x14ac:dyDescent="0.35">
      <c r="A86">
        <v>2024</v>
      </c>
      <c r="B86">
        <v>8</v>
      </c>
      <c r="C86" t="s">
        <v>71</v>
      </c>
      <c r="D86" t="s">
        <v>51</v>
      </c>
      <c r="E86" t="s">
        <v>52</v>
      </c>
      <c r="F86">
        <v>44</v>
      </c>
      <c r="G86">
        <v>610163</v>
      </c>
      <c r="H86">
        <v>614942</v>
      </c>
      <c r="I86">
        <v>498082</v>
      </c>
      <c r="J86">
        <v>685324</v>
      </c>
      <c r="K86">
        <v>561038</v>
      </c>
      <c r="L86">
        <v>667689</v>
      </c>
    </row>
    <row r="87" spans="1:12" x14ac:dyDescent="0.35">
      <c r="A87">
        <v>2024</v>
      </c>
      <c r="B87">
        <v>8</v>
      </c>
      <c r="C87" t="s">
        <v>71</v>
      </c>
      <c r="D87" t="s">
        <v>53</v>
      </c>
      <c r="E87" t="s">
        <v>54</v>
      </c>
      <c r="F87">
        <v>24</v>
      </c>
      <c r="G87">
        <v>673642</v>
      </c>
      <c r="H87">
        <v>679537</v>
      </c>
      <c r="I87">
        <v>568538</v>
      </c>
      <c r="J87">
        <v>715879</v>
      </c>
      <c r="K87">
        <v>673379</v>
      </c>
      <c r="L87">
        <v>685879</v>
      </c>
    </row>
    <row r="88" spans="1:12" x14ac:dyDescent="0.35">
      <c r="A88">
        <v>2024</v>
      </c>
      <c r="B88">
        <v>8</v>
      </c>
      <c r="C88" t="s">
        <v>71</v>
      </c>
      <c r="D88" t="s">
        <v>55</v>
      </c>
      <c r="E88" t="s">
        <v>56</v>
      </c>
      <c r="F88">
        <v>152</v>
      </c>
      <c r="G88">
        <v>727390</v>
      </c>
      <c r="H88">
        <v>739020</v>
      </c>
      <c r="I88">
        <v>423044</v>
      </c>
      <c r="J88">
        <v>1030248</v>
      </c>
      <c r="K88">
        <v>694169</v>
      </c>
      <c r="L88">
        <v>786236</v>
      </c>
    </row>
    <row r="89" spans="1:12" x14ac:dyDescent="0.35">
      <c r="A89">
        <v>2024</v>
      </c>
      <c r="B89">
        <v>8</v>
      </c>
      <c r="C89" t="s">
        <v>71</v>
      </c>
      <c r="D89" t="s">
        <v>57</v>
      </c>
      <c r="E89" t="s">
        <v>58</v>
      </c>
      <c r="F89">
        <v>12</v>
      </c>
      <c r="G89">
        <v>657983</v>
      </c>
      <c r="H89">
        <v>665880</v>
      </c>
      <c r="I89">
        <v>614868</v>
      </c>
      <c r="J89">
        <v>713815</v>
      </c>
      <c r="K89">
        <v>629868</v>
      </c>
      <c r="L89">
        <v>683379</v>
      </c>
    </row>
    <row r="90" spans="1:12" x14ac:dyDescent="0.35">
      <c r="A90">
        <v>2024</v>
      </c>
      <c r="B90">
        <v>8</v>
      </c>
      <c r="C90" t="s">
        <v>71</v>
      </c>
      <c r="D90" t="s">
        <v>59</v>
      </c>
      <c r="E90" t="s">
        <v>60</v>
      </c>
      <c r="F90">
        <v>2</v>
      </c>
      <c r="G90">
        <v>604597</v>
      </c>
      <c r="H90">
        <v>604597</v>
      </c>
      <c r="I90">
        <v>579326</v>
      </c>
      <c r="J90">
        <v>629868</v>
      </c>
      <c r="K90">
        <v>579326</v>
      </c>
      <c r="L90">
        <v>629868</v>
      </c>
    </row>
    <row r="91" spans="1:12" x14ac:dyDescent="0.35">
      <c r="A91">
        <v>2024</v>
      </c>
      <c r="B91">
        <v>8</v>
      </c>
      <c r="C91" t="s">
        <v>71</v>
      </c>
      <c r="D91" t="s">
        <v>61</v>
      </c>
      <c r="E91" t="s">
        <v>62</v>
      </c>
      <c r="F91">
        <v>107</v>
      </c>
      <c r="G91">
        <v>429411</v>
      </c>
      <c r="H91">
        <v>424485</v>
      </c>
      <c r="I91">
        <v>322836</v>
      </c>
      <c r="J91">
        <v>704351</v>
      </c>
      <c r="K91">
        <v>335336</v>
      </c>
      <c r="L91">
        <v>442822</v>
      </c>
    </row>
    <row r="92" spans="1:12" x14ac:dyDescent="0.35">
      <c r="A92">
        <v>2024</v>
      </c>
      <c r="B92">
        <v>9</v>
      </c>
      <c r="C92" t="s">
        <v>72</v>
      </c>
      <c r="D92" t="s">
        <v>43</v>
      </c>
      <c r="E92" t="s">
        <v>44</v>
      </c>
      <c r="F92">
        <v>1939</v>
      </c>
      <c r="G92">
        <v>570118</v>
      </c>
      <c r="H92">
        <v>514104</v>
      </c>
      <c r="I92">
        <v>325286</v>
      </c>
      <c r="J92">
        <v>1078748</v>
      </c>
      <c r="K92">
        <v>438044</v>
      </c>
      <c r="L92">
        <v>710411</v>
      </c>
    </row>
    <row r="93" spans="1:12" x14ac:dyDescent="0.35">
      <c r="A93">
        <v>2024</v>
      </c>
      <c r="B93">
        <v>9</v>
      </c>
      <c r="C93" t="s">
        <v>72</v>
      </c>
      <c r="D93" t="s">
        <v>45</v>
      </c>
      <c r="E93" t="s">
        <v>46</v>
      </c>
      <c r="F93">
        <v>161</v>
      </c>
      <c r="G93">
        <v>708584</v>
      </c>
      <c r="H93">
        <v>706149</v>
      </c>
      <c r="I93">
        <v>630977</v>
      </c>
      <c r="J93">
        <v>768649</v>
      </c>
      <c r="K93">
        <v>695411</v>
      </c>
      <c r="L93">
        <v>720916</v>
      </c>
    </row>
    <row r="94" spans="1:12" x14ac:dyDescent="0.35">
      <c r="A94">
        <v>2024</v>
      </c>
      <c r="B94">
        <v>9</v>
      </c>
      <c r="C94" t="s">
        <v>72</v>
      </c>
      <c r="D94" t="s">
        <v>47</v>
      </c>
      <c r="E94" t="s">
        <v>48</v>
      </c>
      <c r="F94">
        <v>2</v>
      </c>
      <c r="G94">
        <v>693052</v>
      </c>
      <c r="H94">
        <v>693052</v>
      </c>
      <c r="I94">
        <v>690693</v>
      </c>
      <c r="J94">
        <v>695411</v>
      </c>
      <c r="K94">
        <v>690693</v>
      </c>
      <c r="L94">
        <v>695411</v>
      </c>
    </row>
    <row r="95" spans="1:12" x14ac:dyDescent="0.35">
      <c r="A95">
        <v>2024</v>
      </c>
      <c r="B95">
        <v>9</v>
      </c>
      <c r="C95" t="s">
        <v>72</v>
      </c>
      <c r="D95" t="s">
        <v>49</v>
      </c>
      <c r="E95" t="s">
        <v>50</v>
      </c>
      <c r="F95">
        <v>2795</v>
      </c>
      <c r="G95">
        <v>544141</v>
      </c>
      <c r="H95">
        <v>561038</v>
      </c>
      <c r="I95">
        <v>325286</v>
      </c>
      <c r="J95">
        <v>728379</v>
      </c>
      <c r="K95">
        <v>457540</v>
      </c>
      <c r="L95">
        <v>644400</v>
      </c>
    </row>
    <row r="96" spans="1:12" x14ac:dyDescent="0.35">
      <c r="A96">
        <v>2024</v>
      </c>
      <c r="B96">
        <v>9</v>
      </c>
      <c r="C96" t="s">
        <v>72</v>
      </c>
      <c r="D96" t="s">
        <v>64</v>
      </c>
      <c r="E96" t="s">
        <v>65</v>
      </c>
      <c r="F96">
        <v>20</v>
      </c>
      <c r="G96">
        <v>345743</v>
      </c>
      <c r="H96">
        <v>342368</v>
      </c>
      <c r="I96">
        <v>342368</v>
      </c>
      <c r="J96">
        <v>357368</v>
      </c>
      <c r="K96">
        <v>342368</v>
      </c>
      <c r="L96">
        <v>342368</v>
      </c>
    </row>
    <row r="97" spans="1:12" x14ac:dyDescent="0.35">
      <c r="A97">
        <v>2024</v>
      </c>
      <c r="B97">
        <v>9</v>
      </c>
      <c r="C97" t="s">
        <v>72</v>
      </c>
      <c r="D97" t="s">
        <v>51</v>
      </c>
      <c r="E97" t="s">
        <v>52</v>
      </c>
      <c r="F97">
        <v>44</v>
      </c>
      <c r="G97">
        <v>613190</v>
      </c>
      <c r="H97">
        <v>614942</v>
      </c>
      <c r="I97">
        <v>498082</v>
      </c>
      <c r="J97">
        <v>685324</v>
      </c>
      <c r="K97">
        <v>575939</v>
      </c>
      <c r="L97">
        <v>665324</v>
      </c>
    </row>
    <row r="98" spans="1:12" x14ac:dyDescent="0.35">
      <c r="A98">
        <v>2024</v>
      </c>
      <c r="B98">
        <v>9</v>
      </c>
      <c r="C98" t="s">
        <v>72</v>
      </c>
      <c r="D98" t="s">
        <v>53</v>
      </c>
      <c r="E98" t="s">
        <v>54</v>
      </c>
      <c r="F98">
        <v>24</v>
      </c>
      <c r="G98">
        <v>673179</v>
      </c>
      <c r="H98">
        <v>679537</v>
      </c>
      <c r="I98">
        <v>568538</v>
      </c>
      <c r="J98">
        <v>715879</v>
      </c>
      <c r="K98">
        <v>673379</v>
      </c>
      <c r="L98">
        <v>685879</v>
      </c>
    </row>
    <row r="99" spans="1:12" x14ac:dyDescent="0.35">
      <c r="A99">
        <v>2024</v>
      </c>
      <c r="B99">
        <v>9</v>
      </c>
      <c r="C99" t="s">
        <v>72</v>
      </c>
      <c r="D99" t="s">
        <v>55</v>
      </c>
      <c r="E99" t="s">
        <v>56</v>
      </c>
      <c r="F99">
        <v>183</v>
      </c>
      <c r="G99">
        <v>711106</v>
      </c>
      <c r="H99">
        <v>726520</v>
      </c>
      <c r="I99">
        <v>423044</v>
      </c>
      <c r="J99">
        <v>1010733</v>
      </c>
      <c r="K99">
        <v>679169</v>
      </c>
      <c r="L99">
        <v>778736</v>
      </c>
    </row>
    <row r="100" spans="1:12" x14ac:dyDescent="0.35">
      <c r="A100">
        <v>2024</v>
      </c>
      <c r="B100">
        <v>9</v>
      </c>
      <c r="C100" t="s">
        <v>72</v>
      </c>
      <c r="D100" t="s">
        <v>57</v>
      </c>
      <c r="E100" t="s">
        <v>58</v>
      </c>
      <c r="F100">
        <v>12</v>
      </c>
      <c r="G100">
        <v>657322</v>
      </c>
      <c r="H100">
        <v>665880</v>
      </c>
      <c r="I100">
        <v>614868</v>
      </c>
      <c r="J100">
        <v>703379</v>
      </c>
      <c r="K100">
        <v>629868</v>
      </c>
      <c r="L100">
        <v>685879</v>
      </c>
    </row>
    <row r="101" spans="1:12" x14ac:dyDescent="0.35">
      <c r="A101">
        <v>2024</v>
      </c>
      <c r="B101">
        <v>9</v>
      </c>
      <c r="C101" t="s">
        <v>72</v>
      </c>
      <c r="D101" t="s">
        <v>59</v>
      </c>
      <c r="E101" t="s">
        <v>60</v>
      </c>
      <c r="F101">
        <v>2</v>
      </c>
      <c r="G101">
        <v>604597</v>
      </c>
      <c r="H101">
        <v>604597</v>
      </c>
      <c r="I101">
        <v>579326</v>
      </c>
      <c r="J101">
        <v>629868</v>
      </c>
      <c r="K101">
        <v>579326</v>
      </c>
      <c r="L101">
        <v>629868</v>
      </c>
    </row>
    <row r="102" spans="1:12" x14ac:dyDescent="0.35">
      <c r="A102">
        <v>2024</v>
      </c>
      <c r="B102">
        <v>9</v>
      </c>
      <c r="C102" t="s">
        <v>72</v>
      </c>
      <c r="D102" t="s">
        <v>61</v>
      </c>
      <c r="E102" t="s">
        <v>62</v>
      </c>
      <c r="F102">
        <v>109</v>
      </c>
      <c r="G102">
        <v>431246</v>
      </c>
      <c r="H102">
        <v>424487</v>
      </c>
      <c r="I102">
        <v>322836</v>
      </c>
      <c r="J102">
        <v>704351</v>
      </c>
      <c r="K102">
        <v>340336</v>
      </c>
      <c r="L102">
        <v>444485</v>
      </c>
    </row>
    <row r="103" spans="1:12" x14ac:dyDescent="0.35">
      <c r="A103">
        <v>2024</v>
      </c>
      <c r="B103">
        <v>10</v>
      </c>
      <c r="C103" t="s">
        <v>73</v>
      </c>
      <c r="D103" t="s">
        <v>43</v>
      </c>
      <c r="E103" t="s">
        <v>44</v>
      </c>
      <c r="F103">
        <v>1960</v>
      </c>
      <c r="G103">
        <v>571840</v>
      </c>
      <c r="H103">
        <v>511604</v>
      </c>
      <c r="I103">
        <v>325286</v>
      </c>
      <c r="J103">
        <v>1476407</v>
      </c>
      <c r="K103">
        <v>438044</v>
      </c>
      <c r="L103">
        <v>717616</v>
      </c>
    </row>
    <row r="104" spans="1:12" x14ac:dyDescent="0.35">
      <c r="A104">
        <v>2024</v>
      </c>
      <c r="B104">
        <v>10</v>
      </c>
      <c r="C104" t="s">
        <v>73</v>
      </c>
      <c r="D104" t="s">
        <v>45</v>
      </c>
      <c r="E104" t="s">
        <v>46</v>
      </c>
      <c r="F104">
        <v>177</v>
      </c>
      <c r="G104">
        <v>707251</v>
      </c>
      <c r="H104">
        <v>706149</v>
      </c>
      <c r="I104">
        <v>630977</v>
      </c>
      <c r="J104">
        <v>782590</v>
      </c>
      <c r="K104">
        <v>695411</v>
      </c>
      <c r="L104">
        <v>720916</v>
      </c>
    </row>
    <row r="105" spans="1:12" x14ac:dyDescent="0.35">
      <c r="A105">
        <v>2024</v>
      </c>
      <c r="B105">
        <v>10</v>
      </c>
      <c r="C105" t="s">
        <v>73</v>
      </c>
      <c r="D105" t="s">
        <v>47</v>
      </c>
      <c r="E105" t="s">
        <v>48</v>
      </c>
      <c r="F105">
        <v>4</v>
      </c>
      <c r="G105">
        <v>692197</v>
      </c>
      <c r="H105">
        <v>692892</v>
      </c>
      <c r="I105">
        <v>687592</v>
      </c>
      <c r="J105">
        <v>695411</v>
      </c>
      <c r="K105">
        <v>690693</v>
      </c>
      <c r="L105">
        <v>695092</v>
      </c>
    </row>
    <row r="106" spans="1:12" x14ac:dyDescent="0.35">
      <c r="A106">
        <v>2024</v>
      </c>
      <c r="B106">
        <v>10</v>
      </c>
      <c r="C106" t="s">
        <v>73</v>
      </c>
      <c r="D106" t="s">
        <v>49</v>
      </c>
      <c r="E106" t="s">
        <v>50</v>
      </c>
      <c r="F106">
        <v>2791</v>
      </c>
      <c r="G106">
        <v>543220</v>
      </c>
      <c r="H106">
        <v>561038</v>
      </c>
      <c r="I106">
        <v>325286</v>
      </c>
      <c r="J106">
        <v>728379</v>
      </c>
      <c r="K106">
        <v>456604</v>
      </c>
      <c r="L106">
        <v>643944</v>
      </c>
    </row>
    <row r="107" spans="1:12" x14ac:dyDescent="0.35">
      <c r="A107">
        <v>2024</v>
      </c>
      <c r="B107">
        <v>10</v>
      </c>
      <c r="C107" t="s">
        <v>73</v>
      </c>
      <c r="D107" t="s">
        <v>64</v>
      </c>
      <c r="E107" t="s">
        <v>65</v>
      </c>
      <c r="F107">
        <v>20</v>
      </c>
      <c r="G107">
        <v>345743</v>
      </c>
      <c r="H107">
        <v>342368</v>
      </c>
      <c r="I107">
        <v>342368</v>
      </c>
      <c r="J107">
        <v>357368</v>
      </c>
      <c r="K107">
        <v>342368</v>
      </c>
      <c r="L107">
        <v>342368</v>
      </c>
    </row>
    <row r="108" spans="1:12" x14ac:dyDescent="0.35">
      <c r="A108">
        <v>2024</v>
      </c>
      <c r="B108">
        <v>10</v>
      </c>
      <c r="C108" t="s">
        <v>73</v>
      </c>
      <c r="D108" t="s">
        <v>51</v>
      </c>
      <c r="E108" t="s">
        <v>52</v>
      </c>
      <c r="F108">
        <v>44</v>
      </c>
      <c r="G108">
        <v>613599</v>
      </c>
      <c r="H108">
        <v>620194</v>
      </c>
      <c r="I108">
        <v>498082</v>
      </c>
      <c r="J108">
        <v>685324</v>
      </c>
      <c r="K108">
        <v>575939</v>
      </c>
      <c r="L108">
        <v>665324</v>
      </c>
    </row>
    <row r="109" spans="1:12" x14ac:dyDescent="0.35">
      <c r="A109">
        <v>2024</v>
      </c>
      <c r="B109">
        <v>10</v>
      </c>
      <c r="C109" t="s">
        <v>73</v>
      </c>
      <c r="D109" t="s">
        <v>53</v>
      </c>
      <c r="E109" t="s">
        <v>54</v>
      </c>
      <c r="F109">
        <v>25</v>
      </c>
      <c r="G109">
        <v>671441</v>
      </c>
      <c r="H109">
        <v>678195</v>
      </c>
      <c r="I109">
        <v>568538</v>
      </c>
      <c r="J109">
        <v>715879</v>
      </c>
      <c r="K109">
        <v>673379</v>
      </c>
      <c r="L109">
        <v>685879</v>
      </c>
    </row>
    <row r="110" spans="1:12" x14ac:dyDescent="0.35">
      <c r="A110">
        <v>2024</v>
      </c>
      <c r="B110">
        <v>10</v>
      </c>
      <c r="C110" t="s">
        <v>73</v>
      </c>
      <c r="D110" t="s">
        <v>55</v>
      </c>
      <c r="E110" t="s">
        <v>56</v>
      </c>
      <c r="F110">
        <v>203</v>
      </c>
      <c r="G110">
        <v>708802</v>
      </c>
      <c r="H110">
        <v>703145</v>
      </c>
      <c r="I110">
        <v>423044</v>
      </c>
      <c r="J110">
        <v>1010733</v>
      </c>
      <c r="K110">
        <v>679169</v>
      </c>
      <c r="L110">
        <v>763736</v>
      </c>
    </row>
    <row r="111" spans="1:12" x14ac:dyDescent="0.35">
      <c r="A111">
        <v>2024</v>
      </c>
      <c r="B111">
        <v>10</v>
      </c>
      <c r="C111" t="s">
        <v>73</v>
      </c>
      <c r="D111" t="s">
        <v>57</v>
      </c>
      <c r="E111" t="s">
        <v>58</v>
      </c>
      <c r="F111">
        <v>9</v>
      </c>
      <c r="G111">
        <v>655708</v>
      </c>
      <c r="H111">
        <v>665879</v>
      </c>
      <c r="I111">
        <v>614868</v>
      </c>
      <c r="J111">
        <v>703379</v>
      </c>
      <c r="K111">
        <v>629868</v>
      </c>
      <c r="L111">
        <v>685879</v>
      </c>
    </row>
    <row r="112" spans="1:12" x14ac:dyDescent="0.35">
      <c r="A112">
        <v>2024</v>
      </c>
      <c r="B112">
        <v>10</v>
      </c>
      <c r="C112" t="s">
        <v>73</v>
      </c>
      <c r="D112" t="s">
        <v>59</v>
      </c>
      <c r="E112" t="s">
        <v>60</v>
      </c>
      <c r="F112">
        <v>2</v>
      </c>
      <c r="G112">
        <v>604597</v>
      </c>
      <c r="H112">
        <v>604597</v>
      </c>
      <c r="I112">
        <v>579326</v>
      </c>
      <c r="J112">
        <v>629868</v>
      </c>
      <c r="K112">
        <v>579326</v>
      </c>
      <c r="L112">
        <v>629868</v>
      </c>
    </row>
    <row r="113" spans="1:12" x14ac:dyDescent="0.35">
      <c r="A113">
        <v>2024</v>
      </c>
      <c r="B113">
        <v>10</v>
      </c>
      <c r="C113" t="s">
        <v>73</v>
      </c>
      <c r="D113" t="s">
        <v>61</v>
      </c>
      <c r="E113" t="s">
        <v>62</v>
      </c>
      <c r="F113">
        <v>109</v>
      </c>
      <c r="G113">
        <v>429548</v>
      </c>
      <c r="H113">
        <v>424485</v>
      </c>
      <c r="I113">
        <v>322836</v>
      </c>
      <c r="J113">
        <v>704351</v>
      </c>
      <c r="K113">
        <v>340336</v>
      </c>
      <c r="L113">
        <v>444485</v>
      </c>
    </row>
    <row r="114" spans="1:12" x14ac:dyDescent="0.35">
      <c r="A114">
        <v>2024</v>
      </c>
      <c r="B114">
        <v>11</v>
      </c>
      <c r="C114" t="s">
        <v>74</v>
      </c>
      <c r="D114" t="s">
        <v>43</v>
      </c>
      <c r="E114" t="s">
        <v>44</v>
      </c>
      <c r="F114">
        <v>1969</v>
      </c>
      <c r="G114">
        <v>569811</v>
      </c>
      <c r="H114">
        <v>511604</v>
      </c>
      <c r="I114">
        <v>325286</v>
      </c>
      <c r="J114">
        <v>1066240</v>
      </c>
      <c r="K114">
        <v>438044</v>
      </c>
      <c r="L114">
        <v>710116</v>
      </c>
    </row>
    <row r="115" spans="1:12" x14ac:dyDescent="0.35">
      <c r="A115">
        <v>2024</v>
      </c>
      <c r="B115">
        <v>11</v>
      </c>
      <c r="C115" t="s">
        <v>74</v>
      </c>
      <c r="D115" t="s">
        <v>45</v>
      </c>
      <c r="E115" t="s">
        <v>46</v>
      </c>
      <c r="F115">
        <v>187</v>
      </c>
      <c r="G115">
        <v>706611</v>
      </c>
      <c r="H115">
        <v>706149</v>
      </c>
      <c r="I115">
        <v>630977</v>
      </c>
      <c r="J115">
        <v>768649</v>
      </c>
      <c r="K115">
        <v>695411</v>
      </c>
      <c r="L115">
        <v>720916</v>
      </c>
    </row>
    <row r="116" spans="1:12" x14ac:dyDescent="0.35">
      <c r="A116">
        <v>2024</v>
      </c>
      <c r="B116">
        <v>11</v>
      </c>
      <c r="C116" t="s">
        <v>74</v>
      </c>
      <c r="D116" t="s">
        <v>47</v>
      </c>
      <c r="E116" t="s">
        <v>48</v>
      </c>
      <c r="F116">
        <v>4</v>
      </c>
      <c r="G116">
        <v>692197</v>
      </c>
      <c r="H116">
        <v>692892</v>
      </c>
      <c r="I116">
        <v>687592</v>
      </c>
      <c r="J116">
        <v>695411</v>
      </c>
      <c r="K116">
        <v>690693</v>
      </c>
      <c r="L116">
        <v>695092</v>
      </c>
    </row>
    <row r="117" spans="1:12" x14ac:dyDescent="0.35">
      <c r="A117">
        <v>2024</v>
      </c>
      <c r="B117">
        <v>11</v>
      </c>
      <c r="C117" t="s">
        <v>74</v>
      </c>
      <c r="D117" t="s">
        <v>49</v>
      </c>
      <c r="E117" t="s">
        <v>50</v>
      </c>
      <c r="F117">
        <v>2789</v>
      </c>
      <c r="G117">
        <v>543532</v>
      </c>
      <c r="H117">
        <v>561038</v>
      </c>
      <c r="I117">
        <v>325286</v>
      </c>
      <c r="J117">
        <v>726718</v>
      </c>
      <c r="K117">
        <v>456604</v>
      </c>
      <c r="L117">
        <v>643944</v>
      </c>
    </row>
    <row r="118" spans="1:12" x14ac:dyDescent="0.35">
      <c r="A118">
        <v>2024</v>
      </c>
      <c r="B118">
        <v>11</v>
      </c>
      <c r="C118" t="s">
        <v>74</v>
      </c>
      <c r="D118" t="s">
        <v>64</v>
      </c>
      <c r="E118" t="s">
        <v>65</v>
      </c>
      <c r="F118">
        <v>20</v>
      </c>
      <c r="G118">
        <v>346493</v>
      </c>
      <c r="H118">
        <v>342368</v>
      </c>
      <c r="I118">
        <v>342368</v>
      </c>
      <c r="J118">
        <v>357368</v>
      </c>
      <c r="K118">
        <v>342368</v>
      </c>
      <c r="L118">
        <v>349868</v>
      </c>
    </row>
    <row r="119" spans="1:12" x14ac:dyDescent="0.35">
      <c r="A119">
        <v>2024</v>
      </c>
      <c r="B119">
        <v>11</v>
      </c>
      <c r="C119" t="s">
        <v>74</v>
      </c>
      <c r="D119" t="s">
        <v>51</v>
      </c>
      <c r="E119" t="s">
        <v>52</v>
      </c>
      <c r="F119">
        <v>44</v>
      </c>
      <c r="G119">
        <v>618618</v>
      </c>
      <c r="H119">
        <v>635194</v>
      </c>
      <c r="I119">
        <v>505680</v>
      </c>
      <c r="J119">
        <v>685324</v>
      </c>
      <c r="K119">
        <v>576038</v>
      </c>
      <c r="L119">
        <v>665324</v>
      </c>
    </row>
    <row r="120" spans="1:12" x14ac:dyDescent="0.35">
      <c r="A120">
        <v>2024</v>
      </c>
      <c r="B120">
        <v>11</v>
      </c>
      <c r="C120" t="s">
        <v>74</v>
      </c>
      <c r="D120" t="s">
        <v>53</v>
      </c>
      <c r="E120" t="s">
        <v>54</v>
      </c>
      <c r="F120">
        <v>25</v>
      </c>
      <c r="G120">
        <v>672246</v>
      </c>
      <c r="H120">
        <v>678195</v>
      </c>
      <c r="I120">
        <v>568538</v>
      </c>
      <c r="J120">
        <v>715879</v>
      </c>
      <c r="K120">
        <v>673379</v>
      </c>
      <c r="L120">
        <v>685879</v>
      </c>
    </row>
    <row r="121" spans="1:12" x14ac:dyDescent="0.35">
      <c r="A121">
        <v>2024</v>
      </c>
      <c r="B121">
        <v>11</v>
      </c>
      <c r="C121" t="s">
        <v>74</v>
      </c>
      <c r="D121" t="s">
        <v>55</v>
      </c>
      <c r="E121" t="s">
        <v>56</v>
      </c>
      <c r="F121">
        <v>221</v>
      </c>
      <c r="G121">
        <v>708742</v>
      </c>
      <c r="H121">
        <v>700645</v>
      </c>
      <c r="I121">
        <v>423044</v>
      </c>
      <c r="J121">
        <v>1010733</v>
      </c>
      <c r="K121">
        <v>679169</v>
      </c>
      <c r="L121">
        <v>754020</v>
      </c>
    </row>
    <row r="122" spans="1:12" x14ac:dyDescent="0.35">
      <c r="A122">
        <v>2024</v>
      </c>
      <c r="B122">
        <v>11</v>
      </c>
      <c r="C122" t="s">
        <v>74</v>
      </c>
      <c r="D122" t="s">
        <v>57</v>
      </c>
      <c r="E122" t="s">
        <v>58</v>
      </c>
      <c r="F122">
        <v>9</v>
      </c>
      <c r="G122">
        <v>655708</v>
      </c>
      <c r="H122">
        <v>665879</v>
      </c>
      <c r="I122">
        <v>614868</v>
      </c>
      <c r="J122">
        <v>703379</v>
      </c>
      <c r="K122">
        <v>629868</v>
      </c>
      <c r="L122">
        <v>685879</v>
      </c>
    </row>
    <row r="123" spans="1:12" x14ac:dyDescent="0.35">
      <c r="A123">
        <v>2024</v>
      </c>
      <c r="B123">
        <v>11</v>
      </c>
      <c r="C123" t="s">
        <v>74</v>
      </c>
      <c r="D123" t="s">
        <v>59</v>
      </c>
      <c r="E123" t="s">
        <v>60</v>
      </c>
      <c r="F123">
        <v>2</v>
      </c>
      <c r="G123">
        <v>604597</v>
      </c>
      <c r="H123">
        <v>604597</v>
      </c>
      <c r="I123">
        <v>579326</v>
      </c>
      <c r="J123">
        <v>629868</v>
      </c>
      <c r="K123">
        <v>579326</v>
      </c>
      <c r="L123">
        <v>629868</v>
      </c>
    </row>
    <row r="124" spans="1:12" x14ac:dyDescent="0.35">
      <c r="A124">
        <v>2024</v>
      </c>
      <c r="B124">
        <v>11</v>
      </c>
      <c r="C124" t="s">
        <v>74</v>
      </c>
      <c r="D124" t="s">
        <v>61</v>
      </c>
      <c r="E124" t="s">
        <v>62</v>
      </c>
      <c r="F124">
        <v>109</v>
      </c>
      <c r="G124">
        <v>431221</v>
      </c>
      <c r="H124">
        <v>424485</v>
      </c>
      <c r="I124">
        <v>322836</v>
      </c>
      <c r="J124">
        <v>704351</v>
      </c>
      <c r="K124">
        <v>342836</v>
      </c>
      <c r="L124">
        <v>444485</v>
      </c>
    </row>
    <row r="125" spans="1:12" x14ac:dyDescent="0.35">
      <c r="A125">
        <v>2024</v>
      </c>
      <c r="B125">
        <v>12</v>
      </c>
      <c r="C125" t="s">
        <v>75</v>
      </c>
      <c r="D125" t="s">
        <v>43</v>
      </c>
      <c r="E125" t="s">
        <v>44</v>
      </c>
      <c r="F125">
        <v>1970</v>
      </c>
      <c r="G125">
        <v>569506</v>
      </c>
      <c r="H125">
        <v>511604</v>
      </c>
      <c r="I125">
        <v>325286</v>
      </c>
      <c r="J125">
        <v>1066240</v>
      </c>
      <c r="K125">
        <v>438044</v>
      </c>
      <c r="L125">
        <v>710116</v>
      </c>
    </row>
    <row r="126" spans="1:12" x14ac:dyDescent="0.35">
      <c r="A126">
        <v>2024</v>
      </c>
      <c r="B126">
        <v>12</v>
      </c>
      <c r="C126" t="s">
        <v>75</v>
      </c>
      <c r="D126" t="s">
        <v>45</v>
      </c>
      <c r="E126" t="s">
        <v>46</v>
      </c>
      <c r="F126">
        <v>187</v>
      </c>
      <c r="G126">
        <v>706571</v>
      </c>
      <c r="H126">
        <v>706149</v>
      </c>
      <c r="I126">
        <v>630977</v>
      </c>
      <c r="J126">
        <v>768649</v>
      </c>
      <c r="K126">
        <v>695411</v>
      </c>
      <c r="L126">
        <v>720916</v>
      </c>
    </row>
    <row r="127" spans="1:12" x14ac:dyDescent="0.35">
      <c r="A127">
        <v>2024</v>
      </c>
      <c r="B127">
        <v>12</v>
      </c>
      <c r="C127" t="s">
        <v>75</v>
      </c>
      <c r="D127" t="s">
        <v>47</v>
      </c>
      <c r="E127" t="s">
        <v>48</v>
      </c>
      <c r="F127">
        <v>4</v>
      </c>
      <c r="G127">
        <v>692197</v>
      </c>
      <c r="H127">
        <v>692892</v>
      </c>
      <c r="I127">
        <v>687592</v>
      </c>
      <c r="J127">
        <v>695411</v>
      </c>
      <c r="K127">
        <v>690693</v>
      </c>
      <c r="L127">
        <v>695092</v>
      </c>
    </row>
    <row r="128" spans="1:12" x14ac:dyDescent="0.35">
      <c r="A128">
        <v>2024</v>
      </c>
      <c r="B128">
        <v>12</v>
      </c>
      <c r="C128" t="s">
        <v>75</v>
      </c>
      <c r="D128" t="s">
        <v>49</v>
      </c>
      <c r="E128" t="s">
        <v>50</v>
      </c>
      <c r="F128">
        <v>2790</v>
      </c>
      <c r="G128">
        <v>543111</v>
      </c>
      <c r="H128">
        <v>561038</v>
      </c>
      <c r="I128">
        <v>325286</v>
      </c>
      <c r="J128">
        <v>726718</v>
      </c>
      <c r="K128">
        <v>456604</v>
      </c>
      <c r="L128">
        <v>642418</v>
      </c>
    </row>
    <row r="129" spans="1:12" x14ac:dyDescent="0.35">
      <c r="A129">
        <v>2024</v>
      </c>
      <c r="B129">
        <v>12</v>
      </c>
      <c r="C129" t="s">
        <v>75</v>
      </c>
      <c r="D129" t="s">
        <v>64</v>
      </c>
      <c r="E129" t="s">
        <v>65</v>
      </c>
      <c r="F129">
        <v>20</v>
      </c>
      <c r="G129">
        <v>346493</v>
      </c>
      <c r="H129">
        <v>342368</v>
      </c>
      <c r="I129">
        <v>342368</v>
      </c>
      <c r="J129">
        <v>357368</v>
      </c>
      <c r="K129">
        <v>342368</v>
      </c>
      <c r="L129">
        <v>349868</v>
      </c>
    </row>
    <row r="130" spans="1:12" x14ac:dyDescent="0.35">
      <c r="A130">
        <v>2024</v>
      </c>
      <c r="B130">
        <v>12</v>
      </c>
      <c r="C130" t="s">
        <v>75</v>
      </c>
      <c r="D130" t="s">
        <v>51</v>
      </c>
      <c r="E130" t="s">
        <v>52</v>
      </c>
      <c r="F130">
        <v>44</v>
      </c>
      <c r="G130">
        <v>618618</v>
      </c>
      <c r="H130">
        <v>635194</v>
      </c>
      <c r="I130">
        <v>505680</v>
      </c>
      <c r="J130">
        <v>685324</v>
      </c>
      <c r="K130">
        <v>576038</v>
      </c>
      <c r="L130">
        <v>665324</v>
      </c>
    </row>
    <row r="131" spans="1:12" x14ac:dyDescent="0.35">
      <c r="A131">
        <v>2024</v>
      </c>
      <c r="B131">
        <v>12</v>
      </c>
      <c r="C131" t="s">
        <v>75</v>
      </c>
      <c r="D131" t="s">
        <v>53</v>
      </c>
      <c r="E131" t="s">
        <v>54</v>
      </c>
      <c r="F131">
        <v>25</v>
      </c>
      <c r="G131">
        <v>672246</v>
      </c>
      <c r="H131">
        <v>678195</v>
      </c>
      <c r="I131">
        <v>568538</v>
      </c>
      <c r="J131">
        <v>715879</v>
      </c>
      <c r="K131">
        <v>673379</v>
      </c>
      <c r="L131">
        <v>685879</v>
      </c>
    </row>
    <row r="132" spans="1:12" x14ac:dyDescent="0.35">
      <c r="A132">
        <v>2024</v>
      </c>
      <c r="B132">
        <v>12</v>
      </c>
      <c r="C132" t="s">
        <v>75</v>
      </c>
      <c r="D132" t="s">
        <v>55</v>
      </c>
      <c r="E132" t="s">
        <v>56</v>
      </c>
      <c r="F132">
        <v>218</v>
      </c>
      <c r="G132">
        <v>707693</v>
      </c>
      <c r="H132">
        <v>700645</v>
      </c>
      <c r="I132">
        <v>423044</v>
      </c>
      <c r="J132">
        <v>1010733</v>
      </c>
      <c r="K132">
        <v>679169</v>
      </c>
      <c r="L132">
        <v>754020</v>
      </c>
    </row>
    <row r="133" spans="1:12" x14ac:dyDescent="0.35">
      <c r="A133">
        <v>2024</v>
      </c>
      <c r="B133">
        <v>12</v>
      </c>
      <c r="C133" t="s">
        <v>75</v>
      </c>
      <c r="D133" t="s">
        <v>57</v>
      </c>
      <c r="E133" t="s">
        <v>58</v>
      </c>
      <c r="F133">
        <v>9</v>
      </c>
      <c r="G133">
        <v>655708</v>
      </c>
      <c r="H133">
        <v>665879</v>
      </c>
      <c r="I133">
        <v>614868</v>
      </c>
      <c r="J133">
        <v>703379</v>
      </c>
      <c r="K133">
        <v>629868</v>
      </c>
      <c r="L133">
        <v>685879</v>
      </c>
    </row>
    <row r="134" spans="1:12" x14ac:dyDescent="0.35">
      <c r="A134">
        <v>2024</v>
      </c>
      <c r="B134">
        <v>12</v>
      </c>
      <c r="C134" t="s">
        <v>75</v>
      </c>
      <c r="D134" t="s">
        <v>59</v>
      </c>
      <c r="E134" t="s">
        <v>60</v>
      </c>
      <c r="F134">
        <v>2</v>
      </c>
      <c r="G134">
        <v>604597</v>
      </c>
      <c r="H134">
        <v>604597</v>
      </c>
      <c r="I134">
        <v>579326</v>
      </c>
      <c r="J134">
        <v>629868</v>
      </c>
      <c r="K134">
        <v>579326</v>
      </c>
      <c r="L134">
        <v>629868</v>
      </c>
    </row>
    <row r="135" spans="1:12" x14ac:dyDescent="0.35">
      <c r="A135">
        <v>2024</v>
      </c>
      <c r="B135">
        <v>12</v>
      </c>
      <c r="C135" t="s">
        <v>75</v>
      </c>
      <c r="D135" t="s">
        <v>61</v>
      </c>
      <c r="E135" t="s">
        <v>62</v>
      </c>
      <c r="F135">
        <v>109</v>
      </c>
      <c r="G135">
        <v>431266</v>
      </c>
      <c r="H135">
        <v>424485</v>
      </c>
      <c r="I135">
        <v>322836</v>
      </c>
      <c r="J135">
        <v>704351</v>
      </c>
      <c r="K135">
        <v>343573</v>
      </c>
      <c r="L135">
        <v>444485</v>
      </c>
    </row>
    <row r="136" spans="1:12" x14ac:dyDescent="0.35">
      <c r="A136">
        <v>2025</v>
      </c>
      <c r="B136">
        <v>1</v>
      </c>
      <c r="C136" t="s">
        <v>42</v>
      </c>
      <c r="D136" t="s">
        <v>43</v>
      </c>
      <c r="E136" t="s">
        <v>44</v>
      </c>
      <c r="F136">
        <v>1839</v>
      </c>
      <c r="G136">
        <v>560134</v>
      </c>
      <c r="H136">
        <v>491604</v>
      </c>
      <c r="I136">
        <v>325286</v>
      </c>
      <c r="J136">
        <v>1232733</v>
      </c>
      <c r="K136">
        <v>432540</v>
      </c>
      <c r="L136">
        <v>694476</v>
      </c>
    </row>
    <row r="137" spans="1:12" x14ac:dyDescent="0.35">
      <c r="A137">
        <v>2025</v>
      </c>
      <c r="B137">
        <v>1</v>
      </c>
      <c r="C137" t="s">
        <v>42</v>
      </c>
      <c r="D137" t="s">
        <v>45</v>
      </c>
      <c r="E137" t="s">
        <v>46</v>
      </c>
      <c r="F137">
        <v>170</v>
      </c>
      <c r="G137">
        <v>714832</v>
      </c>
      <c r="H137">
        <v>710411</v>
      </c>
      <c r="I137">
        <v>651113</v>
      </c>
      <c r="J137">
        <v>786985</v>
      </c>
      <c r="K137">
        <v>695411</v>
      </c>
      <c r="L137">
        <v>728649</v>
      </c>
    </row>
    <row r="138" spans="1:12" x14ac:dyDescent="0.35">
      <c r="A138">
        <v>2025</v>
      </c>
      <c r="B138">
        <v>1</v>
      </c>
      <c r="C138" t="s">
        <v>42</v>
      </c>
      <c r="D138" t="s">
        <v>47</v>
      </c>
      <c r="E138" t="s">
        <v>48</v>
      </c>
      <c r="F138">
        <v>4</v>
      </c>
      <c r="G138">
        <v>722298</v>
      </c>
      <c r="H138">
        <v>721602</v>
      </c>
      <c r="I138">
        <v>690693</v>
      </c>
      <c r="J138">
        <v>755293</v>
      </c>
      <c r="K138">
        <v>695411</v>
      </c>
      <c r="L138">
        <v>747793</v>
      </c>
    </row>
    <row r="139" spans="1:12" x14ac:dyDescent="0.35">
      <c r="A139">
        <v>2025</v>
      </c>
      <c r="B139">
        <v>1</v>
      </c>
      <c r="C139" t="s">
        <v>42</v>
      </c>
      <c r="D139" t="s">
        <v>49</v>
      </c>
      <c r="E139" t="s">
        <v>50</v>
      </c>
      <c r="F139">
        <v>2718</v>
      </c>
      <c r="G139">
        <v>542533</v>
      </c>
      <c r="H139">
        <v>558304</v>
      </c>
      <c r="I139">
        <v>325286</v>
      </c>
      <c r="J139">
        <v>729353</v>
      </c>
      <c r="K139">
        <v>453044</v>
      </c>
      <c r="L139">
        <v>639955</v>
      </c>
    </row>
    <row r="140" spans="1:12" x14ac:dyDescent="0.35">
      <c r="A140">
        <v>2025</v>
      </c>
      <c r="B140">
        <v>1</v>
      </c>
      <c r="C140" t="s">
        <v>42</v>
      </c>
      <c r="D140" t="s">
        <v>64</v>
      </c>
      <c r="E140" t="s">
        <v>65</v>
      </c>
      <c r="F140">
        <v>20</v>
      </c>
      <c r="G140">
        <v>346493</v>
      </c>
      <c r="H140">
        <v>342368</v>
      </c>
      <c r="I140">
        <v>342368</v>
      </c>
      <c r="J140">
        <v>357368</v>
      </c>
      <c r="K140">
        <v>342368</v>
      </c>
      <c r="L140">
        <v>349868</v>
      </c>
    </row>
    <row r="141" spans="1:12" x14ac:dyDescent="0.35">
      <c r="A141">
        <v>2025</v>
      </c>
      <c r="B141">
        <v>1</v>
      </c>
      <c r="C141" t="s">
        <v>42</v>
      </c>
      <c r="D141" t="s">
        <v>51</v>
      </c>
      <c r="E141" t="s">
        <v>52</v>
      </c>
      <c r="F141">
        <v>41</v>
      </c>
      <c r="G141">
        <v>612152</v>
      </c>
      <c r="H141">
        <v>616444</v>
      </c>
      <c r="I141">
        <v>483180</v>
      </c>
      <c r="J141">
        <v>699710</v>
      </c>
      <c r="K141">
        <v>561038</v>
      </c>
      <c r="L141">
        <v>667689</v>
      </c>
    </row>
    <row r="142" spans="1:12" x14ac:dyDescent="0.35">
      <c r="A142">
        <v>2025</v>
      </c>
      <c r="B142">
        <v>1</v>
      </c>
      <c r="C142" t="s">
        <v>42</v>
      </c>
      <c r="D142" t="s">
        <v>53</v>
      </c>
      <c r="E142" t="s">
        <v>54</v>
      </c>
      <c r="F142">
        <v>22</v>
      </c>
      <c r="G142">
        <v>671593</v>
      </c>
      <c r="H142">
        <v>679537</v>
      </c>
      <c r="I142">
        <v>568538</v>
      </c>
      <c r="J142">
        <v>715879</v>
      </c>
      <c r="K142">
        <v>665879</v>
      </c>
      <c r="L142">
        <v>685879</v>
      </c>
    </row>
    <row r="143" spans="1:12" x14ac:dyDescent="0.35">
      <c r="A143">
        <v>2025</v>
      </c>
      <c r="B143">
        <v>1</v>
      </c>
      <c r="C143" t="s">
        <v>42</v>
      </c>
      <c r="D143" t="s">
        <v>55</v>
      </c>
      <c r="E143" t="s">
        <v>56</v>
      </c>
      <c r="F143">
        <v>201</v>
      </c>
      <c r="G143">
        <v>711249</v>
      </c>
      <c r="H143">
        <v>715645</v>
      </c>
      <c r="I143">
        <v>423044</v>
      </c>
      <c r="J143">
        <v>1010733</v>
      </c>
      <c r="K143">
        <v>679169</v>
      </c>
      <c r="L143">
        <v>754020</v>
      </c>
    </row>
    <row r="144" spans="1:12" x14ac:dyDescent="0.35">
      <c r="A144">
        <v>2025</v>
      </c>
      <c r="B144">
        <v>1</v>
      </c>
      <c r="C144" t="s">
        <v>42</v>
      </c>
      <c r="D144" t="s">
        <v>57</v>
      </c>
      <c r="E144" t="s">
        <v>58</v>
      </c>
      <c r="F144">
        <v>23</v>
      </c>
      <c r="G144">
        <v>653342</v>
      </c>
      <c r="H144">
        <v>654353</v>
      </c>
      <c r="I144">
        <v>614868</v>
      </c>
      <c r="J144">
        <v>719907</v>
      </c>
      <c r="K144">
        <v>634868</v>
      </c>
      <c r="L144">
        <v>665880</v>
      </c>
    </row>
    <row r="145" spans="1:12" x14ac:dyDescent="0.35">
      <c r="A145">
        <v>2025</v>
      </c>
      <c r="B145">
        <v>1</v>
      </c>
      <c r="C145" t="s">
        <v>42</v>
      </c>
      <c r="D145" t="s">
        <v>59</v>
      </c>
      <c r="E145" t="s">
        <v>60</v>
      </c>
      <c r="F145">
        <v>2</v>
      </c>
      <c r="G145">
        <v>604597</v>
      </c>
      <c r="H145">
        <v>604597</v>
      </c>
      <c r="I145">
        <v>579326</v>
      </c>
      <c r="J145">
        <v>629868</v>
      </c>
      <c r="K145">
        <v>579326</v>
      </c>
      <c r="L145">
        <v>629868</v>
      </c>
    </row>
    <row r="146" spans="1:12" x14ac:dyDescent="0.35">
      <c r="A146">
        <v>2025</v>
      </c>
      <c r="B146">
        <v>1</v>
      </c>
      <c r="C146" t="s">
        <v>42</v>
      </c>
      <c r="D146" t="s">
        <v>61</v>
      </c>
      <c r="E146" t="s">
        <v>62</v>
      </c>
      <c r="F146">
        <v>105</v>
      </c>
      <c r="G146">
        <v>434470</v>
      </c>
      <c r="H146">
        <v>426985</v>
      </c>
      <c r="I146">
        <v>322836</v>
      </c>
      <c r="J146">
        <v>755293</v>
      </c>
      <c r="K146">
        <v>343077</v>
      </c>
      <c r="L146">
        <v>444485</v>
      </c>
    </row>
    <row r="147" spans="1:12" x14ac:dyDescent="0.35">
      <c r="A147">
        <v>2025</v>
      </c>
      <c r="B147">
        <v>2</v>
      </c>
      <c r="C147" t="s">
        <v>63</v>
      </c>
      <c r="D147" t="s">
        <v>43</v>
      </c>
      <c r="E147" t="s">
        <v>44</v>
      </c>
      <c r="F147">
        <v>1871</v>
      </c>
      <c r="G147">
        <v>566500</v>
      </c>
      <c r="H147">
        <v>518403</v>
      </c>
      <c r="I147">
        <v>325286</v>
      </c>
      <c r="J147">
        <v>1226286</v>
      </c>
      <c r="K147">
        <v>433044</v>
      </c>
      <c r="L147">
        <v>694476</v>
      </c>
    </row>
    <row r="148" spans="1:12" x14ac:dyDescent="0.35">
      <c r="A148">
        <v>2025</v>
      </c>
      <c r="B148">
        <v>2</v>
      </c>
      <c r="C148" t="s">
        <v>63</v>
      </c>
      <c r="D148" t="s">
        <v>45</v>
      </c>
      <c r="E148" t="s">
        <v>46</v>
      </c>
      <c r="F148">
        <v>202</v>
      </c>
      <c r="G148">
        <v>714995</v>
      </c>
      <c r="H148">
        <v>710411</v>
      </c>
      <c r="I148">
        <v>648617</v>
      </c>
      <c r="J148">
        <v>787145</v>
      </c>
      <c r="K148">
        <v>695411</v>
      </c>
      <c r="L148">
        <v>725735</v>
      </c>
    </row>
    <row r="149" spans="1:12" x14ac:dyDescent="0.35">
      <c r="A149">
        <v>2025</v>
      </c>
      <c r="B149">
        <v>2</v>
      </c>
      <c r="C149" t="s">
        <v>63</v>
      </c>
      <c r="D149" t="s">
        <v>47</v>
      </c>
      <c r="E149" t="s">
        <v>48</v>
      </c>
      <c r="F149">
        <v>5</v>
      </c>
      <c r="G149">
        <v>705682</v>
      </c>
      <c r="H149">
        <v>695092</v>
      </c>
      <c r="I149">
        <v>687592</v>
      </c>
      <c r="J149">
        <v>759621</v>
      </c>
      <c r="K149">
        <v>690693</v>
      </c>
      <c r="L149">
        <v>695411</v>
      </c>
    </row>
    <row r="150" spans="1:12" x14ac:dyDescent="0.35">
      <c r="A150">
        <v>2025</v>
      </c>
      <c r="B150">
        <v>2</v>
      </c>
      <c r="C150" t="s">
        <v>63</v>
      </c>
      <c r="D150" t="s">
        <v>49</v>
      </c>
      <c r="E150" t="s">
        <v>50</v>
      </c>
      <c r="F150">
        <v>2708</v>
      </c>
      <c r="G150">
        <v>552066</v>
      </c>
      <c r="H150">
        <v>575939</v>
      </c>
      <c r="I150">
        <v>325286</v>
      </c>
      <c r="J150">
        <v>729069</v>
      </c>
      <c r="K150">
        <v>465544</v>
      </c>
      <c r="L150">
        <v>652690</v>
      </c>
    </row>
    <row r="151" spans="1:12" x14ac:dyDescent="0.35">
      <c r="A151">
        <v>2025</v>
      </c>
      <c r="B151">
        <v>2</v>
      </c>
      <c r="C151" t="s">
        <v>63</v>
      </c>
      <c r="D151" t="s">
        <v>64</v>
      </c>
      <c r="E151" t="s">
        <v>65</v>
      </c>
      <c r="F151">
        <v>20</v>
      </c>
      <c r="G151">
        <v>346868</v>
      </c>
      <c r="H151">
        <v>342368</v>
      </c>
      <c r="I151">
        <v>342368</v>
      </c>
      <c r="J151">
        <v>364868</v>
      </c>
      <c r="K151">
        <v>342368</v>
      </c>
      <c r="L151">
        <v>349868</v>
      </c>
    </row>
    <row r="152" spans="1:12" x14ac:dyDescent="0.35">
      <c r="A152">
        <v>2025</v>
      </c>
      <c r="B152">
        <v>2</v>
      </c>
      <c r="C152" t="s">
        <v>63</v>
      </c>
      <c r="D152" t="s">
        <v>51</v>
      </c>
      <c r="E152" t="s">
        <v>52</v>
      </c>
      <c r="F152">
        <v>40</v>
      </c>
      <c r="G152">
        <v>633928</v>
      </c>
      <c r="H152">
        <v>644500</v>
      </c>
      <c r="I152">
        <v>483180</v>
      </c>
      <c r="J152">
        <v>690140</v>
      </c>
      <c r="K152">
        <v>616088</v>
      </c>
      <c r="L152">
        <v>677824</v>
      </c>
    </row>
    <row r="153" spans="1:12" x14ac:dyDescent="0.35">
      <c r="A153">
        <v>2025</v>
      </c>
      <c r="B153">
        <v>2</v>
      </c>
      <c r="C153" t="s">
        <v>63</v>
      </c>
      <c r="D153" t="s">
        <v>53</v>
      </c>
      <c r="E153" t="s">
        <v>54</v>
      </c>
      <c r="F153">
        <v>22</v>
      </c>
      <c r="G153">
        <v>672538</v>
      </c>
      <c r="H153">
        <v>679537</v>
      </c>
      <c r="I153">
        <v>568538</v>
      </c>
      <c r="J153">
        <v>715879</v>
      </c>
      <c r="K153">
        <v>670360</v>
      </c>
      <c r="L153">
        <v>685879</v>
      </c>
    </row>
    <row r="154" spans="1:12" x14ac:dyDescent="0.35">
      <c r="A154">
        <v>2025</v>
      </c>
      <c r="B154">
        <v>2</v>
      </c>
      <c r="C154" t="s">
        <v>63</v>
      </c>
      <c r="D154" t="s">
        <v>55</v>
      </c>
      <c r="E154" t="s">
        <v>56</v>
      </c>
      <c r="F154">
        <v>214</v>
      </c>
      <c r="G154">
        <v>717342</v>
      </c>
      <c r="H154">
        <v>700645</v>
      </c>
      <c r="I154">
        <v>540570</v>
      </c>
      <c r="J154">
        <v>1010733</v>
      </c>
      <c r="K154">
        <v>679169</v>
      </c>
      <c r="L154">
        <v>778736</v>
      </c>
    </row>
    <row r="155" spans="1:12" x14ac:dyDescent="0.35">
      <c r="A155">
        <v>2025</v>
      </c>
      <c r="B155">
        <v>2</v>
      </c>
      <c r="C155" t="s">
        <v>63</v>
      </c>
      <c r="D155" t="s">
        <v>57</v>
      </c>
      <c r="E155" t="s">
        <v>58</v>
      </c>
      <c r="F155">
        <v>23</v>
      </c>
      <c r="G155">
        <v>651972</v>
      </c>
      <c r="H155">
        <v>654353</v>
      </c>
      <c r="I155">
        <v>614868</v>
      </c>
      <c r="J155">
        <v>703379</v>
      </c>
      <c r="K155">
        <v>635144</v>
      </c>
      <c r="L155">
        <v>666853</v>
      </c>
    </row>
    <row r="156" spans="1:12" x14ac:dyDescent="0.35">
      <c r="A156">
        <v>2025</v>
      </c>
      <c r="B156">
        <v>2</v>
      </c>
      <c r="C156" t="s">
        <v>63</v>
      </c>
      <c r="D156" t="s">
        <v>59</v>
      </c>
      <c r="E156" t="s">
        <v>60</v>
      </c>
      <c r="F156">
        <v>1</v>
      </c>
      <c r="G156">
        <v>579326</v>
      </c>
      <c r="H156">
        <v>579326</v>
      </c>
      <c r="I156">
        <v>579326</v>
      </c>
      <c r="J156">
        <v>579326</v>
      </c>
      <c r="K156">
        <v>579326</v>
      </c>
      <c r="L156">
        <v>579326</v>
      </c>
    </row>
    <row r="157" spans="1:12" x14ac:dyDescent="0.35">
      <c r="A157">
        <v>2025</v>
      </c>
      <c r="B157">
        <v>2</v>
      </c>
      <c r="C157" t="s">
        <v>63</v>
      </c>
      <c r="D157" t="s">
        <v>61</v>
      </c>
      <c r="E157" t="s">
        <v>62</v>
      </c>
      <c r="F157">
        <v>120</v>
      </c>
      <c r="G157">
        <v>449361</v>
      </c>
      <c r="H157">
        <v>429485</v>
      </c>
      <c r="I157">
        <v>302836</v>
      </c>
      <c r="J157">
        <v>767145</v>
      </c>
      <c r="K157">
        <v>340336</v>
      </c>
      <c r="L157">
        <v>459485</v>
      </c>
    </row>
    <row r="158" spans="1:12" x14ac:dyDescent="0.35">
      <c r="A158">
        <v>2025</v>
      </c>
      <c r="B158">
        <v>3</v>
      </c>
      <c r="C158" t="s">
        <v>66</v>
      </c>
      <c r="D158" t="s">
        <v>43</v>
      </c>
      <c r="E158" t="s">
        <v>44</v>
      </c>
      <c r="F158">
        <v>1875</v>
      </c>
      <c r="G158">
        <v>547030</v>
      </c>
      <c r="H158">
        <v>494104</v>
      </c>
      <c r="I158">
        <v>325286</v>
      </c>
      <c r="J158">
        <v>1099723</v>
      </c>
      <c r="K158">
        <v>400322</v>
      </c>
      <c r="L158">
        <v>685879</v>
      </c>
    </row>
    <row r="159" spans="1:12" x14ac:dyDescent="0.35">
      <c r="A159">
        <v>2025</v>
      </c>
      <c r="B159">
        <v>3</v>
      </c>
      <c r="C159" t="s">
        <v>66</v>
      </c>
      <c r="D159" t="s">
        <v>45</v>
      </c>
      <c r="E159" t="s">
        <v>46</v>
      </c>
      <c r="F159">
        <v>208</v>
      </c>
      <c r="G159">
        <v>706971</v>
      </c>
      <c r="H159">
        <v>706149</v>
      </c>
      <c r="I159">
        <v>631211</v>
      </c>
      <c r="J159">
        <v>779974</v>
      </c>
      <c r="K159">
        <v>695411</v>
      </c>
      <c r="L159">
        <v>720916</v>
      </c>
    </row>
    <row r="160" spans="1:12" x14ac:dyDescent="0.35">
      <c r="A160">
        <v>2025</v>
      </c>
      <c r="B160">
        <v>3</v>
      </c>
      <c r="C160" t="s">
        <v>66</v>
      </c>
      <c r="D160" t="s">
        <v>47</v>
      </c>
      <c r="E160" t="s">
        <v>48</v>
      </c>
      <c r="F160">
        <v>5</v>
      </c>
      <c r="G160">
        <v>688276</v>
      </c>
      <c r="H160">
        <v>690693</v>
      </c>
      <c r="I160">
        <v>672590</v>
      </c>
      <c r="J160">
        <v>695411</v>
      </c>
      <c r="K160">
        <v>687592</v>
      </c>
      <c r="L160">
        <v>695092</v>
      </c>
    </row>
    <row r="161" spans="1:12" x14ac:dyDescent="0.35">
      <c r="A161">
        <v>2025</v>
      </c>
      <c r="B161">
        <v>3</v>
      </c>
      <c r="C161" t="s">
        <v>66</v>
      </c>
      <c r="D161" t="s">
        <v>49</v>
      </c>
      <c r="E161" t="s">
        <v>50</v>
      </c>
      <c r="F161">
        <v>2720</v>
      </c>
      <c r="G161">
        <v>548008</v>
      </c>
      <c r="H161">
        <v>568304</v>
      </c>
      <c r="I161">
        <v>325286</v>
      </c>
      <c r="J161">
        <v>725879</v>
      </c>
      <c r="K161">
        <v>465040</v>
      </c>
      <c r="L161">
        <v>647455</v>
      </c>
    </row>
    <row r="162" spans="1:12" x14ac:dyDescent="0.35">
      <c r="A162">
        <v>2025</v>
      </c>
      <c r="B162">
        <v>3</v>
      </c>
      <c r="C162" t="s">
        <v>66</v>
      </c>
      <c r="D162" t="s">
        <v>64</v>
      </c>
      <c r="E162" t="s">
        <v>65</v>
      </c>
      <c r="F162">
        <v>37</v>
      </c>
      <c r="G162">
        <v>345206</v>
      </c>
      <c r="H162">
        <v>342368</v>
      </c>
      <c r="I162">
        <v>342368</v>
      </c>
      <c r="J162">
        <v>364868</v>
      </c>
      <c r="K162">
        <v>342368</v>
      </c>
      <c r="L162">
        <v>342368</v>
      </c>
    </row>
    <row r="163" spans="1:12" x14ac:dyDescent="0.35">
      <c r="A163">
        <v>2025</v>
      </c>
      <c r="B163">
        <v>3</v>
      </c>
      <c r="C163" t="s">
        <v>66</v>
      </c>
      <c r="D163" t="s">
        <v>51</v>
      </c>
      <c r="E163" t="s">
        <v>52</v>
      </c>
      <c r="F163">
        <v>39</v>
      </c>
      <c r="G163">
        <v>624104</v>
      </c>
      <c r="H163">
        <v>633944</v>
      </c>
      <c r="I163">
        <v>483180</v>
      </c>
      <c r="J163">
        <v>685324</v>
      </c>
      <c r="K163">
        <v>590939</v>
      </c>
      <c r="L163">
        <v>672486</v>
      </c>
    </row>
    <row r="164" spans="1:12" x14ac:dyDescent="0.35">
      <c r="A164">
        <v>2025</v>
      </c>
      <c r="B164">
        <v>3</v>
      </c>
      <c r="C164" t="s">
        <v>66</v>
      </c>
      <c r="D164" t="s">
        <v>53</v>
      </c>
      <c r="E164" t="s">
        <v>54</v>
      </c>
      <c r="F164">
        <v>22</v>
      </c>
      <c r="G164">
        <v>672081</v>
      </c>
      <c r="H164">
        <v>679537</v>
      </c>
      <c r="I164">
        <v>568538</v>
      </c>
      <c r="J164">
        <v>715879</v>
      </c>
      <c r="K164">
        <v>665879</v>
      </c>
      <c r="L164">
        <v>685879</v>
      </c>
    </row>
    <row r="165" spans="1:12" x14ac:dyDescent="0.35">
      <c r="A165">
        <v>2025</v>
      </c>
      <c r="B165">
        <v>3</v>
      </c>
      <c r="C165" t="s">
        <v>66</v>
      </c>
      <c r="D165" t="s">
        <v>55</v>
      </c>
      <c r="E165" t="s">
        <v>56</v>
      </c>
      <c r="F165">
        <v>139</v>
      </c>
      <c r="G165">
        <v>698378</v>
      </c>
      <c r="H165">
        <v>686669</v>
      </c>
      <c r="I165">
        <v>540570</v>
      </c>
      <c r="J165">
        <v>973193</v>
      </c>
      <c r="K165">
        <v>679169</v>
      </c>
      <c r="L165">
        <v>726520</v>
      </c>
    </row>
    <row r="166" spans="1:12" x14ac:dyDescent="0.35">
      <c r="A166">
        <v>2025</v>
      </c>
      <c r="B166">
        <v>3</v>
      </c>
      <c r="C166" t="s">
        <v>66</v>
      </c>
      <c r="D166" t="s">
        <v>57</v>
      </c>
      <c r="E166" t="s">
        <v>58</v>
      </c>
      <c r="F166">
        <v>27</v>
      </c>
      <c r="G166">
        <v>643687</v>
      </c>
      <c r="H166">
        <v>637368</v>
      </c>
      <c r="I166">
        <v>594733</v>
      </c>
      <c r="J166">
        <v>703379</v>
      </c>
      <c r="K166">
        <v>629081</v>
      </c>
      <c r="L166">
        <v>665879</v>
      </c>
    </row>
    <row r="167" spans="1:12" x14ac:dyDescent="0.35">
      <c r="A167">
        <v>2025</v>
      </c>
      <c r="B167">
        <v>3</v>
      </c>
      <c r="C167" t="s">
        <v>66</v>
      </c>
      <c r="D167" t="s">
        <v>59</v>
      </c>
      <c r="E167" t="s">
        <v>60</v>
      </c>
      <c r="F167">
        <v>1</v>
      </c>
      <c r="G167">
        <v>579326</v>
      </c>
      <c r="H167">
        <v>579326</v>
      </c>
      <c r="I167">
        <v>579326</v>
      </c>
      <c r="J167">
        <v>579326</v>
      </c>
      <c r="K167">
        <v>579326</v>
      </c>
      <c r="L167">
        <v>579326</v>
      </c>
    </row>
    <row r="168" spans="1:12" x14ac:dyDescent="0.35">
      <c r="A168">
        <v>2025</v>
      </c>
      <c r="B168">
        <v>3</v>
      </c>
      <c r="C168" t="s">
        <v>66</v>
      </c>
      <c r="D168" t="s">
        <v>61</v>
      </c>
      <c r="E168" t="s">
        <v>62</v>
      </c>
      <c r="F168">
        <v>136</v>
      </c>
      <c r="G168">
        <v>445630</v>
      </c>
      <c r="H168">
        <v>429485</v>
      </c>
      <c r="I168">
        <v>322836</v>
      </c>
      <c r="J168">
        <v>715193</v>
      </c>
      <c r="K168">
        <v>338573</v>
      </c>
      <c r="L168">
        <v>454485</v>
      </c>
    </row>
    <row r="169" spans="1:12" x14ac:dyDescent="0.35">
      <c r="A169">
        <v>2025</v>
      </c>
      <c r="B169">
        <v>4</v>
      </c>
      <c r="C169" t="s">
        <v>67</v>
      </c>
      <c r="D169" t="s">
        <v>43</v>
      </c>
      <c r="E169" t="s">
        <v>44</v>
      </c>
      <c r="F169">
        <v>1867</v>
      </c>
      <c r="G169">
        <v>566218</v>
      </c>
      <c r="H169">
        <v>516604</v>
      </c>
      <c r="I169">
        <v>325286</v>
      </c>
      <c r="J169">
        <v>1226286</v>
      </c>
      <c r="K169">
        <v>433044</v>
      </c>
      <c r="L169">
        <v>694476</v>
      </c>
    </row>
    <row r="170" spans="1:12" x14ac:dyDescent="0.35">
      <c r="A170">
        <v>2025</v>
      </c>
      <c r="B170">
        <v>4</v>
      </c>
      <c r="C170" t="s">
        <v>67</v>
      </c>
      <c r="D170" t="s">
        <v>45</v>
      </c>
      <c r="E170" t="s">
        <v>46</v>
      </c>
      <c r="F170">
        <v>202</v>
      </c>
      <c r="G170">
        <v>714995</v>
      </c>
      <c r="H170">
        <v>710411</v>
      </c>
      <c r="I170">
        <v>648617</v>
      </c>
      <c r="J170">
        <v>787145</v>
      </c>
      <c r="K170">
        <v>695411</v>
      </c>
      <c r="L170">
        <v>725735</v>
      </c>
    </row>
    <row r="171" spans="1:12" x14ac:dyDescent="0.35">
      <c r="A171">
        <v>2025</v>
      </c>
      <c r="B171">
        <v>4</v>
      </c>
      <c r="C171" t="s">
        <v>67</v>
      </c>
      <c r="D171" t="s">
        <v>47</v>
      </c>
      <c r="E171" t="s">
        <v>48</v>
      </c>
      <c r="F171">
        <v>5</v>
      </c>
      <c r="G171">
        <v>705682</v>
      </c>
      <c r="H171">
        <v>695092</v>
      </c>
      <c r="I171">
        <v>687592</v>
      </c>
      <c r="J171">
        <v>759621</v>
      </c>
      <c r="K171">
        <v>690693</v>
      </c>
      <c r="L171">
        <v>695411</v>
      </c>
    </row>
    <row r="172" spans="1:12" x14ac:dyDescent="0.35">
      <c r="A172">
        <v>2025</v>
      </c>
      <c r="B172">
        <v>4</v>
      </c>
      <c r="C172" t="s">
        <v>67</v>
      </c>
      <c r="D172" t="s">
        <v>49</v>
      </c>
      <c r="E172" t="s">
        <v>50</v>
      </c>
      <c r="F172">
        <v>2696</v>
      </c>
      <c r="G172">
        <v>551792</v>
      </c>
      <c r="H172">
        <v>575909</v>
      </c>
      <c r="I172">
        <v>325286</v>
      </c>
      <c r="J172">
        <v>729069</v>
      </c>
      <c r="K172">
        <v>465040</v>
      </c>
      <c r="L172">
        <v>653477</v>
      </c>
    </row>
    <row r="173" spans="1:12" x14ac:dyDescent="0.35">
      <c r="A173">
        <v>2025</v>
      </c>
      <c r="B173">
        <v>4</v>
      </c>
      <c r="C173" t="s">
        <v>67</v>
      </c>
      <c r="D173" t="s">
        <v>64</v>
      </c>
      <c r="E173" t="s">
        <v>65</v>
      </c>
      <c r="F173">
        <v>20</v>
      </c>
      <c r="G173">
        <v>346868</v>
      </c>
      <c r="H173">
        <v>342368</v>
      </c>
      <c r="I173">
        <v>342368</v>
      </c>
      <c r="J173">
        <v>364868</v>
      </c>
      <c r="K173">
        <v>342368</v>
      </c>
      <c r="L173">
        <v>349868</v>
      </c>
    </row>
    <row r="174" spans="1:12" x14ac:dyDescent="0.35">
      <c r="A174">
        <v>2025</v>
      </c>
      <c r="B174">
        <v>4</v>
      </c>
      <c r="C174" t="s">
        <v>67</v>
      </c>
      <c r="D174" t="s">
        <v>51</v>
      </c>
      <c r="E174" t="s">
        <v>52</v>
      </c>
      <c r="F174">
        <v>40</v>
      </c>
      <c r="G174">
        <v>635828</v>
      </c>
      <c r="H174">
        <v>644500</v>
      </c>
      <c r="I174">
        <v>483180</v>
      </c>
      <c r="J174">
        <v>690140</v>
      </c>
      <c r="K174">
        <v>618944</v>
      </c>
      <c r="L174">
        <v>677824</v>
      </c>
    </row>
    <row r="175" spans="1:12" x14ac:dyDescent="0.35">
      <c r="A175">
        <v>2025</v>
      </c>
      <c r="B175">
        <v>4</v>
      </c>
      <c r="C175" t="s">
        <v>67</v>
      </c>
      <c r="D175" t="s">
        <v>53</v>
      </c>
      <c r="E175" t="s">
        <v>54</v>
      </c>
      <c r="F175">
        <v>22</v>
      </c>
      <c r="G175">
        <v>672538</v>
      </c>
      <c r="H175">
        <v>679537</v>
      </c>
      <c r="I175">
        <v>568538</v>
      </c>
      <c r="J175">
        <v>715879</v>
      </c>
      <c r="K175">
        <v>670360</v>
      </c>
      <c r="L175">
        <v>685879</v>
      </c>
    </row>
    <row r="176" spans="1:12" x14ac:dyDescent="0.35">
      <c r="A176">
        <v>2025</v>
      </c>
      <c r="B176">
        <v>4</v>
      </c>
      <c r="C176" t="s">
        <v>67</v>
      </c>
      <c r="D176" t="s">
        <v>55</v>
      </c>
      <c r="E176" t="s">
        <v>56</v>
      </c>
      <c r="F176">
        <v>214</v>
      </c>
      <c r="G176">
        <v>717342</v>
      </c>
      <c r="H176">
        <v>700645</v>
      </c>
      <c r="I176">
        <v>540570</v>
      </c>
      <c r="J176">
        <v>1010733</v>
      </c>
      <c r="K176">
        <v>679169</v>
      </c>
      <c r="L176">
        <v>778736</v>
      </c>
    </row>
    <row r="177" spans="1:12" x14ac:dyDescent="0.35">
      <c r="A177">
        <v>2025</v>
      </c>
      <c r="B177">
        <v>4</v>
      </c>
      <c r="C177" t="s">
        <v>67</v>
      </c>
      <c r="D177" t="s">
        <v>57</v>
      </c>
      <c r="E177" t="s">
        <v>58</v>
      </c>
      <c r="F177">
        <v>23</v>
      </c>
      <c r="G177">
        <v>651972</v>
      </c>
      <c r="H177">
        <v>654353</v>
      </c>
      <c r="I177">
        <v>614868</v>
      </c>
      <c r="J177">
        <v>703379</v>
      </c>
      <c r="K177">
        <v>635144</v>
      </c>
      <c r="L177">
        <v>666853</v>
      </c>
    </row>
    <row r="178" spans="1:12" x14ac:dyDescent="0.35">
      <c r="A178">
        <v>2025</v>
      </c>
      <c r="B178">
        <v>4</v>
      </c>
      <c r="C178" t="s">
        <v>67</v>
      </c>
      <c r="D178" t="s">
        <v>59</v>
      </c>
      <c r="E178" t="s">
        <v>60</v>
      </c>
      <c r="F178">
        <v>1</v>
      </c>
      <c r="G178">
        <v>579326</v>
      </c>
      <c r="H178">
        <v>579326</v>
      </c>
      <c r="I178">
        <v>579326</v>
      </c>
      <c r="J178">
        <v>579326</v>
      </c>
      <c r="K178">
        <v>579326</v>
      </c>
      <c r="L178">
        <v>579326</v>
      </c>
    </row>
    <row r="179" spans="1:12" x14ac:dyDescent="0.35">
      <c r="A179">
        <v>2025</v>
      </c>
      <c r="B179">
        <v>4</v>
      </c>
      <c r="C179" t="s">
        <v>67</v>
      </c>
      <c r="D179" t="s">
        <v>61</v>
      </c>
      <c r="E179" t="s">
        <v>62</v>
      </c>
      <c r="F179">
        <v>120</v>
      </c>
      <c r="G179">
        <v>449361</v>
      </c>
      <c r="H179">
        <v>429485</v>
      </c>
      <c r="I179">
        <v>302836</v>
      </c>
      <c r="J179">
        <v>767145</v>
      </c>
      <c r="K179">
        <v>340336</v>
      </c>
      <c r="L179">
        <v>459485</v>
      </c>
    </row>
    <row r="180" spans="1:12" x14ac:dyDescent="0.35">
      <c r="A180">
        <v>2025</v>
      </c>
      <c r="B180">
        <v>5</v>
      </c>
      <c r="C180" t="s">
        <v>68</v>
      </c>
      <c r="D180" t="s">
        <v>43</v>
      </c>
      <c r="E180" t="s">
        <v>44</v>
      </c>
      <c r="F180">
        <v>1948</v>
      </c>
      <c r="G180">
        <v>548426</v>
      </c>
      <c r="H180">
        <v>491604</v>
      </c>
      <c r="I180">
        <v>325286</v>
      </c>
      <c r="J180">
        <v>1419903</v>
      </c>
      <c r="K180">
        <v>387822</v>
      </c>
      <c r="L180">
        <v>685977</v>
      </c>
    </row>
    <row r="181" spans="1:12" x14ac:dyDescent="0.35">
      <c r="A181">
        <v>2025</v>
      </c>
      <c r="B181">
        <v>5</v>
      </c>
      <c r="C181" t="s">
        <v>68</v>
      </c>
      <c r="D181" t="s">
        <v>45</v>
      </c>
      <c r="E181" t="s">
        <v>46</v>
      </c>
      <c r="F181">
        <v>216</v>
      </c>
      <c r="G181">
        <v>705656</v>
      </c>
      <c r="H181">
        <v>706149</v>
      </c>
      <c r="I181">
        <v>631211</v>
      </c>
      <c r="J181">
        <v>779750</v>
      </c>
      <c r="K181">
        <v>692592</v>
      </c>
      <c r="L181">
        <v>720092</v>
      </c>
    </row>
    <row r="182" spans="1:12" x14ac:dyDescent="0.35">
      <c r="A182">
        <v>2025</v>
      </c>
      <c r="B182">
        <v>5</v>
      </c>
      <c r="C182" t="s">
        <v>68</v>
      </c>
      <c r="D182" t="s">
        <v>47</v>
      </c>
      <c r="E182" t="s">
        <v>48</v>
      </c>
      <c r="F182">
        <v>6</v>
      </c>
      <c r="G182">
        <v>691911</v>
      </c>
      <c r="H182">
        <v>692892</v>
      </c>
      <c r="I182">
        <v>672590</v>
      </c>
      <c r="J182">
        <v>710090</v>
      </c>
      <c r="K182">
        <v>687592</v>
      </c>
      <c r="L182">
        <v>695411</v>
      </c>
    </row>
    <row r="183" spans="1:12" x14ac:dyDescent="0.35">
      <c r="A183">
        <v>2025</v>
      </c>
      <c r="B183">
        <v>5</v>
      </c>
      <c r="C183" t="s">
        <v>68</v>
      </c>
      <c r="D183" t="s">
        <v>49</v>
      </c>
      <c r="E183" t="s">
        <v>50</v>
      </c>
      <c r="F183">
        <v>2764</v>
      </c>
      <c r="G183">
        <v>545639</v>
      </c>
      <c r="H183">
        <v>561322</v>
      </c>
      <c r="I183">
        <v>325286</v>
      </c>
      <c r="J183">
        <v>726153</v>
      </c>
      <c r="K183">
        <v>460544</v>
      </c>
      <c r="L183">
        <v>645189</v>
      </c>
    </row>
    <row r="184" spans="1:12" x14ac:dyDescent="0.35">
      <c r="A184">
        <v>2025</v>
      </c>
      <c r="B184">
        <v>5</v>
      </c>
      <c r="C184" t="s">
        <v>68</v>
      </c>
      <c r="D184" t="s">
        <v>64</v>
      </c>
      <c r="E184" t="s">
        <v>65</v>
      </c>
      <c r="F184">
        <v>39</v>
      </c>
      <c r="G184">
        <v>345060</v>
      </c>
      <c r="H184">
        <v>342368</v>
      </c>
      <c r="I184">
        <v>342368</v>
      </c>
      <c r="J184">
        <v>364868</v>
      </c>
      <c r="K184">
        <v>342368</v>
      </c>
      <c r="L184">
        <v>342368</v>
      </c>
    </row>
    <row r="185" spans="1:12" x14ac:dyDescent="0.35">
      <c r="A185">
        <v>2025</v>
      </c>
      <c r="B185">
        <v>5</v>
      </c>
      <c r="C185" t="s">
        <v>68</v>
      </c>
      <c r="D185" t="s">
        <v>51</v>
      </c>
      <c r="E185" t="s">
        <v>52</v>
      </c>
      <c r="F185">
        <v>39</v>
      </c>
      <c r="G185">
        <v>622285</v>
      </c>
      <c r="H185">
        <v>631444</v>
      </c>
      <c r="I185">
        <v>483180</v>
      </c>
      <c r="J185">
        <v>685324</v>
      </c>
      <c r="K185">
        <v>590939</v>
      </c>
      <c r="L185">
        <v>667689</v>
      </c>
    </row>
    <row r="186" spans="1:12" x14ac:dyDescent="0.35">
      <c r="A186">
        <v>2025</v>
      </c>
      <c r="B186">
        <v>5</v>
      </c>
      <c r="C186" t="s">
        <v>68</v>
      </c>
      <c r="D186" t="s">
        <v>53</v>
      </c>
      <c r="E186" t="s">
        <v>54</v>
      </c>
      <c r="F186">
        <v>22</v>
      </c>
      <c r="G186">
        <v>671740</v>
      </c>
      <c r="H186">
        <v>679537</v>
      </c>
      <c r="I186">
        <v>568538</v>
      </c>
      <c r="J186">
        <v>715879</v>
      </c>
      <c r="K186">
        <v>665879</v>
      </c>
      <c r="L186">
        <v>685879</v>
      </c>
    </row>
    <row r="187" spans="1:12" x14ac:dyDescent="0.35">
      <c r="A187">
        <v>2025</v>
      </c>
      <c r="B187">
        <v>5</v>
      </c>
      <c r="C187" t="s">
        <v>68</v>
      </c>
      <c r="D187" t="s">
        <v>55</v>
      </c>
      <c r="E187" t="s">
        <v>56</v>
      </c>
      <c r="F187">
        <v>220</v>
      </c>
      <c r="G187">
        <v>716088</v>
      </c>
      <c r="H187">
        <v>700645</v>
      </c>
      <c r="I187">
        <v>540570</v>
      </c>
      <c r="J187">
        <v>1010733</v>
      </c>
      <c r="K187">
        <v>679169</v>
      </c>
      <c r="L187">
        <v>763736</v>
      </c>
    </row>
    <row r="188" spans="1:12" x14ac:dyDescent="0.35">
      <c r="A188">
        <v>2025</v>
      </c>
      <c r="B188">
        <v>5</v>
      </c>
      <c r="C188" t="s">
        <v>68</v>
      </c>
      <c r="D188" t="s">
        <v>57</v>
      </c>
      <c r="E188" t="s">
        <v>58</v>
      </c>
      <c r="F188">
        <v>26</v>
      </c>
      <c r="G188">
        <v>640680</v>
      </c>
      <c r="H188">
        <v>637368</v>
      </c>
      <c r="I188">
        <v>594733</v>
      </c>
      <c r="J188">
        <v>685879</v>
      </c>
      <c r="K188">
        <v>629081</v>
      </c>
      <c r="L188">
        <v>649868</v>
      </c>
    </row>
    <row r="189" spans="1:12" x14ac:dyDescent="0.35">
      <c r="A189">
        <v>2025</v>
      </c>
      <c r="B189">
        <v>5</v>
      </c>
      <c r="C189" t="s">
        <v>68</v>
      </c>
      <c r="D189" t="s">
        <v>59</v>
      </c>
      <c r="E189" t="s">
        <v>60</v>
      </c>
      <c r="F189">
        <v>1</v>
      </c>
      <c r="G189">
        <v>579326</v>
      </c>
      <c r="H189">
        <v>579326</v>
      </c>
      <c r="I189">
        <v>579326</v>
      </c>
      <c r="J189">
        <v>579326</v>
      </c>
      <c r="K189">
        <v>579326</v>
      </c>
      <c r="L189">
        <v>579326</v>
      </c>
    </row>
    <row r="190" spans="1:12" x14ac:dyDescent="0.35">
      <c r="A190">
        <v>2025</v>
      </c>
      <c r="B190">
        <v>5</v>
      </c>
      <c r="C190" t="s">
        <v>68</v>
      </c>
      <c r="D190" t="s">
        <v>61</v>
      </c>
      <c r="E190" t="s">
        <v>62</v>
      </c>
      <c r="F190">
        <v>143</v>
      </c>
      <c r="G190">
        <v>458381</v>
      </c>
      <c r="H190">
        <v>431985</v>
      </c>
      <c r="I190">
        <v>322836</v>
      </c>
      <c r="J190">
        <v>711851</v>
      </c>
      <c r="K190">
        <v>340336</v>
      </c>
      <c r="L190">
        <v>622368</v>
      </c>
    </row>
    <row r="191" spans="1:12" x14ac:dyDescent="0.35">
      <c r="A191">
        <v>2025</v>
      </c>
      <c r="B191">
        <v>6</v>
      </c>
      <c r="C191" t="s">
        <v>69</v>
      </c>
      <c r="D191" t="s">
        <v>43</v>
      </c>
      <c r="E191" t="s">
        <v>44</v>
      </c>
      <c r="F191">
        <v>1946</v>
      </c>
      <c r="G191">
        <v>545292</v>
      </c>
      <c r="H191">
        <v>491604</v>
      </c>
      <c r="I191">
        <v>325286</v>
      </c>
      <c r="J191">
        <v>1099723</v>
      </c>
      <c r="K191">
        <v>387504</v>
      </c>
      <c r="L191">
        <v>684400</v>
      </c>
    </row>
    <row r="192" spans="1:12" x14ac:dyDescent="0.35">
      <c r="A192">
        <v>2025</v>
      </c>
      <c r="B192">
        <v>6</v>
      </c>
      <c r="C192" t="s">
        <v>69</v>
      </c>
      <c r="D192" t="s">
        <v>45</v>
      </c>
      <c r="E192" t="s">
        <v>46</v>
      </c>
      <c r="F192">
        <v>220</v>
      </c>
      <c r="G192">
        <v>704479</v>
      </c>
      <c r="H192">
        <v>706149</v>
      </c>
      <c r="I192">
        <v>631211</v>
      </c>
      <c r="J192">
        <v>786461</v>
      </c>
      <c r="K192">
        <v>692590</v>
      </c>
      <c r="L192">
        <v>720090</v>
      </c>
    </row>
    <row r="193" spans="1:12" x14ac:dyDescent="0.35">
      <c r="A193">
        <v>2025</v>
      </c>
      <c r="B193">
        <v>6</v>
      </c>
      <c r="C193" t="s">
        <v>69</v>
      </c>
      <c r="D193" t="s">
        <v>47</v>
      </c>
      <c r="E193" t="s">
        <v>48</v>
      </c>
      <c r="F193">
        <v>6</v>
      </c>
      <c r="G193">
        <v>691911</v>
      </c>
      <c r="H193">
        <v>692892</v>
      </c>
      <c r="I193">
        <v>672590</v>
      </c>
      <c r="J193">
        <v>710090</v>
      </c>
      <c r="K193">
        <v>687592</v>
      </c>
      <c r="L193">
        <v>695411</v>
      </c>
    </row>
    <row r="194" spans="1:12" x14ac:dyDescent="0.35">
      <c r="A194">
        <v>2025</v>
      </c>
      <c r="B194">
        <v>6</v>
      </c>
      <c r="C194" t="s">
        <v>69</v>
      </c>
      <c r="D194" t="s">
        <v>49</v>
      </c>
      <c r="E194" t="s">
        <v>50</v>
      </c>
      <c r="F194">
        <v>2775</v>
      </c>
      <c r="G194">
        <v>545487</v>
      </c>
      <c r="H194">
        <v>563538</v>
      </c>
      <c r="I194">
        <v>325286</v>
      </c>
      <c r="J194">
        <v>730180</v>
      </c>
      <c r="K194">
        <v>460544</v>
      </c>
      <c r="L194">
        <v>644918</v>
      </c>
    </row>
    <row r="195" spans="1:12" x14ac:dyDescent="0.35">
      <c r="A195">
        <v>2025</v>
      </c>
      <c r="B195">
        <v>6</v>
      </c>
      <c r="C195" t="s">
        <v>69</v>
      </c>
      <c r="D195" t="s">
        <v>64</v>
      </c>
      <c r="E195" t="s">
        <v>65</v>
      </c>
      <c r="F195">
        <v>39</v>
      </c>
      <c r="G195">
        <v>345445</v>
      </c>
      <c r="H195">
        <v>342368</v>
      </c>
      <c r="I195">
        <v>342368</v>
      </c>
      <c r="J195">
        <v>364868</v>
      </c>
      <c r="K195">
        <v>342368</v>
      </c>
      <c r="L195">
        <v>342368</v>
      </c>
    </row>
    <row r="196" spans="1:12" x14ac:dyDescent="0.35">
      <c r="A196">
        <v>2025</v>
      </c>
      <c r="B196">
        <v>6</v>
      </c>
      <c r="C196" t="s">
        <v>69</v>
      </c>
      <c r="D196" t="s">
        <v>51</v>
      </c>
      <c r="E196" t="s">
        <v>52</v>
      </c>
      <c r="F196">
        <v>40</v>
      </c>
      <c r="G196">
        <v>624558</v>
      </c>
      <c r="H196">
        <v>632695</v>
      </c>
      <c r="I196">
        <v>483180</v>
      </c>
      <c r="J196">
        <v>720699</v>
      </c>
      <c r="K196">
        <v>590939</v>
      </c>
      <c r="L196">
        <v>667689</v>
      </c>
    </row>
    <row r="197" spans="1:12" x14ac:dyDescent="0.35">
      <c r="A197">
        <v>2025</v>
      </c>
      <c r="B197">
        <v>6</v>
      </c>
      <c r="C197" t="s">
        <v>69</v>
      </c>
      <c r="D197" t="s">
        <v>53</v>
      </c>
      <c r="E197" t="s">
        <v>54</v>
      </c>
      <c r="F197">
        <v>21</v>
      </c>
      <c r="G197">
        <v>671424</v>
      </c>
      <c r="H197">
        <v>678195</v>
      </c>
      <c r="I197">
        <v>568538</v>
      </c>
      <c r="J197">
        <v>715879</v>
      </c>
      <c r="K197">
        <v>665879</v>
      </c>
      <c r="L197">
        <v>685879</v>
      </c>
    </row>
    <row r="198" spans="1:12" x14ac:dyDescent="0.35">
      <c r="A198">
        <v>2025</v>
      </c>
      <c r="B198">
        <v>6</v>
      </c>
      <c r="C198" t="s">
        <v>69</v>
      </c>
      <c r="D198" t="s">
        <v>55</v>
      </c>
      <c r="E198" t="s">
        <v>56</v>
      </c>
      <c r="F198">
        <v>220</v>
      </c>
      <c r="G198">
        <v>713771</v>
      </c>
      <c r="H198">
        <v>700645</v>
      </c>
      <c r="I198">
        <v>540570</v>
      </c>
      <c r="J198">
        <v>1010733</v>
      </c>
      <c r="K198">
        <v>679169</v>
      </c>
      <c r="L198">
        <v>758736</v>
      </c>
    </row>
    <row r="199" spans="1:12" x14ac:dyDescent="0.35">
      <c r="A199">
        <v>2025</v>
      </c>
      <c r="B199">
        <v>6</v>
      </c>
      <c r="C199" t="s">
        <v>69</v>
      </c>
      <c r="D199" t="s">
        <v>57</v>
      </c>
      <c r="E199" t="s">
        <v>58</v>
      </c>
      <c r="F199">
        <v>26</v>
      </c>
      <c r="G199">
        <v>640680</v>
      </c>
      <c r="H199">
        <v>637368</v>
      </c>
      <c r="I199">
        <v>594733</v>
      </c>
      <c r="J199">
        <v>685879</v>
      </c>
      <c r="K199">
        <v>629081</v>
      </c>
      <c r="L199">
        <v>649868</v>
      </c>
    </row>
    <row r="200" spans="1:12" x14ac:dyDescent="0.35">
      <c r="A200">
        <v>2025</v>
      </c>
      <c r="B200">
        <v>6</v>
      </c>
      <c r="C200" t="s">
        <v>69</v>
      </c>
      <c r="D200" t="s">
        <v>59</v>
      </c>
      <c r="E200" t="s">
        <v>60</v>
      </c>
      <c r="F200">
        <v>1</v>
      </c>
      <c r="G200">
        <v>579326</v>
      </c>
      <c r="H200">
        <v>579326</v>
      </c>
      <c r="I200">
        <v>579326</v>
      </c>
      <c r="J200">
        <v>579326</v>
      </c>
      <c r="K200">
        <v>579326</v>
      </c>
      <c r="L200">
        <v>579326</v>
      </c>
    </row>
    <row r="201" spans="1:12" x14ac:dyDescent="0.35">
      <c r="A201">
        <v>2025</v>
      </c>
      <c r="B201">
        <v>6</v>
      </c>
      <c r="C201" t="s">
        <v>69</v>
      </c>
      <c r="D201" t="s">
        <v>61</v>
      </c>
      <c r="E201" t="s">
        <v>62</v>
      </c>
      <c r="F201">
        <v>144</v>
      </c>
      <c r="G201">
        <v>460731</v>
      </c>
      <c r="H201">
        <v>442379</v>
      </c>
      <c r="I201">
        <v>332836</v>
      </c>
      <c r="J201">
        <v>711851</v>
      </c>
      <c r="K201">
        <v>346345</v>
      </c>
      <c r="L201">
        <v>622368</v>
      </c>
    </row>
    <row r="202" spans="1:12" x14ac:dyDescent="0.35">
      <c r="A202">
        <v>2025</v>
      </c>
      <c r="B202">
        <v>7</v>
      </c>
      <c r="C202" t="s">
        <v>70</v>
      </c>
      <c r="D202" t="s">
        <v>43</v>
      </c>
      <c r="E202" t="s">
        <v>44</v>
      </c>
      <c r="F202">
        <v>1965</v>
      </c>
      <c r="G202">
        <v>549422</v>
      </c>
      <c r="H202">
        <v>491604</v>
      </c>
      <c r="I202">
        <v>325286</v>
      </c>
      <c r="J202">
        <v>1523585</v>
      </c>
      <c r="K202">
        <v>388474</v>
      </c>
      <c r="L202">
        <v>685693</v>
      </c>
    </row>
    <row r="203" spans="1:12" x14ac:dyDescent="0.35">
      <c r="A203">
        <v>2025</v>
      </c>
      <c r="B203">
        <v>7</v>
      </c>
      <c r="C203" t="s">
        <v>70</v>
      </c>
      <c r="D203" t="s">
        <v>45</v>
      </c>
      <c r="E203" t="s">
        <v>46</v>
      </c>
      <c r="F203">
        <v>235</v>
      </c>
      <c r="G203">
        <v>702915</v>
      </c>
      <c r="H203">
        <v>702911</v>
      </c>
      <c r="I203">
        <v>630977</v>
      </c>
      <c r="J203">
        <v>768649</v>
      </c>
      <c r="K203">
        <v>692590</v>
      </c>
      <c r="L203">
        <v>715411</v>
      </c>
    </row>
    <row r="204" spans="1:12" x14ac:dyDescent="0.35">
      <c r="A204">
        <v>2025</v>
      </c>
      <c r="B204">
        <v>7</v>
      </c>
      <c r="C204" t="s">
        <v>70</v>
      </c>
      <c r="D204" t="s">
        <v>47</v>
      </c>
      <c r="E204" t="s">
        <v>48</v>
      </c>
      <c r="F204">
        <v>5</v>
      </c>
      <c r="G204">
        <v>695776</v>
      </c>
      <c r="H204">
        <v>695092</v>
      </c>
      <c r="I204">
        <v>687592</v>
      </c>
      <c r="J204">
        <v>710090</v>
      </c>
      <c r="K204">
        <v>690693</v>
      </c>
      <c r="L204">
        <v>695411</v>
      </c>
    </row>
    <row r="205" spans="1:12" x14ac:dyDescent="0.35">
      <c r="A205">
        <v>2025</v>
      </c>
      <c r="B205">
        <v>7</v>
      </c>
      <c r="C205" t="s">
        <v>70</v>
      </c>
      <c r="D205" t="s">
        <v>49</v>
      </c>
      <c r="E205" t="s">
        <v>50</v>
      </c>
      <c r="F205">
        <v>2774</v>
      </c>
      <c r="G205">
        <v>546075</v>
      </c>
      <c r="H205">
        <v>565854</v>
      </c>
      <c r="I205">
        <v>325286</v>
      </c>
      <c r="J205">
        <v>724351</v>
      </c>
      <c r="K205">
        <v>463180</v>
      </c>
      <c r="L205">
        <v>644918</v>
      </c>
    </row>
    <row r="206" spans="1:12" x14ac:dyDescent="0.35">
      <c r="A206">
        <v>2025</v>
      </c>
      <c r="B206">
        <v>7</v>
      </c>
      <c r="C206" t="s">
        <v>70</v>
      </c>
      <c r="D206" t="s">
        <v>64</v>
      </c>
      <c r="E206" t="s">
        <v>65</v>
      </c>
      <c r="F206">
        <v>39</v>
      </c>
      <c r="G206">
        <v>346599</v>
      </c>
      <c r="H206">
        <v>342368</v>
      </c>
      <c r="I206">
        <v>342368</v>
      </c>
      <c r="J206">
        <v>364868</v>
      </c>
      <c r="K206">
        <v>342368</v>
      </c>
      <c r="L206">
        <v>349868</v>
      </c>
    </row>
    <row r="207" spans="1:12" x14ac:dyDescent="0.35">
      <c r="A207">
        <v>2025</v>
      </c>
      <c r="B207">
        <v>7</v>
      </c>
      <c r="C207" t="s">
        <v>70</v>
      </c>
      <c r="D207" t="s">
        <v>51</v>
      </c>
      <c r="E207" t="s">
        <v>52</v>
      </c>
      <c r="F207">
        <v>41</v>
      </c>
      <c r="G207">
        <v>625013</v>
      </c>
      <c r="H207">
        <v>633946</v>
      </c>
      <c r="I207">
        <v>483180</v>
      </c>
      <c r="J207">
        <v>685324</v>
      </c>
      <c r="K207">
        <v>590939</v>
      </c>
      <c r="L207">
        <v>675140</v>
      </c>
    </row>
    <row r="208" spans="1:12" x14ac:dyDescent="0.35">
      <c r="A208">
        <v>2025</v>
      </c>
      <c r="B208">
        <v>7</v>
      </c>
      <c r="C208" t="s">
        <v>70</v>
      </c>
      <c r="D208" t="s">
        <v>53</v>
      </c>
      <c r="E208" t="s">
        <v>54</v>
      </c>
      <c r="F208">
        <v>20</v>
      </c>
      <c r="G208">
        <v>669201</v>
      </c>
      <c r="H208">
        <v>675788</v>
      </c>
      <c r="I208">
        <v>568538</v>
      </c>
      <c r="J208">
        <v>708379</v>
      </c>
      <c r="K208">
        <v>665879</v>
      </c>
      <c r="L208">
        <v>685879</v>
      </c>
    </row>
    <row r="209" spans="1:12" x14ac:dyDescent="0.35">
      <c r="A209">
        <v>2025</v>
      </c>
      <c r="B209">
        <v>7</v>
      </c>
      <c r="C209" t="s">
        <v>70</v>
      </c>
      <c r="D209" t="s">
        <v>55</v>
      </c>
      <c r="E209" t="s">
        <v>56</v>
      </c>
      <c r="F209">
        <v>211</v>
      </c>
      <c r="G209">
        <v>712548</v>
      </c>
      <c r="H209">
        <v>700645</v>
      </c>
      <c r="I209">
        <v>540570</v>
      </c>
      <c r="J209">
        <v>1010733</v>
      </c>
      <c r="K209">
        <v>679169</v>
      </c>
      <c r="L209">
        <v>758736</v>
      </c>
    </row>
    <row r="210" spans="1:12" x14ac:dyDescent="0.35">
      <c r="A210">
        <v>2025</v>
      </c>
      <c r="B210">
        <v>7</v>
      </c>
      <c r="C210" t="s">
        <v>70</v>
      </c>
      <c r="D210" t="s">
        <v>57</v>
      </c>
      <c r="E210" t="s">
        <v>58</v>
      </c>
      <c r="F210">
        <v>26</v>
      </c>
      <c r="G210">
        <v>640680</v>
      </c>
      <c r="H210">
        <v>637368</v>
      </c>
      <c r="I210">
        <v>594733</v>
      </c>
      <c r="J210">
        <v>685879</v>
      </c>
      <c r="K210">
        <v>629081</v>
      </c>
      <c r="L210">
        <v>649868</v>
      </c>
    </row>
    <row r="211" spans="1:12" x14ac:dyDescent="0.35">
      <c r="A211">
        <v>2025</v>
      </c>
      <c r="B211">
        <v>7</v>
      </c>
      <c r="C211" t="s">
        <v>70</v>
      </c>
      <c r="D211" t="s">
        <v>59</v>
      </c>
      <c r="E211" t="s">
        <v>60</v>
      </c>
      <c r="F211">
        <v>1</v>
      </c>
      <c r="G211">
        <v>579326</v>
      </c>
      <c r="H211">
        <v>579326</v>
      </c>
      <c r="I211">
        <v>579326</v>
      </c>
      <c r="J211">
        <v>579326</v>
      </c>
      <c r="K211">
        <v>579326</v>
      </c>
      <c r="L211">
        <v>579326</v>
      </c>
    </row>
    <row r="212" spans="1:12" x14ac:dyDescent="0.35">
      <c r="A212">
        <v>2025</v>
      </c>
      <c r="B212">
        <v>7</v>
      </c>
      <c r="C212" t="s">
        <v>70</v>
      </c>
      <c r="D212" t="s">
        <v>61</v>
      </c>
      <c r="E212" t="s">
        <v>62</v>
      </c>
      <c r="F212">
        <v>149</v>
      </c>
      <c r="G212">
        <v>466513</v>
      </c>
      <c r="H212">
        <v>446936</v>
      </c>
      <c r="I212">
        <v>332836</v>
      </c>
      <c r="J212">
        <v>711851</v>
      </c>
      <c r="K212">
        <v>346073</v>
      </c>
      <c r="L212">
        <v>624733</v>
      </c>
    </row>
    <row r="213" spans="1:12" x14ac:dyDescent="0.35">
      <c r="A213">
        <v>2025</v>
      </c>
      <c r="B213">
        <v>8</v>
      </c>
      <c r="C213" t="s">
        <v>71</v>
      </c>
      <c r="D213" t="s">
        <v>43</v>
      </c>
      <c r="E213" t="s">
        <v>44</v>
      </c>
      <c r="F213">
        <v>1977</v>
      </c>
      <c r="G213">
        <v>550285</v>
      </c>
      <c r="H213">
        <v>491604</v>
      </c>
      <c r="I213">
        <v>325286</v>
      </c>
      <c r="J213">
        <v>1360573</v>
      </c>
      <c r="K213">
        <v>388474</v>
      </c>
      <c r="L213">
        <v>686976</v>
      </c>
    </row>
    <row r="214" spans="1:12" x14ac:dyDescent="0.35">
      <c r="A214">
        <v>2025</v>
      </c>
      <c r="B214">
        <v>8</v>
      </c>
      <c r="C214" t="s">
        <v>71</v>
      </c>
      <c r="D214" t="s">
        <v>45</v>
      </c>
      <c r="E214" t="s">
        <v>46</v>
      </c>
      <c r="F214">
        <v>233</v>
      </c>
      <c r="G214">
        <v>703887</v>
      </c>
      <c r="H214">
        <v>703613</v>
      </c>
      <c r="I214">
        <v>631211</v>
      </c>
      <c r="J214">
        <v>772496</v>
      </c>
      <c r="K214">
        <v>692590</v>
      </c>
      <c r="L214">
        <v>715411</v>
      </c>
    </row>
    <row r="215" spans="1:12" x14ac:dyDescent="0.35">
      <c r="A215">
        <v>2025</v>
      </c>
      <c r="B215">
        <v>8</v>
      </c>
      <c r="C215" t="s">
        <v>71</v>
      </c>
      <c r="D215" t="s">
        <v>47</v>
      </c>
      <c r="E215" t="s">
        <v>48</v>
      </c>
      <c r="F215">
        <v>5</v>
      </c>
      <c r="G215">
        <v>695776</v>
      </c>
      <c r="H215">
        <v>695092</v>
      </c>
      <c r="I215">
        <v>687592</v>
      </c>
      <c r="J215">
        <v>710090</v>
      </c>
      <c r="K215">
        <v>690693</v>
      </c>
      <c r="L215">
        <v>695411</v>
      </c>
    </row>
    <row r="216" spans="1:12" x14ac:dyDescent="0.35">
      <c r="A216">
        <v>2025</v>
      </c>
      <c r="B216">
        <v>8</v>
      </c>
      <c r="C216" t="s">
        <v>71</v>
      </c>
      <c r="D216" t="s">
        <v>49</v>
      </c>
      <c r="E216" t="s">
        <v>50</v>
      </c>
      <c r="F216">
        <v>2778</v>
      </c>
      <c r="G216">
        <v>546480</v>
      </c>
      <c r="H216">
        <v>565854</v>
      </c>
      <c r="I216">
        <v>325286</v>
      </c>
      <c r="J216">
        <v>724351</v>
      </c>
      <c r="K216">
        <v>460544</v>
      </c>
      <c r="L216">
        <v>648078</v>
      </c>
    </row>
    <row r="217" spans="1:12" x14ac:dyDescent="0.35">
      <c r="A217">
        <v>2025</v>
      </c>
      <c r="B217">
        <v>8</v>
      </c>
      <c r="C217" t="s">
        <v>71</v>
      </c>
      <c r="D217" t="s">
        <v>64</v>
      </c>
      <c r="E217" t="s">
        <v>65</v>
      </c>
      <c r="F217">
        <v>39</v>
      </c>
      <c r="G217">
        <v>347176</v>
      </c>
      <c r="H217">
        <v>342368</v>
      </c>
      <c r="I217">
        <v>342368</v>
      </c>
      <c r="J217">
        <v>364868</v>
      </c>
      <c r="K217">
        <v>342368</v>
      </c>
      <c r="L217">
        <v>357368</v>
      </c>
    </row>
    <row r="218" spans="1:12" x14ac:dyDescent="0.35">
      <c r="A218">
        <v>2025</v>
      </c>
      <c r="B218">
        <v>8</v>
      </c>
      <c r="C218" t="s">
        <v>71</v>
      </c>
      <c r="D218" t="s">
        <v>51</v>
      </c>
      <c r="E218" t="s">
        <v>52</v>
      </c>
      <c r="F218">
        <v>41</v>
      </c>
      <c r="G218">
        <v>625109</v>
      </c>
      <c r="H218">
        <v>633946</v>
      </c>
      <c r="I218">
        <v>483180</v>
      </c>
      <c r="J218">
        <v>685324</v>
      </c>
      <c r="K218">
        <v>590939</v>
      </c>
      <c r="L218">
        <v>675140</v>
      </c>
    </row>
    <row r="219" spans="1:12" x14ac:dyDescent="0.35">
      <c r="A219">
        <v>2025</v>
      </c>
      <c r="B219">
        <v>8</v>
      </c>
      <c r="C219" t="s">
        <v>71</v>
      </c>
      <c r="D219" t="s">
        <v>53</v>
      </c>
      <c r="E219" t="s">
        <v>54</v>
      </c>
      <c r="F219">
        <v>20</v>
      </c>
      <c r="G219">
        <v>669201</v>
      </c>
      <c r="H219">
        <v>675788</v>
      </c>
      <c r="I219">
        <v>568538</v>
      </c>
      <c r="J219">
        <v>708379</v>
      </c>
      <c r="K219">
        <v>665879</v>
      </c>
      <c r="L219">
        <v>685879</v>
      </c>
    </row>
    <row r="220" spans="1:12" x14ac:dyDescent="0.35">
      <c r="A220">
        <v>2025</v>
      </c>
      <c r="B220">
        <v>8</v>
      </c>
      <c r="C220" t="s">
        <v>71</v>
      </c>
      <c r="D220" t="s">
        <v>55</v>
      </c>
      <c r="E220" t="s">
        <v>56</v>
      </c>
      <c r="F220">
        <v>212</v>
      </c>
      <c r="G220">
        <v>714531</v>
      </c>
      <c r="H220">
        <v>700645</v>
      </c>
      <c r="I220">
        <v>540570</v>
      </c>
      <c r="J220">
        <v>1010733</v>
      </c>
      <c r="K220">
        <v>679169</v>
      </c>
      <c r="L220">
        <v>758736</v>
      </c>
    </row>
    <row r="221" spans="1:12" x14ac:dyDescent="0.35">
      <c r="A221">
        <v>2025</v>
      </c>
      <c r="B221">
        <v>8</v>
      </c>
      <c r="C221" t="s">
        <v>71</v>
      </c>
      <c r="D221" t="s">
        <v>57</v>
      </c>
      <c r="E221" t="s">
        <v>58</v>
      </c>
      <c r="F221">
        <v>26</v>
      </c>
      <c r="G221">
        <v>640680</v>
      </c>
      <c r="H221">
        <v>637368</v>
      </c>
      <c r="I221">
        <v>594733</v>
      </c>
      <c r="J221">
        <v>685879</v>
      </c>
      <c r="K221">
        <v>629081</v>
      </c>
      <c r="L221">
        <v>649868</v>
      </c>
    </row>
    <row r="222" spans="1:12" x14ac:dyDescent="0.35">
      <c r="A222">
        <v>2025</v>
      </c>
      <c r="B222">
        <v>8</v>
      </c>
      <c r="C222" t="s">
        <v>71</v>
      </c>
      <c r="D222" t="s">
        <v>59</v>
      </c>
      <c r="E222" t="s">
        <v>60</v>
      </c>
      <c r="F222">
        <v>1</v>
      </c>
      <c r="G222">
        <v>579326</v>
      </c>
      <c r="H222">
        <v>579326</v>
      </c>
      <c r="I222">
        <v>579326</v>
      </c>
      <c r="J222">
        <v>579326</v>
      </c>
      <c r="K222">
        <v>579326</v>
      </c>
      <c r="L222">
        <v>579326</v>
      </c>
    </row>
    <row r="223" spans="1:12" x14ac:dyDescent="0.35">
      <c r="A223">
        <v>2025</v>
      </c>
      <c r="B223">
        <v>8</v>
      </c>
      <c r="C223" t="s">
        <v>71</v>
      </c>
      <c r="D223" t="s">
        <v>61</v>
      </c>
      <c r="E223" t="s">
        <v>62</v>
      </c>
      <c r="F223">
        <v>150</v>
      </c>
      <c r="G223">
        <v>469995</v>
      </c>
      <c r="H223">
        <v>446936</v>
      </c>
      <c r="I223">
        <v>327836</v>
      </c>
      <c r="J223">
        <v>711851</v>
      </c>
      <c r="K223">
        <v>346073</v>
      </c>
      <c r="L223">
        <v>637233</v>
      </c>
    </row>
    <row r="224" spans="1:12" x14ac:dyDescent="0.35">
      <c r="A224">
        <v>2025</v>
      </c>
      <c r="B224">
        <v>9</v>
      </c>
      <c r="C224" t="s">
        <v>72</v>
      </c>
      <c r="D224" t="s">
        <v>43</v>
      </c>
      <c r="E224" t="s">
        <v>44</v>
      </c>
      <c r="F224">
        <v>1983</v>
      </c>
      <c r="G224">
        <v>552869</v>
      </c>
      <c r="H224">
        <v>494104</v>
      </c>
      <c r="I224">
        <v>325286</v>
      </c>
      <c r="J224">
        <v>1435775</v>
      </c>
      <c r="K224">
        <v>390974</v>
      </c>
      <c r="L224">
        <v>686976</v>
      </c>
    </row>
    <row r="225" spans="1:12" x14ac:dyDescent="0.35">
      <c r="A225">
        <v>2025</v>
      </c>
      <c r="B225">
        <v>9</v>
      </c>
      <c r="C225" t="s">
        <v>72</v>
      </c>
      <c r="D225" t="s">
        <v>45</v>
      </c>
      <c r="E225" t="s">
        <v>46</v>
      </c>
      <c r="F225">
        <v>237</v>
      </c>
      <c r="G225">
        <v>702920</v>
      </c>
      <c r="H225">
        <v>702911</v>
      </c>
      <c r="I225">
        <v>616213</v>
      </c>
      <c r="J225">
        <v>768649</v>
      </c>
      <c r="K225">
        <v>692590</v>
      </c>
      <c r="L225">
        <v>715411</v>
      </c>
    </row>
    <row r="226" spans="1:12" x14ac:dyDescent="0.35">
      <c r="A226">
        <v>2025</v>
      </c>
      <c r="B226">
        <v>9</v>
      </c>
      <c r="C226" t="s">
        <v>72</v>
      </c>
      <c r="D226" t="s">
        <v>47</v>
      </c>
      <c r="E226" t="s">
        <v>48</v>
      </c>
      <c r="F226">
        <v>5</v>
      </c>
      <c r="G226">
        <v>695776</v>
      </c>
      <c r="H226">
        <v>695092</v>
      </c>
      <c r="I226">
        <v>687592</v>
      </c>
      <c r="J226">
        <v>710090</v>
      </c>
      <c r="K226">
        <v>690693</v>
      </c>
      <c r="L226">
        <v>695411</v>
      </c>
    </row>
    <row r="227" spans="1:12" x14ac:dyDescent="0.35">
      <c r="A227">
        <v>2025</v>
      </c>
      <c r="B227">
        <v>9</v>
      </c>
      <c r="C227" t="s">
        <v>72</v>
      </c>
      <c r="D227" t="s">
        <v>49</v>
      </c>
      <c r="E227" t="s">
        <v>50</v>
      </c>
      <c r="F227">
        <v>2771</v>
      </c>
      <c r="G227">
        <v>547079</v>
      </c>
      <c r="H227">
        <v>568403</v>
      </c>
      <c r="I227">
        <v>325286</v>
      </c>
      <c r="J227">
        <v>724351</v>
      </c>
      <c r="K227">
        <v>464104</v>
      </c>
      <c r="L227">
        <v>647233</v>
      </c>
    </row>
    <row r="228" spans="1:12" x14ac:dyDescent="0.35">
      <c r="A228">
        <v>2025</v>
      </c>
      <c r="B228">
        <v>9</v>
      </c>
      <c r="C228" t="s">
        <v>72</v>
      </c>
      <c r="D228" t="s">
        <v>64</v>
      </c>
      <c r="E228" t="s">
        <v>65</v>
      </c>
      <c r="F228">
        <v>39</v>
      </c>
      <c r="G228">
        <v>347176</v>
      </c>
      <c r="H228">
        <v>342368</v>
      </c>
      <c r="I228">
        <v>342368</v>
      </c>
      <c r="J228">
        <v>364868</v>
      </c>
      <c r="K228">
        <v>342368</v>
      </c>
      <c r="L228">
        <v>357368</v>
      </c>
    </row>
    <row r="229" spans="1:12" x14ac:dyDescent="0.35">
      <c r="A229">
        <v>2025</v>
      </c>
      <c r="B229">
        <v>9</v>
      </c>
      <c r="C229" t="s">
        <v>72</v>
      </c>
      <c r="D229" t="s">
        <v>51</v>
      </c>
      <c r="E229" t="s">
        <v>52</v>
      </c>
      <c r="F229">
        <v>41</v>
      </c>
      <c r="G229">
        <v>627036</v>
      </c>
      <c r="H229">
        <v>633946</v>
      </c>
      <c r="I229">
        <v>483180</v>
      </c>
      <c r="J229">
        <v>685324</v>
      </c>
      <c r="K229">
        <v>590939</v>
      </c>
      <c r="L229">
        <v>675324</v>
      </c>
    </row>
    <row r="230" spans="1:12" x14ac:dyDescent="0.35">
      <c r="A230">
        <v>2025</v>
      </c>
      <c r="B230">
        <v>9</v>
      </c>
      <c r="C230" t="s">
        <v>72</v>
      </c>
      <c r="D230" t="s">
        <v>53</v>
      </c>
      <c r="E230" t="s">
        <v>54</v>
      </c>
      <c r="F230">
        <v>19</v>
      </c>
      <c r="G230">
        <v>667398</v>
      </c>
      <c r="H230">
        <v>680879</v>
      </c>
      <c r="I230">
        <v>568538</v>
      </c>
      <c r="J230">
        <v>708379</v>
      </c>
      <c r="K230">
        <v>665879</v>
      </c>
      <c r="L230">
        <v>685879</v>
      </c>
    </row>
    <row r="231" spans="1:12" x14ac:dyDescent="0.35">
      <c r="A231">
        <v>2025</v>
      </c>
      <c r="B231">
        <v>9</v>
      </c>
      <c r="C231" t="s">
        <v>72</v>
      </c>
      <c r="D231" t="s">
        <v>55</v>
      </c>
      <c r="E231" t="s">
        <v>56</v>
      </c>
      <c r="F231">
        <v>211</v>
      </c>
      <c r="G231">
        <v>713566</v>
      </c>
      <c r="H231">
        <v>700645</v>
      </c>
      <c r="I231">
        <v>540570</v>
      </c>
      <c r="J231">
        <v>1010733</v>
      </c>
      <c r="K231">
        <v>679169</v>
      </c>
      <c r="L231">
        <v>758736</v>
      </c>
    </row>
    <row r="232" spans="1:12" x14ac:dyDescent="0.35">
      <c r="A232">
        <v>2025</v>
      </c>
      <c r="B232">
        <v>9</v>
      </c>
      <c r="C232" t="s">
        <v>72</v>
      </c>
      <c r="D232" t="s">
        <v>57</v>
      </c>
      <c r="E232" t="s">
        <v>58</v>
      </c>
      <c r="F232">
        <v>26</v>
      </c>
      <c r="G232">
        <v>640968</v>
      </c>
      <c r="H232">
        <v>637368</v>
      </c>
      <c r="I232">
        <v>602233</v>
      </c>
      <c r="J232">
        <v>685879</v>
      </c>
      <c r="K232">
        <v>629081</v>
      </c>
      <c r="L232">
        <v>649868</v>
      </c>
    </row>
    <row r="233" spans="1:12" x14ac:dyDescent="0.35">
      <c r="A233">
        <v>2025</v>
      </c>
      <c r="B233">
        <v>9</v>
      </c>
      <c r="C233" t="s">
        <v>72</v>
      </c>
      <c r="D233" t="s">
        <v>59</v>
      </c>
      <c r="E233" t="s">
        <v>60</v>
      </c>
      <c r="F233">
        <v>1</v>
      </c>
      <c r="G233">
        <v>579326</v>
      </c>
      <c r="H233">
        <v>579326</v>
      </c>
      <c r="I233">
        <v>579326</v>
      </c>
      <c r="J233">
        <v>579326</v>
      </c>
      <c r="K233">
        <v>579326</v>
      </c>
      <c r="L233">
        <v>579326</v>
      </c>
    </row>
    <row r="234" spans="1:12" x14ac:dyDescent="0.35">
      <c r="A234">
        <v>2025</v>
      </c>
      <c r="B234">
        <v>9</v>
      </c>
      <c r="C234" t="s">
        <v>72</v>
      </c>
      <c r="D234" t="s">
        <v>61</v>
      </c>
      <c r="E234" t="s">
        <v>62</v>
      </c>
      <c r="F234">
        <v>150</v>
      </c>
      <c r="G234">
        <v>472124</v>
      </c>
      <c r="H234">
        <v>446936</v>
      </c>
      <c r="I234">
        <v>332836</v>
      </c>
      <c r="J234">
        <v>711851</v>
      </c>
      <c r="K234">
        <v>346073</v>
      </c>
      <c r="L234">
        <v>636581</v>
      </c>
    </row>
    <row r="235" spans="1:12" x14ac:dyDescent="0.35">
      <c r="A235">
        <v>2025</v>
      </c>
      <c r="B235">
        <v>10</v>
      </c>
      <c r="C235" t="s">
        <v>73</v>
      </c>
      <c r="D235" t="s">
        <v>43</v>
      </c>
      <c r="E235" t="s">
        <v>44</v>
      </c>
      <c r="F235">
        <v>1954</v>
      </c>
      <c r="G235">
        <v>556982</v>
      </c>
      <c r="H235">
        <v>499104</v>
      </c>
      <c r="I235">
        <v>325286</v>
      </c>
      <c r="J235">
        <v>1344405</v>
      </c>
      <c r="K235">
        <v>392786</v>
      </c>
      <c r="L235">
        <v>686976</v>
      </c>
    </row>
    <row r="236" spans="1:12" x14ac:dyDescent="0.35">
      <c r="A236">
        <v>2025</v>
      </c>
      <c r="B236">
        <v>10</v>
      </c>
      <c r="C236" t="s">
        <v>73</v>
      </c>
      <c r="D236" t="s">
        <v>45</v>
      </c>
      <c r="E236" t="s">
        <v>46</v>
      </c>
      <c r="F236">
        <v>237</v>
      </c>
      <c r="G236">
        <v>702920</v>
      </c>
      <c r="H236">
        <v>702911</v>
      </c>
      <c r="I236">
        <v>616213</v>
      </c>
      <c r="J236">
        <v>768649</v>
      </c>
      <c r="K236">
        <v>692590</v>
      </c>
      <c r="L236">
        <v>715411</v>
      </c>
    </row>
    <row r="237" spans="1:12" x14ac:dyDescent="0.35">
      <c r="A237">
        <v>2025</v>
      </c>
      <c r="B237">
        <v>10</v>
      </c>
      <c r="C237" t="s">
        <v>73</v>
      </c>
      <c r="D237" t="s">
        <v>47</v>
      </c>
      <c r="E237" t="s">
        <v>48</v>
      </c>
      <c r="F237">
        <v>5</v>
      </c>
      <c r="G237">
        <v>694276</v>
      </c>
      <c r="H237">
        <v>690693</v>
      </c>
      <c r="I237">
        <v>687592</v>
      </c>
      <c r="J237">
        <v>710090</v>
      </c>
      <c r="K237">
        <v>687592</v>
      </c>
      <c r="L237">
        <v>695411</v>
      </c>
    </row>
    <row r="238" spans="1:12" x14ac:dyDescent="0.35">
      <c r="A238">
        <v>2025</v>
      </c>
      <c r="B238">
        <v>10</v>
      </c>
      <c r="C238" t="s">
        <v>73</v>
      </c>
      <c r="D238" t="s">
        <v>49</v>
      </c>
      <c r="E238" t="s">
        <v>50</v>
      </c>
      <c r="F238">
        <v>2772</v>
      </c>
      <c r="G238">
        <v>547929</v>
      </c>
      <c r="H238">
        <v>568403</v>
      </c>
      <c r="I238">
        <v>325286</v>
      </c>
      <c r="J238">
        <v>724351</v>
      </c>
      <c r="K238">
        <v>464104</v>
      </c>
      <c r="L238">
        <v>648944</v>
      </c>
    </row>
    <row r="239" spans="1:12" x14ac:dyDescent="0.35">
      <c r="A239">
        <v>2025</v>
      </c>
      <c r="B239">
        <v>10</v>
      </c>
      <c r="C239" t="s">
        <v>73</v>
      </c>
      <c r="D239" t="s">
        <v>64</v>
      </c>
      <c r="E239" t="s">
        <v>65</v>
      </c>
      <c r="F239">
        <v>39</v>
      </c>
      <c r="G239">
        <v>347589</v>
      </c>
      <c r="H239">
        <v>342368</v>
      </c>
      <c r="I239">
        <v>342368</v>
      </c>
      <c r="J239">
        <v>364868</v>
      </c>
      <c r="K239">
        <v>342368</v>
      </c>
      <c r="L239">
        <v>357368</v>
      </c>
    </row>
    <row r="240" spans="1:12" x14ac:dyDescent="0.35">
      <c r="A240">
        <v>2025</v>
      </c>
      <c r="B240">
        <v>10</v>
      </c>
      <c r="C240" t="s">
        <v>73</v>
      </c>
      <c r="D240" t="s">
        <v>51</v>
      </c>
      <c r="E240" t="s">
        <v>52</v>
      </c>
      <c r="F240">
        <v>40</v>
      </c>
      <c r="G240">
        <v>626185</v>
      </c>
      <c r="H240">
        <v>632695</v>
      </c>
      <c r="I240">
        <v>483180</v>
      </c>
      <c r="J240">
        <v>685324</v>
      </c>
      <c r="K240">
        <v>595939</v>
      </c>
      <c r="L240">
        <v>675140</v>
      </c>
    </row>
    <row r="241" spans="1:12" x14ac:dyDescent="0.35">
      <c r="A241">
        <v>2025</v>
      </c>
      <c r="B241">
        <v>10</v>
      </c>
      <c r="C241" t="s">
        <v>73</v>
      </c>
      <c r="D241" t="s">
        <v>53</v>
      </c>
      <c r="E241" t="s">
        <v>54</v>
      </c>
      <c r="F241">
        <v>19</v>
      </c>
      <c r="G241">
        <v>667398</v>
      </c>
      <c r="H241">
        <v>680879</v>
      </c>
      <c r="I241">
        <v>568538</v>
      </c>
      <c r="J241">
        <v>708379</v>
      </c>
      <c r="K241">
        <v>665879</v>
      </c>
      <c r="L241">
        <v>685879</v>
      </c>
    </row>
    <row r="242" spans="1:12" x14ac:dyDescent="0.35">
      <c r="A242">
        <v>2025</v>
      </c>
      <c r="B242">
        <v>10</v>
      </c>
      <c r="C242" t="s">
        <v>73</v>
      </c>
      <c r="D242" t="s">
        <v>55</v>
      </c>
      <c r="E242" t="s">
        <v>56</v>
      </c>
      <c r="F242">
        <v>212</v>
      </c>
      <c r="G242">
        <v>713592</v>
      </c>
      <c r="H242">
        <v>700645</v>
      </c>
      <c r="I242">
        <v>540570</v>
      </c>
      <c r="J242">
        <v>1010733</v>
      </c>
      <c r="K242">
        <v>679169</v>
      </c>
      <c r="L242">
        <v>758736</v>
      </c>
    </row>
    <row r="243" spans="1:12" x14ac:dyDescent="0.35">
      <c r="A243">
        <v>2025</v>
      </c>
      <c r="B243">
        <v>10</v>
      </c>
      <c r="C243" t="s">
        <v>73</v>
      </c>
      <c r="D243" t="s">
        <v>57</v>
      </c>
      <c r="E243" t="s">
        <v>58</v>
      </c>
      <c r="F243">
        <v>26</v>
      </c>
      <c r="G243">
        <v>641485</v>
      </c>
      <c r="H243">
        <v>637368</v>
      </c>
      <c r="I243">
        <v>602233</v>
      </c>
      <c r="J243">
        <v>685879</v>
      </c>
      <c r="K243">
        <v>629081</v>
      </c>
      <c r="L243">
        <v>649868</v>
      </c>
    </row>
    <row r="244" spans="1:12" x14ac:dyDescent="0.35">
      <c r="A244">
        <v>2025</v>
      </c>
      <c r="B244">
        <v>10</v>
      </c>
      <c r="C244" t="s">
        <v>73</v>
      </c>
      <c r="D244" t="s">
        <v>59</v>
      </c>
      <c r="E244" t="s">
        <v>60</v>
      </c>
      <c r="F244">
        <v>2</v>
      </c>
      <c r="G244">
        <v>630588</v>
      </c>
      <c r="H244">
        <v>630588</v>
      </c>
      <c r="I244">
        <v>579326</v>
      </c>
      <c r="J244">
        <v>681851</v>
      </c>
      <c r="K244">
        <v>579326</v>
      </c>
      <c r="L244">
        <v>681851</v>
      </c>
    </row>
    <row r="245" spans="1:12" x14ac:dyDescent="0.35">
      <c r="A245">
        <v>2025</v>
      </c>
      <c r="B245">
        <v>10</v>
      </c>
      <c r="C245" t="s">
        <v>73</v>
      </c>
      <c r="D245" t="s">
        <v>61</v>
      </c>
      <c r="E245" t="s">
        <v>62</v>
      </c>
      <c r="F245">
        <v>150</v>
      </c>
      <c r="G245">
        <v>470011</v>
      </c>
      <c r="H245">
        <v>446936</v>
      </c>
      <c r="I245">
        <v>327836</v>
      </c>
      <c r="J245">
        <v>711851</v>
      </c>
      <c r="K245">
        <v>346073</v>
      </c>
      <c r="L245">
        <v>637233</v>
      </c>
    </row>
    <row r="246" spans="1:12" x14ac:dyDescent="0.35">
      <c r="A246">
        <v>2025</v>
      </c>
      <c r="B246">
        <v>11</v>
      </c>
      <c r="C246" t="s">
        <v>74</v>
      </c>
      <c r="D246" t="s">
        <v>43</v>
      </c>
      <c r="E246" t="s">
        <v>44</v>
      </c>
      <c r="F246">
        <v>1974</v>
      </c>
      <c r="G246">
        <v>560517</v>
      </c>
      <c r="H246">
        <v>499104</v>
      </c>
      <c r="I246">
        <v>325286</v>
      </c>
      <c r="J246">
        <v>1406370</v>
      </c>
      <c r="K246">
        <v>392366</v>
      </c>
      <c r="L246">
        <v>693193</v>
      </c>
    </row>
    <row r="247" spans="1:12" x14ac:dyDescent="0.35">
      <c r="A247">
        <v>2025</v>
      </c>
      <c r="B247">
        <v>11</v>
      </c>
      <c r="C247" t="s">
        <v>74</v>
      </c>
      <c r="D247" t="s">
        <v>45</v>
      </c>
      <c r="E247" t="s">
        <v>46</v>
      </c>
      <c r="F247">
        <v>238</v>
      </c>
      <c r="G247">
        <v>702990</v>
      </c>
      <c r="H247">
        <v>702911</v>
      </c>
      <c r="I247">
        <v>616213</v>
      </c>
      <c r="J247">
        <v>768649</v>
      </c>
      <c r="K247">
        <v>692590</v>
      </c>
      <c r="L247">
        <v>715411</v>
      </c>
    </row>
    <row r="248" spans="1:12" x14ac:dyDescent="0.35">
      <c r="A248">
        <v>2025</v>
      </c>
      <c r="B248">
        <v>11</v>
      </c>
      <c r="C248" t="s">
        <v>74</v>
      </c>
      <c r="D248" t="s">
        <v>47</v>
      </c>
      <c r="E248" t="s">
        <v>48</v>
      </c>
      <c r="F248">
        <v>5</v>
      </c>
      <c r="G248">
        <v>694276</v>
      </c>
      <c r="H248">
        <v>690693</v>
      </c>
      <c r="I248">
        <v>687592</v>
      </c>
      <c r="J248">
        <v>710090</v>
      </c>
      <c r="K248">
        <v>687592</v>
      </c>
      <c r="L248">
        <v>695411</v>
      </c>
    </row>
    <row r="249" spans="1:12" x14ac:dyDescent="0.35">
      <c r="A249">
        <v>2025</v>
      </c>
      <c r="B249">
        <v>11</v>
      </c>
      <c r="C249" t="s">
        <v>74</v>
      </c>
      <c r="D249" t="s">
        <v>49</v>
      </c>
      <c r="E249" t="s">
        <v>50</v>
      </c>
      <c r="F249">
        <v>2777</v>
      </c>
      <c r="G249">
        <v>549026</v>
      </c>
      <c r="H249">
        <v>568538</v>
      </c>
      <c r="I249">
        <v>325286</v>
      </c>
      <c r="J249">
        <v>724351</v>
      </c>
      <c r="K249">
        <v>465544</v>
      </c>
      <c r="L249">
        <v>651444</v>
      </c>
    </row>
    <row r="250" spans="1:12" x14ac:dyDescent="0.35">
      <c r="A250">
        <v>2025</v>
      </c>
      <c r="B250">
        <v>11</v>
      </c>
      <c r="C250" t="s">
        <v>74</v>
      </c>
      <c r="D250" t="s">
        <v>64</v>
      </c>
      <c r="E250" t="s">
        <v>65</v>
      </c>
      <c r="F250">
        <v>39</v>
      </c>
      <c r="G250">
        <v>347973</v>
      </c>
      <c r="H250">
        <v>342368</v>
      </c>
      <c r="I250">
        <v>342368</v>
      </c>
      <c r="J250">
        <v>372368</v>
      </c>
      <c r="K250">
        <v>342368</v>
      </c>
      <c r="L250">
        <v>357368</v>
      </c>
    </row>
    <row r="251" spans="1:12" x14ac:dyDescent="0.35">
      <c r="A251">
        <v>2025</v>
      </c>
      <c r="B251">
        <v>11</v>
      </c>
      <c r="C251" t="s">
        <v>74</v>
      </c>
      <c r="D251" t="s">
        <v>51</v>
      </c>
      <c r="E251" t="s">
        <v>52</v>
      </c>
      <c r="F251">
        <v>40</v>
      </c>
      <c r="G251">
        <v>628400</v>
      </c>
      <c r="H251">
        <v>632695</v>
      </c>
      <c r="I251">
        <v>513180</v>
      </c>
      <c r="J251">
        <v>685324</v>
      </c>
      <c r="K251">
        <v>595939</v>
      </c>
      <c r="L251">
        <v>677640</v>
      </c>
    </row>
    <row r="252" spans="1:12" x14ac:dyDescent="0.35">
      <c r="A252">
        <v>2025</v>
      </c>
      <c r="B252">
        <v>11</v>
      </c>
      <c r="C252" t="s">
        <v>74</v>
      </c>
      <c r="D252" t="s">
        <v>53</v>
      </c>
      <c r="E252" t="s">
        <v>54</v>
      </c>
      <c r="F252">
        <v>19</v>
      </c>
      <c r="G252">
        <v>667003</v>
      </c>
      <c r="H252">
        <v>680879</v>
      </c>
      <c r="I252">
        <v>568538</v>
      </c>
      <c r="J252">
        <v>700879</v>
      </c>
      <c r="K252">
        <v>665879</v>
      </c>
      <c r="L252">
        <v>685879</v>
      </c>
    </row>
    <row r="253" spans="1:12" x14ac:dyDescent="0.35">
      <c r="A253">
        <v>2025</v>
      </c>
      <c r="B253">
        <v>11</v>
      </c>
      <c r="C253" t="s">
        <v>74</v>
      </c>
      <c r="D253" t="s">
        <v>55</v>
      </c>
      <c r="E253" t="s">
        <v>56</v>
      </c>
      <c r="F253">
        <v>205</v>
      </c>
      <c r="G253">
        <v>719100</v>
      </c>
      <c r="H253">
        <v>710645</v>
      </c>
      <c r="I253">
        <v>540570</v>
      </c>
      <c r="J253">
        <v>1010733</v>
      </c>
      <c r="K253">
        <v>700645</v>
      </c>
      <c r="L253">
        <v>754020</v>
      </c>
    </row>
    <row r="254" spans="1:12" x14ac:dyDescent="0.35">
      <c r="A254">
        <v>2025</v>
      </c>
      <c r="B254">
        <v>11</v>
      </c>
      <c r="C254" t="s">
        <v>74</v>
      </c>
      <c r="D254" t="s">
        <v>57</v>
      </c>
      <c r="E254" t="s">
        <v>58</v>
      </c>
      <c r="F254">
        <v>26</v>
      </c>
      <c r="G254">
        <v>643808</v>
      </c>
      <c r="H254">
        <v>639474</v>
      </c>
      <c r="I254">
        <v>602233</v>
      </c>
      <c r="J254">
        <v>691851</v>
      </c>
      <c r="K254">
        <v>629081</v>
      </c>
      <c r="L254">
        <v>651581</v>
      </c>
    </row>
    <row r="255" spans="1:12" x14ac:dyDescent="0.35">
      <c r="A255">
        <v>2025</v>
      </c>
      <c r="B255">
        <v>11</v>
      </c>
      <c r="C255" t="s">
        <v>74</v>
      </c>
      <c r="D255" t="s">
        <v>59</v>
      </c>
      <c r="E255" t="s">
        <v>60</v>
      </c>
      <c r="F255">
        <v>2</v>
      </c>
      <c r="G255">
        <v>630588</v>
      </c>
      <c r="H255">
        <v>630588</v>
      </c>
      <c r="I255">
        <v>579326</v>
      </c>
      <c r="J255">
        <v>681851</v>
      </c>
      <c r="K255">
        <v>579326</v>
      </c>
      <c r="L255">
        <v>681851</v>
      </c>
    </row>
    <row r="256" spans="1:12" x14ac:dyDescent="0.35">
      <c r="A256">
        <v>2025</v>
      </c>
      <c r="B256">
        <v>11</v>
      </c>
      <c r="C256" t="s">
        <v>74</v>
      </c>
      <c r="D256" t="s">
        <v>61</v>
      </c>
      <c r="E256" t="s">
        <v>62</v>
      </c>
      <c r="F256">
        <v>149</v>
      </c>
      <c r="G256">
        <v>469528</v>
      </c>
      <c r="H256">
        <v>446936</v>
      </c>
      <c r="I256">
        <v>327836</v>
      </c>
      <c r="J256">
        <v>711851</v>
      </c>
      <c r="K256">
        <v>346073</v>
      </c>
      <c r="L256">
        <v>637233</v>
      </c>
    </row>
    <row r="257" spans="1:12" x14ac:dyDescent="0.35">
      <c r="A257">
        <v>2025</v>
      </c>
      <c r="B257">
        <v>12</v>
      </c>
      <c r="C257" t="s">
        <v>75</v>
      </c>
      <c r="D257" t="s">
        <v>43</v>
      </c>
      <c r="E257" t="s">
        <v>44</v>
      </c>
      <c r="F257">
        <v>1995</v>
      </c>
      <c r="G257">
        <v>559532</v>
      </c>
      <c r="H257">
        <v>499104</v>
      </c>
      <c r="I257">
        <v>325286</v>
      </c>
      <c r="J257">
        <v>1099725</v>
      </c>
      <c r="K257">
        <v>397540</v>
      </c>
      <c r="L257">
        <v>692455</v>
      </c>
    </row>
    <row r="258" spans="1:12" x14ac:dyDescent="0.35">
      <c r="A258">
        <v>2025</v>
      </c>
      <c r="B258">
        <v>12</v>
      </c>
      <c r="C258" t="s">
        <v>75</v>
      </c>
      <c r="D258" t="s">
        <v>45</v>
      </c>
      <c r="E258" t="s">
        <v>46</v>
      </c>
      <c r="F258">
        <v>237</v>
      </c>
      <c r="G258">
        <v>703275</v>
      </c>
      <c r="H258">
        <v>702911</v>
      </c>
      <c r="I258">
        <v>616213</v>
      </c>
      <c r="J258">
        <v>768649</v>
      </c>
      <c r="K258">
        <v>692590</v>
      </c>
      <c r="L258">
        <v>715092</v>
      </c>
    </row>
    <row r="259" spans="1:12" x14ac:dyDescent="0.35">
      <c r="A259">
        <v>2025</v>
      </c>
      <c r="B259">
        <v>12</v>
      </c>
      <c r="C259" t="s">
        <v>75</v>
      </c>
      <c r="D259" t="s">
        <v>47</v>
      </c>
      <c r="E259" t="s">
        <v>48</v>
      </c>
      <c r="F259">
        <v>5</v>
      </c>
      <c r="G259">
        <v>694276</v>
      </c>
      <c r="H259">
        <v>690693</v>
      </c>
      <c r="I259">
        <v>687592</v>
      </c>
      <c r="J259">
        <v>710090</v>
      </c>
      <c r="K259">
        <v>687592</v>
      </c>
      <c r="L259">
        <v>695411</v>
      </c>
    </row>
    <row r="260" spans="1:12" x14ac:dyDescent="0.35">
      <c r="A260">
        <v>2025</v>
      </c>
      <c r="B260">
        <v>12</v>
      </c>
      <c r="C260" t="s">
        <v>75</v>
      </c>
      <c r="D260" t="s">
        <v>49</v>
      </c>
      <c r="E260" t="s">
        <v>50</v>
      </c>
      <c r="F260">
        <v>2804</v>
      </c>
      <c r="G260">
        <v>549409</v>
      </c>
      <c r="H260">
        <v>570804</v>
      </c>
      <c r="I260">
        <v>325286</v>
      </c>
      <c r="J260">
        <v>724351</v>
      </c>
      <c r="K260">
        <v>465040</v>
      </c>
      <c r="L260">
        <v>651900</v>
      </c>
    </row>
    <row r="261" spans="1:12" x14ac:dyDescent="0.35">
      <c r="A261">
        <v>2025</v>
      </c>
      <c r="B261">
        <v>12</v>
      </c>
      <c r="C261" t="s">
        <v>75</v>
      </c>
      <c r="D261" t="s">
        <v>64</v>
      </c>
      <c r="E261" t="s">
        <v>65</v>
      </c>
      <c r="F261">
        <v>39</v>
      </c>
      <c r="G261">
        <v>355599</v>
      </c>
      <c r="H261">
        <v>358474</v>
      </c>
      <c r="I261">
        <v>342368</v>
      </c>
      <c r="J261">
        <v>373474</v>
      </c>
      <c r="K261">
        <v>342368</v>
      </c>
      <c r="L261">
        <v>358474</v>
      </c>
    </row>
    <row r="262" spans="1:12" x14ac:dyDescent="0.35">
      <c r="A262">
        <v>2025</v>
      </c>
      <c r="B262">
        <v>12</v>
      </c>
      <c r="C262" t="s">
        <v>75</v>
      </c>
      <c r="D262" t="s">
        <v>51</v>
      </c>
      <c r="E262" t="s">
        <v>52</v>
      </c>
      <c r="F262">
        <v>38</v>
      </c>
      <c r="G262">
        <v>627352</v>
      </c>
      <c r="H262">
        <v>633692</v>
      </c>
      <c r="I262">
        <v>513180</v>
      </c>
      <c r="J262">
        <v>685324</v>
      </c>
      <c r="K262">
        <v>590939</v>
      </c>
      <c r="L262">
        <v>675189</v>
      </c>
    </row>
    <row r="263" spans="1:12" x14ac:dyDescent="0.35">
      <c r="A263">
        <v>2025</v>
      </c>
      <c r="B263">
        <v>12</v>
      </c>
      <c r="C263" t="s">
        <v>75</v>
      </c>
      <c r="D263" t="s">
        <v>53</v>
      </c>
      <c r="E263" t="s">
        <v>54</v>
      </c>
      <c r="F263">
        <v>19</v>
      </c>
      <c r="G263">
        <v>667003</v>
      </c>
      <c r="H263">
        <v>680879</v>
      </c>
      <c r="I263">
        <v>568538</v>
      </c>
      <c r="J263">
        <v>700879</v>
      </c>
      <c r="K263">
        <v>665879</v>
      </c>
      <c r="L263">
        <v>685879</v>
      </c>
    </row>
    <row r="264" spans="1:12" x14ac:dyDescent="0.35">
      <c r="A264">
        <v>2025</v>
      </c>
      <c r="B264">
        <v>12</v>
      </c>
      <c r="C264" t="s">
        <v>75</v>
      </c>
      <c r="D264" t="s">
        <v>55</v>
      </c>
      <c r="E264" t="s">
        <v>56</v>
      </c>
      <c r="F264">
        <v>205</v>
      </c>
      <c r="G264">
        <v>718707</v>
      </c>
      <c r="H264">
        <v>708145</v>
      </c>
      <c r="I264">
        <v>540570</v>
      </c>
      <c r="J264">
        <v>1010733</v>
      </c>
      <c r="K264">
        <v>700645</v>
      </c>
      <c r="L264">
        <v>754020</v>
      </c>
    </row>
    <row r="265" spans="1:12" x14ac:dyDescent="0.35">
      <c r="A265">
        <v>2025</v>
      </c>
      <c r="B265">
        <v>12</v>
      </c>
      <c r="C265" t="s">
        <v>75</v>
      </c>
      <c r="D265" t="s">
        <v>57</v>
      </c>
      <c r="E265" t="s">
        <v>58</v>
      </c>
      <c r="F265">
        <v>26</v>
      </c>
      <c r="G265">
        <v>644583</v>
      </c>
      <c r="H265">
        <v>639474</v>
      </c>
      <c r="I265">
        <v>602233</v>
      </c>
      <c r="J265">
        <v>691851</v>
      </c>
      <c r="K265">
        <v>629081</v>
      </c>
      <c r="L265">
        <v>651581</v>
      </c>
    </row>
    <row r="266" spans="1:12" x14ac:dyDescent="0.35">
      <c r="A266">
        <v>2025</v>
      </c>
      <c r="B266">
        <v>12</v>
      </c>
      <c r="C266" t="s">
        <v>75</v>
      </c>
      <c r="D266" t="s">
        <v>59</v>
      </c>
      <c r="E266" t="s">
        <v>60</v>
      </c>
      <c r="F266">
        <v>2</v>
      </c>
      <c r="G266">
        <v>630588</v>
      </c>
      <c r="H266">
        <v>630588</v>
      </c>
      <c r="I266">
        <v>579326</v>
      </c>
      <c r="J266">
        <v>681851</v>
      </c>
      <c r="K266">
        <v>579326</v>
      </c>
      <c r="L266">
        <v>681851</v>
      </c>
    </row>
    <row r="267" spans="1:12" x14ac:dyDescent="0.35">
      <c r="A267">
        <v>2025</v>
      </c>
      <c r="B267">
        <v>12</v>
      </c>
      <c r="C267" t="s">
        <v>75</v>
      </c>
      <c r="D267" t="s">
        <v>61</v>
      </c>
      <c r="E267" t="s">
        <v>62</v>
      </c>
      <c r="F267">
        <v>154</v>
      </c>
      <c r="G267">
        <v>464380</v>
      </c>
      <c r="H267">
        <v>436936</v>
      </c>
      <c r="I267">
        <v>327836</v>
      </c>
      <c r="J267">
        <v>711851</v>
      </c>
      <c r="K267">
        <v>347836</v>
      </c>
      <c r="L267">
        <v>636581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6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77</v>
      </c>
      <c r="E5" t="s">
        <v>78</v>
      </c>
      <c r="F5">
        <v>6</v>
      </c>
      <c r="G5">
        <v>461382</v>
      </c>
      <c r="H5">
        <v>497503</v>
      </c>
      <c r="I5">
        <v>313573</v>
      </c>
      <c r="J5">
        <v>575572</v>
      </c>
      <c r="K5">
        <v>313573</v>
      </c>
      <c r="L5">
        <v>570570</v>
      </c>
    </row>
    <row r="6" spans="1:12" x14ac:dyDescent="0.35">
      <c r="A6">
        <v>2024</v>
      </c>
      <c r="B6">
        <v>1</v>
      </c>
      <c r="C6" t="s">
        <v>42</v>
      </c>
      <c r="D6" t="s">
        <v>79</v>
      </c>
      <c r="E6" t="s">
        <v>80</v>
      </c>
      <c r="F6">
        <v>179</v>
      </c>
      <c r="G6">
        <v>465096</v>
      </c>
      <c r="H6">
        <v>417540</v>
      </c>
      <c r="I6">
        <v>302836</v>
      </c>
      <c r="J6">
        <v>712640</v>
      </c>
      <c r="K6">
        <v>350790</v>
      </c>
      <c r="L6">
        <v>575015</v>
      </c>
    </row>
    <row r="7" spans="1:12" x14ac:dyDescent="0.35">
      <c r="A7">
        <v>2024</v>
      </c>
      <c r="B7">
        <v>1</v>
      </c>
      <c r="C7" t="s">
        <v>42</v>
      </c>
      <c r="D7" t="s">
        <v>81</v>
      </c>
      <c r="E7" t="s">
        <v>82</v>
      </c>
      <c r="F7">
        <v>9</v>
      </c>
      <c r="G7">
        <v>639626</v>
      </c>
      <c r="H7">
        <v>642368</v>
      </c>
      <c r="I7">
        <v>516185</v>
      </c>
      <c r="J7">
        <v>696853</v>
      </c>
      <c r="K7">
        <v>634868</v>
      </c>
      <c r="L7">
        <v>673379</v>
      </c>
    </row>
    <row r="8" spans="1:12" x14ac:dyDescent="0.35">
      <c r="A8">
        <v>2024</v>
      </c>
      <c r="B8">
        <v>1</v>
      </c>
      <c r="C8" t="s">
        <v>42</v>
      </c>
      <c r="D8" t="s">
        <v>83</v>
      </c>
      <c r="E8" t="s">
        <v>84</v>
      </c>
      <c r="F8">
        <v>46</v>
      </c>
      <c r="G8">
        <v>488003</v>
      </c>
      <c r="H8">
        <v>490354</v>
      </c>
      <c r="I8">
        <v>325286</v>
      </c>
      <c r="J8">
        <v>659955</v>
      </c>
      <c r="K8">
        <v>352366</v>
      </c>
      <c r="L8">
        <v>610977</v>
      </c>
    </row>
    <row r="9" spans="1:12" x14ac:dyDescent="0.35">
      <c r="A9">
        <v>2024</v>
      </c>
      <c r="B9">
        <v>1</v>
      </c>
      <c r="C9" t="s">
        <v>42</v>
      </c>
      <c r="D9" t="s">
        <v>85</v>
      </c>
      <c r="E9" t="s">
        <v>86</v>
      </c>
      <c r="F9">
        <v>916</v>
      </c>
      <c r="G9">
        <v>509847</v>
      </c>
      <c r="H9">
        <v>490588</v>
      </c>
      <c r="I9">
        <v>302836</v>
      </c>
      <c r="J9">
        <v>760916</v>
      </c>
      <c r="K9">
        <v>416936</v>
      </c>
      <c r="L9">
        <v>607418</v>
      </c>
    </row>
    <row r="10" spans="1:12" x14ac:dyDescent="0.35">
      <c r="A10">
        <v>2024</v>
      </c>
      <c r="B10">
        <v>1</v>
      </c>
      <c r="C10" t="s">
        <v>42</v>
      </c>
      <c r="D10" t="s">
        <v>87</v>
      </c>
      <c r="E10" t="s">
        <v>88</v>
      </c>
      <c r="F10">
        <v>4</v>
      </c>
      <c r="G10">
        <v>570050</v>
      </c>
      <c r="H10">
        <v>569690</v>
      </c>
      <c r="I10">
        <v>528403</v>
      </c>
      <c r="J10">
        <v>612418</v>
      </c>
      <c r="K10">
        <v>528403</v>
      </c>
      <c r="L10">
        <v>610977</v>
      </c>
    </row>
    <row r="11" spans="1:12" x14ac:dyDescent="0.35">
      <c r="A11">
        <v>2024</v>
      </c>
      <c r="B11">
        <v>1</v>
      </c>
      <c r="C11" t="s">
        <v>42</v>
      </c>
      <c r="D11" t="s">
        <v>89</v>
      </c>
      <c r="E11" t="s">
        <v>90</v>
      </c>
      <c r="F11">
        <v>772</v>
      </c>
      <c r="G11">
        <v>482465</v>
      </c>
      <c r="H11">
        <v>456770</v>
      </c>
      <c r="I11">
        <v>297836</v>
      </c>
      <c r="J11">
        <v>740916</v>
      </c>
      <c r="K11">
        <v>392822</v>
      </c>
      <c r="L11">
        <v>575804</v>
      </c>
    </row>
    <row r="12" spans="1:12" x14ac:dyDescent="0.35">
      <c r="A12">
        <v>2024</v>
      </c>
      <c r="B12">
        <v>1</v>
      </c>
      <c r="C12" t="s">
        <v>42</v>
      </c>
      <c r="D12" t="s">
        <v>91</v>
      </c>
      <c r="E12" t="s">
        <v>92</v>
      </c>
      <c r="F12">
        <v>98</v>
      </c>
      <c r="G12">
        <v>351610</v>
      </c>
      <c r="H12">
        <v>335470</v>
      </c>
      <c r="I12">
        <v>297836</v>
      </c>
      <c r="J12">
        <v>633479</v>
      </c>
      <c r="K12">
        <v>325336</v>
      </c>
      <c r="L12">
        <v>355655</v>
      </c>
    </row>
    <row r="13" spans="1:12" x14ac:dyDescent="0.35">
      <c r="A13">
        <v>2024</v>
      </c>
      <c r="B13">
        <v>1</v>
      </c>
      <c r="C13" t="s">
        <v>42</v>
      </c>
      <c r="D13" t="s">
        <v>93</v>
      </c>
      <c r="E13" t="s">
        <v>94</v>
      </c>
      <c r="F13">
        <v>4</v>
      </c>
      <c r="G13">
        <v>596688</v>
      </c>
      <c r="H13">
        <v>591630</v>
      </c>
      <c r="I13">
        <v>548538</v>
      </c>
      <c r="J13">
        <v>654956</v>
      </c>
      <c r="K13">
        <v>550804</v>
      </c>
      <c r="L13">
        <v>632456</v>
      </c>
    </row>
    <row r="14" spans="1:12" x14ac:dyDescent="0.35">
      <c r="A14">
        <v>2024</v>
      </c>
      <c r="B14">
        <v>1</v>
      </c>
      <c r="C14" t="s">
        <v>42</v>
      </c>
      <c r="D14" t="s">
        <v>95</v>
      </c>
      <c r="E14" t="s">
        <v>96</v>
      </c>
      <c r="F14">
        <v>15</v>
      </c>
      <c r="G14">
        <v>402380</v>
      </c>
      <c r="H14">
        <v>330286</v>
      </c>
      <c r="I14">
        <v>302836</v>
      </c>
      <c r="J14">
        <v>610939</v>
      </c>
      <c r="K14">
        <v>313573</v>
      </c>
      <c r="L14">
        <v>576038</v>
      </c>
    </row>
    <row r="15" spans="1:12" x14ac:dyDescent="0.35">
      <c r="A15">
        <v>2024</v>
      </c>
      <c r="B15">
        <v>1</v>
      </c>
      <c r="C15" t="s">
        <v>42</v>
      </c>
      <c r="D15" t="s">
        <v>97</v>
      </c>
      <c r="E15" t="s">
        <v>98</v>
      </c>
      <c r="F15">
        <v>242</v>
      </c>
      <c r="G15">
        <v>403832</v>
      </c>
      <c r="H15">
        <v>358474</v>
      </c>
      <c r="I15">
        <v>297834</v>
      </c>
      <c r="J15">
        <v>715879</v>
      </c>
      <c r="K15">
        <v>342366</v>
      </c>
      <c r="L15">
        <v>424436</v>
      </c>
    </row>
    <row r="16" spans="1:12" x14ac:dyDescent="0.35">
      <c r="A16">
        <v>2024</v>
      </c>
      <c r="B16">
        <v>1</v>
      </c>
      <c r="C16" t="s">
        <v>42</v>
      </c>
      <c r="D16" t="s">
        <v>99</v>
      </c>
      <c r="E16" t="s">
        <v>100</v>
      </c>
      <c r="F16">
        <v>442</v>
      </c>
      <c r="G16">
        <v>441548</v>
      </c>
      <c r="H16">
        <v>430544</v>
      </c>
      <c r="I16">
        <v>302836</v>
      </c>
      <c r="J16">
        <v>693379</v>
      </c>
      <c r="K16">
        <v>390322</v>
      </c>
      <c r="L16">
        <v>475495</v>
      </c>
    </row>
    <row r="17" spans="1:12" x14ac:dyDescent="0.35">
      <c r="A17">
        <v>2024</v>
      </c>
      <c r="B17">
        <v>1</v>
      </c>
      <c r="C17" t="s">
        <v>42</v>
      </c>
      <c r="D17" t="s">
        <v>101</v>
      </c>
      <c r="E17" t="s">
        <v>102</v>
      </c>
      <c r="F17">
        <v>11</v>
      </c>
      <c r="G17">
        <v>563817</v>
      </c>
      <c r="H17">
        <v>598538</v>
      </c>
      <c r="I17">
        <v>385324</v>
      </c>
      <c r="J17">
        <v>675324</v>
      </c>
      <c r="K17">
        <v>540584</v>
      </c>
      <c r="L17">
        <v>628944</v>
      </c>
    </row>
    <row r="18" spans="1:12" x14ac:dyDescent="0.35">
      <c r="A18">
        <v>2024</v>
      </c>
      <c r="B18">
        <v>1</v>
      </c>
      <c r="C18" t="s">
        <v>42</v>
      </c>
      <c r="D18" t="s">
        <v>103</v>
      </c>
      <c r="E18" t="s">
        <v>104</v>
      </c>
      <c r="F18">
        <v>6</v>
      </c>
      <c r="G18">
        <v>348315</v>
      </c>
      <c r="H18">
        <v>329061</v>
      </c>
      <c r="I18">
        <v>302836</v>
      </c>
      <c r="J18">
        <v>450495</v>
      </c>
      <c r="K18">
        <v>313573</v>
      </c>
      <c r="L18">
        <v>364866</v>
      </c>
    </row>
    <row r="19" spans="1:12" x14ac:dyDescent="0.35">
      <c r="A19">
        <v>2024</v>
      </c>
      <c r="B19">
        <v>1</v>
      </c>
      <c r="C19" t="s">
        <v>42</v>
      </c>
      <c r="D19" t="s">
        <v>105</v>
      </c>
      <c r="E19" t="s">
        <v>106</v>
      </c>
      <c r="F19">
        <v>36</v>
      </c>
      <c r="G19">
        <v>440850</v>
      </c>
      <c r="H19">
        <v>410735</v>
      </c>
      <c r="I19">
        <v>302836</v>
      </c>
      <c r="J19">
        <v>692824</v>
      </c>
      <c r="K19">
        <v>345790</v>
      </c>
      <c r="L19">
        <v>520903</v>
      </c>
    </row>
    <row r="20" spans="1:12" x14ac:dyDescent="0.35">
      <c r="A20">
        <v>2024</v>
      </c>
      <c r="B20">
        <v>1</v>
      </c>
      <c r="C20" t="s">
        <v>42</v>
      </c>
      <c r="D20" t="s">
        <v>107</v>
      </c>
      <c r="E20" t="s">
        <v>108</v>
      </c>
      <c r="F20">
        <v>2</v>
      </c>
      <c r="G20">
        <v>342366</v>
      </c>
      <c r="H20">
        <v>342366</v>
      </c>
      <c r="I20">
        <v>342366</v>
      </c>
      <c r="J20">
        <v>342366</v>
      </c>
      <c r="K20">
        <v>342366</v>
      </c>
      <c r="L20">
        <v>342366</v>
      </c>
    </row>
    <row r="21" spans="1:12" x14ac:dyDescent="0.35">
      <c r="A21">
        <v>2024</v>
      </c>
      <c r="B21">
        <v>1</v>
      </c>
      <c r="C21" t="s">
        <v>42</v>
      </c>
      <c r="D21" t="s">
        <v>109</v>
      </c>
      <c r="E21" t="s">
        <v>110</v>
      </c>
      <c r="F21">
        <v>4743</v>
      </c>
      <c r="G21">
        <v>549103</v>
      </c>
      <c r="H21">
        <v>512158</v>
      </c>
      <c r="I21">
        <v>407405</v>
      </c>
      <c r="J21">
        <v>808269</v>
      </c>
      <c r="K21">
        <v>445594</v>
      </c>
      <c r="L21">
        <v>663058</v>
      </c>
    </row>
    <row r="22" spans="1:12" x14ac:dyDescent="0.35">
      <c r="A22">
        <v>2024</v>
      </c>
      <c r="B22">
        <v>1</v>
      </c>
      <c r="C22" t="s">
        <v>42</v>
      </c>
      <c r="D22" t="s">
        <v>111</v>
      </c>
      <c r="E22" t="s">
        <v>112</v>
      </c>
      <c r="F22">
        <v>13882</v>
      </c>
      <c r="G22">
        <v>336231</v>
      </c>
      <c r="H22">
        <v>315519</v>
      </c>
      <c r="I22">
        <v>234373</v>
      </c>
      <c r="J22">
        <v>663477</v>
      </c>
      <c r="K22">
        <v>285752</v>
      </c>
      <c r="L22">
        <v>358474</v>
      </c>
    </row>
    <row r="23" spans="1:12" x14ac:dyDescent="0.35">
      <c r="A23">
        <v>2024</v>
      </c>
      <c r="B23">
        <v>1</v>
      </c>
      <c r="C23" t="s">
        <v>42</v>
      </c>
      <c r="D23" t="s">
        <v>113</v>
      </c>
      <c r="E23" t="s">
        <v>114</v>
      </c>
      <c r="F23">
        <v>7848</v>
      </c>
      <c r="G23">
        <v>320982</v>
      </c>
      <c r="H23">
        <v>305519</v>
      </c>
      <c r="I23">
        <v>260064</v>
      </c>
      <c r="J23">
        <v>575570</v>
      </c>
      <c r="K23">
        <v>280752</v>
      </c>
      <c r="L23">
        <v>335519</v>
      </c>
    </row>
    <row r="24" spans="1:12" x14ac:dyDescent="0.35">
      <c r="A24">
        <v>2024</v>
      </c>
      <c r="B24">
        <v>1</v>
      </c>
      <c r="C24" t="s">
        <v>42</v>
      </c>
      <c r="D24" t="s">
        <v>115</v>
      </c>
      <c r="E24" t="s">
        <v>116</v>
      </c>
      <c r="F24">
        <v>85</v>
      </c>
      <c r="G24">
        <v>584261</v>
      </c>
      <c r="H24">
        <v>565298</v>
      </c>
      <c r="I24">
        <v>417405</v>
      </c>
      <c r="J24">
        <v>825535</v>
      </c>
      <c r="K24">
        <v>472441</v>
      </c>
      <c r="L24">
        <v>688564</v>
      </c>
    </row>
    <row r="25" spans="1:12" x14ac:dyDescent="0.35">
      <c r="A25">
        <v>2024</v>
      </c>
      <c r="B25">
        <v>1</v>
      </c>
      <c r="C25" t="s">
        <v>42</v>
      </c>
      <c r="D25" t="s">
        <v>117</v>
      </c>
      <c r="E25" t="s">
        <v>118</v>
      </c>
      <c r="F25">
        <v>396</v>
      </c>
      <c r="G25">
        <v>569313</v>
      </c>
      <c r="H25">
        <v>528408</v>
      </c>
      <c r="I25">
        <v>407405</v>
      </c>
      <c r="J25">
        <v>793269</v>
      </c>
      <c r="K25">
        <v>448094</v>
      </c>
      <c r="L25">
        <v>688564</v>
      </c>
    </row>
    <row r="26" spans="1:12" x14ac:dyDescent="0.35">
      <c r="A26">
        <v>2024</v>
      </c>
      <c r="B26">
        <v>1</v>
      </c>
      <c r="C26" t="s">
        <v>42</v>
      </c>
      <c r="D26" t="s">
        <v>119</v>
      </c>
      <c r="E26" t="s">
        <v>120</v>
      </c>
      <c r="F26">
        <v>963</v>
      </c>
      <c r="G26">
        <v>490367</v>
      </c>
      <c r="H26">
        <v>467441</v>
      </c>
      <c r="I26">
        <v>407405</v>
      </c>
      <c r="J26">
        <v>788035</v>
      </c>
      <c r="K26">
        <v>436985</v>
      </c>
      <c r="L26">
        <v>519658</v>
      </c>
    </row>
    <row r="27" spans="1:12" x14ac:dyDescent="0.35">
      <c r="A27">
        <v>2024</v>
      </c>
      <c r="B27">
        <v>1</v>
      </c>
      <c r="C27" t="s">
        <v>42</v>
      </c>
      <c r="D27" t="s">
        <v>121</v>
      </c>
      <c r="E27" t="s">
        <v>122</v>
      </c>
      <c r="F27">
        <v>423</v>
      </c>
      <c r="G27">
        <v>461324</v>
      </c>
      <c r="H27">
        <v>448044</v>
      </c>
      <c r="I27">
        <v>315655</v>
      </c>
      <c r="J27">
        <v>672689</v>
      </c>
      <c r="K27">
        <v>416936</v>
      </c>
      <c r="L27">
        <v>525348</v>
      </c>
    </row>
    <row r="28" spans="1:12" x14ac:dyDescent="0.35">
      <c r="A28">
        <v>2024</v>
      </c>
      <c r="B28">
        <v>1</v>
      </c>
      <c r="C28" t="s">
        <v>42</v>
      </c>
      <c r="D28" t="s">
        <v>123</v>
      </c>
      <c r="E28" t="s">
        <v>124</v>
      </c>
      <c r="F28">
        <v>1</v>
      </c>
      <c r="G28">
        <v>305519</v>
      </c>
      <c r="H28">
        <v>305519</v>
      </c>
      <c r="I28">
        <v>305519</v>
      </c>
      <c r="J28">
        <v>305519</v>
      </c>
      <c r="K28">
        <v>305519</v>
      </c>
      <c r="L28">
        <v>305519</v>
      </c>
    </row>
    <row r="29" spans="1:12" x14ac:dyDescent="0.35">
      <c r="A29">
        <v>2024</v>
      </c>
      <c r="B29">
        <v>1</v>
      </c>
      <c r="C29" t="s">
        <v>42</v>
      </c>
      <c r="D29" t="s">
        <v>125</v>
      </c>
      <c r="E29" t="s">
        <v>126</v>
      </c>
      <c r="F29">
        <v>153</v>
      </c>
      <c r="G29">
        <v>395282</v>
      </c>
      <c r="H29">
        <v>352366</v>
      </c>
      <c r="I29">
        <v>330286</v>
      </c>
      <c r="J29">
        <v>680189</v>
      </c>
      <c r="K29">
        <v>339866</v>
      </c>
      <c r="L29">
        <v>373474</v>
      </c>
    </row>
    <row r="30" spans="1:12" x14ac:dyDescent="0.35">
      <c r="A30">
        <v>2024</v>
      </c>
      <c r="B30">
        <v>1</v>
      </c>
      <c r="C30" t="s">
        <v>42</v>
      </c>
      <c r="D30" t="s">
        <v>127</v>
      </c>
      <c r="E30" t="s">
        <v>128</v>
      </c>
      <c r="F30">
        <v>4995</v>
      </c>
      <c r="G30">
        <v>883588</v>
      </c>
      <c r="H30">
        <v>835721</v>
      </c>
      <c r="I30">
        <v>661667</v>
      </c>
      <c r="J30">
        <v>1436081</v>
      </c>
      <c r="K30">
        <v>731520</v>
      </c>
      <c r="L30">
        <v>957087</v>
      </c>
    </row>
    <row r="31" spans="1:12" x14ac:dyDescent="0.35">
      <c r="A31">
        <v>2024</v>
      </c>
      <c r="B31">
        <v>1</v>
      </c>
      <c r="C31" t="s">
        <v>42</v>
      </c>
      <c r="D31" t="s">
        <v>129</v>
      </c>
      <c r="E31" t="s">
        <v>130</v>
      </c>
      <c r="F31">
        <v>373</v>
      </c>
      <c r="G31">
        <v>495132</v>
      </c>
      <c r="H31">
        <v>509239</v>
      </c>
      <c r="I31">
        <v>342134</v>
      </c>
      <c r="J31">
        <v>733465</v>
      </c>
      <c r="K31">
        <v>411936</v>
      </c>
      <c r="L31">
        <v>572467</v>
      </c>
    </row>
    <row r="32" spans="1:12" x14ac:dyDescent="0.35">
      <c r="A32">
        <v>2024</v>
      </c>
      <c r="B32">
        <v>1</v>
      </c>
      <c r="C32" t="s">
        <v>42</v>
      </c>
      <c r="D32" t="s">
        <v>131</v>
      </c>
      <c r="E32" t="s">
        <v>132</v>
      </c>
      <c r="F32">
        <v>32199</v>
      </c>
      <c r="G32">
        <v>528442</v>
      </c>
      <c r="H32">
        <v>505903</v>
      </c>
      <c r="I32">
        <v>333389</v>
      </c>
      <c r="J32">
        <v>887702</v>
      </c>
      <c r="K32">
        <v>444573</v>
      </c>
      <c r="L32">
        <v>593021</v>
      </c>
    </row>
    <row r="33" spans="1:12" x14ac:dyDescent="0.35">
      <c r="A33">
        <v>2024</v>
      </c>
      <c r="B33">
        <v>1</v>
      </c>
      <c r="C33" t="s">
        <v>42</v>
      </c>
      <c r="D33" t="s">
        <v>133</v>
      </c>
      <c r="E33" t="s">
        <v>134</v>
      </c>
      <c r="F33">
        <v>83959</v>
      </c>
      <c r="G33">
        <v>400968</v>
      </c>
      <c r="H33">
        <v>402540</v>
      </c>
      <c r="I33">
        <v>266776</v>
      </c>
      <c r="J33">
        <v>584648</v>
      </c>
      <c r="K33">
        <v>323389</v>
      </c>
      <c r="L33">
        <v>454523</v>
      </c>
    </row>
    <row r="34" spans="1:12" x14ac:dyDescent="0.35">
      <c r="A34">
        <v>2024</v>
      </c>
      <c r="B34">
        <v>1</v>
      </c>
      <c r="C34" t="s">
        <v>42</v>
      </c>
      <c r="D34" t="s">
        <v>135</v>
      </c>
      <c r="E34" t="s">
        <v>136</v>
      </c>
      <c r="F34">
        <v>19327</v>
      </c>
      <c r="G34">
        <v>702406</v>
      </c>
      <c r="H34">
        <v>687455</v>
      </c>
      <c r="I34">
        <v>398883</v>
      </c>
      <c r="J34">
        <v>1012078</v>
      </c>
      <c r="K34">
        <v>622048</v>
      </c>
      <c r="L34">
        <v>803133</v>
      </c>
    </row>
    <row r="35" spans="1:12" x14ac:dyDescent="0.35">
      <c r="A35">
        <v>2024</v>
      </c>
      <c r="B35">
        <v>1</v>
      </c>
      <c r="C35" t="s">
        <v>42</v>
      </c>
      <c r="D35" t="s">
        <v>137</v>
      </c>
      <c r="E35" t="s">
        <v>138</v>
      </c>
      <c r="F35">
        <v>10125</v>
      </c>
      <c r="G35">
        <v>447143</v>
      </c>
      <c r="H35">
        <v>440544</v>
      </c>
      <c r="I35">
        <v>262563</v>
      </c>
      <c r="J35">
        <v>781187</v>
      </c>
      <c r="K35">
        <v>365926</v>
      </c>
      <c r="L35">
        <v>510903</v>
      </c>
    </row>
    <row r="36" spans="1:12" x14ac:dyDescent="0.35">
      <c r="A36">
        <v>2024</v>
      </c>
      <c r="B36">
        <v>1</v>
      </c>
      <c r="C36" t="s">
        <v>42</v>
      </c>
      <c r="D36" t="s">
        <v>139</v>
      </c>
      <c r="E36" t="s">
        <v>140</v>
      </c>
      <c r="F36">
        <v>35</v>
      </c>
      <c r="G36">
        <v>595494</v>
      </c>
      <c r="H36">
        <v>589967</v>
      </c>
      <c r="I36">
        <v>518403</v>
      </c>
      <c r="J36">
        <v>753687</v>
      </c>
      <c r="K36">
        <v>567467</v>
      </c>
      <c r="L36">
        <v>605237</v>
      </c>
    </row>
    <row r="37" spans="1:12" x14ac:dyDescent="0.35">
      <c r="A37">
        <v>2024</v>
      </c>
      <c r="B37">
        <v>1</v>
      </c>
      <c r="C37" t="s">
        <v>42</v>
      </c>
      <c r="D37" t="s">
        <v>141</v>
      </c>
      <c r="E37" t="s">
        <v>142</v>
      </c>
      <c r="F37">
        <v>700</v>
      </c>
      <c r="G37">
        <v>506892</v>
      </c>
      <c r="H37">
        <v>505903</v>
      </c>
      <c r="I37">
        <v>342134</v>
      </c>
      <c r="J37">
        <v>741470</v>
      </c>
      <c r="K37">
        <v>446838</v>
      </c>
      <c r="L37">
        <v>555903</v>
      </c>
    </row>
    <row r="38" spans="1:12" x14ac:dyDescent="0.35">
      <c r="A38">
        <v>2024</v>
      </c>
      <c r="B38">
        <v>1</v>
      </c>
      <c r="C38" t="s">
        <v>42</v>
      </c>
      <c r="D38" t="s">
        <v>143</v>
      </c>
      <c r="E38" t="s">
        <v>144</v>
      </c>
      <c r="F38">
        <v>4116</v>
      </c>
      <c r="G38">
        <v>287019</v>
      </c>
      <c r="H38">
        <v>278486</v>
      </c>
      <c r="I38">
        <v>229743</v>
      </c>
      <c r="J38">
        <v>438463</v>
      </c>
      <c r="K38">
        <v>262564</v>
      </c>
      <c r="L38">
        <v>300986</v>
      </c>
    </row>
    <row r="39" spans="1:12" x14ac:dyDescent="0.35">
      <c r="A39">
        <v>2024</v>
      </c>
      <c r="B39">
        <v>1</v>
      </c>
      <c r="C39" t="s">
        <v>42</v>
      </c>
      <c r="D39" t="s">
        <v>145</v>
      </c>
      <c r="E39" t="s">
        <v>146</v>
      </c>
      <c r="F39">
        <v>104</v>
      </c>
      <c r="G39">
        <v>446622</v>
      </c>
      <c r="H39">
        <v>446936</v>
      </c>
      <c r="I39">
        <v>343573</v>
      </c>
      <c r="J39">
        <v>590804</v>
      </c>
      <c r="K39">
        <v>426987</v>
      </c>
      <c r="L39">
        <v>463044</v>
      </c>
    </row>
    <row r="40" spans="1:12" x14ac:dyDescent="0.35">
      <c r="A40">
        <v>2024</v>
      </c>
      <c r="B40">
        <v>1</v>
      </c>
      <c r="C40" t="s">
        <v>42</v>
      </c>
      <c r="D40" t="s">
        <v>147</v>
      </c>
      <c r="E40" t="s">
        <v>148</v>
      </c>
      <c r="F40">
        <v>33</v>
      </c>
      <c r="G40">
        <v>364086</v>
      </c>
      <c r="H40">
        <v>336075</v>
      </c>
      <c r="I40">
        <v>302836</v>
      </c>
      <c r="J40">
        <v>439436</v>
      </c>
      <c r="K40">
        <v>325655</v>
      </c>
      <c r="L40">
        <v>416936</v>
      </c>
    </row>
    <row r="41" spans="1:12" x14ac:dyDescent="0.35">
      <c r="A41">
        <v>2024</v>
      </c>
      <c r="B41">
        <v>1</v>
      </c>
      <c r="C41" t="s">
        <v>42</v>
      </c>
      <c r="D41" t="s">
        <v>149</v>
      </c>
      <c r="E41" t="s">
        <v>150</v>
      </c>
      <c r="F41">
        <v>1599</v>
      </c>
      <c r="G41">
        <v>399493</v>
      </c>
      <c r="H41">
        <v>364866</v>
      </c>
      <c r="I41">
        <v>297836</v>
      </c>
      <c r="J41">
        <v>740916</v>
      </c>
      <c r="K41">
        <v>340655</v>
      </c>
      <c r="L41">
        <v>421985</v>
      </c>
    </row>
    <row r="42" spans="1:12" x14ac:dyDescent="0.35">
      <c r="A42">
        <v>2024</v>
      </c>
      <c r="B42">
        <v>1</v>
      </c>
      <c r="C42" t="s">
        <v>42</v>
      </c>
      <c r="D42" t="s">
        <v>151</v>
      </c>
      <c r="E42" t="s">
        <v>152</v>
      </c>
      <c r="F42">
        <v>620</v>
      </c>
      <c r="G42">
        <v>1015387</v>
      </c>
      <c r="H42">
        <v>1044725</v>
      </c>
      <c r="I42">
        <v>690287</v>
      </c>
      <c r="J42">
        <v>1278458</v>
      </c>
      <c r="K42">
        <v>920118</v>
      </c>
      <c r="L42">
        <v>1124208</v>
      </c>
    </row>
    <row r="43" spans="1:12" x14ac:dyDescent="0.35">
      <c r="A43">
        <v>2024</v>
      </c>
      <c r="B43">
        <v>1</v>
      </c>
      <c r="C43" t="s">
        <v>42</v>
      </c>
      <c r="D43" t="s">
        <v>153</v>
      </c>
      <c r="E43" t="s">
        <v>154</v>
      </c>
      <c r="F43">
        <v>102</v>
      </c>
      <c r="G43">
        <v>657717</v>
      </c>
      <c r="H43">
        <v>661069</v>
      </c>
      <c r="I43">
        <v>411061</v>
      </c>
      <c r="J43">
        <v>812667</v>
      </c>
      <c r="K43">
        <v>601678</v>
      </c>
      <c r="L43">
        <v>747630</v>
      </c>
    </row>
    <row r="44" spans="1:12" x14ac:dyDescent="0.35">
      <c r="A44">
        <v>2024</v>
      </c>
      <c r="B44">
        <v>1</v>
      </c>
      <c r="C44" t="s">
        <v>42</v>
      </c>
      <c r="D44" t="s">
        <v>155</v>
      </c>
      <c r="E44" t="s">
        <v>156</v>
      </c>
      <c r="F44">
        <v>967</v>
      </c>
      <c r="G44">
        <v>389950</v>
      </c>
      <c r="H44">
        <v>364866</v>
      </c>
      <c r="I44">
        <v>260064</v>
      </c>
      <c r="J44">
        <v>710324</v>
      </c>
      <c r="K44">
        <v>317836</v>
      </c>
      <c r="L44">
        <v>424017</v>
      </c>
    </row>
    <row r="45" spans="1:12" x14ac:dyDescent="0.35">
      <c r="A45">
        <v>2024</v>
      </c>
      <c r="B45">
        <v>1</v>
      </c>
      <c r="C45" t="s">
        <v>42</v>
      </c>
      <c r="D45" t="s">
        <v>157</v>
      </c>
      <c r="E45" t="s">
        <v>158</v>
      </c>
      <c r="F45">
        <v>152</v>
      </c>
      <c r="G45">
        <v>463524</v>
      </c>
      <c r="H45">
        <v>443045</v>
      </c>
      <c r="I45">
        <v>325286</v>
      </c>
      <c r="J45">
        <v>705140</v>
      </c>
      <c r="K45">
        <v>370974</v>
      </c>
      <c r="L45">
        <v>535903</v>
      </c>
    </row>
    <row r="46" spans="1:12" x14ac:dyDescent="0.35">
      <c r="A46">
        <v>2024</v>
      </c>
      <c r="B46">
        <v>1</v>
      </c>
      <c r="C46" t="s">
        <v>42</v>
      </c>
      <c r="D46" t="s">
        <v>159</v>
      </c>
      <c r="E46" t="s">
        <v>160</v>
      </c>
      <c r="F46">
        <v>376</v>
      </c>
      <c r="G46">
        <v>435822</v>
      </c>
      <c r="H46">
        <v>419436</v>
      </c>
      <c r="I46">
        <v>303573</v>
      </c>
      <c r="J46">
        <v>700324</v>
      </c>
      <c r="K46">
        <v>373474</v>
      </c>
      <c r="L46">
        <v>465544</v>
      </c>
    </row>
    <row r="47" spans="1:12" x14ac:dyDescent="0.35">
      <c r="A47">
        <v>2024</v>
      </c>
      <c r="B47">
        <v>1</v>
      </c>
      <c r="C47" t="s">
        <v>42</v>
      </c>
      <c r="D47" t="s">
        <v>161</v>
      </c>
      <c r="E47" t="s">
        <v>162</v>
      </c>
      <c r="F47">
        <v>124</v>
      </c>
      <c r="G47">
        <v>464214</v>
      </c>
      <c r="H47">
        <v>439436</v>
      </c>
      <c r="I47">
        <v>302836</v>
      </c>
      <c r="J47">
        <v>707824</v>
      </c>
      <c r="K47">
        <v>358474</v>
      </c>
      <c r="L47">
        <v>553304</v>
      </c>
    </row>
    <row r="48" spans="1:12" x14ac:dyDescent="0.35">
      <c r="A48">
        <v>2024</v>
      </c>
      <c r="B48">
        <v>2</v>
      </c>
      <c r="C48" t="s">
        <v>63</v>
      </c>
      <c r="D48" t="s">
        <v>77</v>
      </c>
      <c r="E48" t="s">
        <v>78</v>
      </c>
      <c r="F48">
        <v>6</v>
      </c>
      <c r="G48">
        <v>461382</v>
      </c>
      <c r="H48">
        <v>497503</v>
      </c>
      <c r="I48">
        <v>313573</v>
      </c>
      <c r="J48">
        <v>575572</v>
      </c>
      <c r="K48">
        <v>313573</v>
      </c>
      <c r="L48">
        <v>570570</v>
      </c>
    </row>
    <row r="49" spans="1:12" x14ac:dyDescent="0.35">
      <c r="A49">
        <v>2024</v>
      </c>
      <c r="B49">
        <v>2</v>
      </c>
      <c r="C49" t="s">
        <v>63</v>
      </c>
      <c r="D49" t="s">
        <v>79</v>
      </c>
      <c r="E49" t="s">
        <v>80</v>
      </c>
      <c r="F49">
        <v>178</v>
      </c>
      <c r="G49">
        <v>468708</v>
      </c>
      <c r="H49">
        <v>429084</v>
      </c>
      <c r="I49">
        <v>302836</v>
      </c>
      <c r="J49">
        <v>731760</v>
      </c>
      <c r="K49">
        <v>357366</v>
      </c>
      <c r="L49">
        <v>568538</v>
      </c>
    </row>
    <row r="50" spans="1:12" x14ac:dyDescent="0.35">
      <c r="A50">
        <v>2024</v>
      </c>
      <c r="B50">
        <v>2</v>
      </c>
      <c r="C50" t="s">
        <v>63</v>
      </c>
      <c r="D50" t="s">
        <v>81</v>
      </c>
      <c r="E50" t="s">
        <v>82</v>
      </c>
      <c r="F50">
        <v>9</v>
      </c>
      <c r="G50">
        <v>644967</v>
      </c>
      <c r="H50">
        <v>642368</v>
      </c>
      <c r="I50">
        <v>516185</v>
      </c>
      <c r="J50">
        <v>704647</v>
      </c>
      <c r="K50">
        <v>634868</v>
      </c>
      <c r="L50">
        <v>680879</v>
      </c>
    </row>
    <row r="51" spans="1:12" x14ac:dyDescent="0.35">
      <c r="A51">
        <v>2024</v>
      </c>
      <c r="B51">
        <v>2</v>
      </c>
      <c r="C51" t="s">
        <v>63</v>
      </c>
      <c r="D51" t="s">
        <v>83</v>
      </c>
      <c r="E51" t="s">
        <v>84</v>
      </c>
      <c r="F51">
        <v>46</v>
      </c>
      <c r="G51">
        <v>496040</v>
      </c>
      <c r="H51">
        <v>490354</v>
      </c>
      <c r="I51">
        <v>325286</v>
      </c>
      <c r="J51">
        <v>667750</v>
      </c>
      <c r="K51">
        <v>353667</v>
      </c>
      <c r="L51">
        <v>630977</v>
      </c>
    </row>
    <row r="52" spans="1:12" x14ac:dyDescent="0.35">
      <c r="A52">
        <v>2024</v>
      </c>
      <c r="B52">
        <v>2</v>
      </c>
      <c r="C52" t="s">
        <v>63</v>
      </c>
      <c r="D52" t="s">
        <v>85</v>
      </c>
      <c r="E52" t="s">
        <v>86</v>
      </c>
      <c r="F52">
        <v>925</v>
      </c>
      <c r="G52">
        <v>513979</v>
      </c>
      <c r="H52">
        <v>498180</v>
      </c>
      <c r="I52">
        <v>302836</v>
      </c>
      <c r="J52">
        <v>760916</v>
      </c>
      <c r="K52">
        <v>422822</v>
      </c>
      <c r="L52">
        <v>610941</v>
      </c>
    </row>
    <row r="53" spans="1:12" x14ac:dyDescent="0.35">
      <c r="A53">
        <v>2024</v>
      </c>
      <c r="B53">
        <v>2</v>
      </c>
      <c r="C53" t="s">
        <v>63</v>
      </c>
      <c r="D53" t="s">
        <v>87</v>
      </c>
      <c r="E53" t="s">
        <v>88</v>
      </c>
      <c r="F53">
        <v>4</v>
      </c>
      <c r="G53">
        <v>570050</v>
      </c>
      <c r="H53">
        <v>569690</v>
      </c>
      <c r="I53">
        <v>528403</v>
      </c>
      <c r="J53">
        <v>612418</v>
      </c>
      <c r="K53">
        <v>528403</v>
      </c>
      <c r="L53">
        <v>610977</v>
      </c>
    </row>
    <row r="54" spans="1:12" x14ac:dyDescent="0.35">
      <c r="A54">
        <v>2024</v>
      </c>
      <c r="B54">
        <v>2</v>
      </c>
      <c r="C54" t="s">
        <v>63</v>
      </c>
      <c r="D54" t="s">
        <v>89</v>
      </c>
      <c r="E54" t="s">
        <v>90</v>
      </c>
      <c r="F54">
        <v>786</v>
      </c>
      <c r="G54">
        <v>485733</v>
      </c>
      <c r="H54">
        <v>463044</v>
      </c>
      <c r="I54">
        <v>297836</v>
      </c>
      <c r="J54">
        <v>744260</v>
      </c>
      <c r="K54">
        <v>390790</v>
      </c>
      <c r="L54">
        <v>580570</v>
      </c>
    </row>
    <row r="55" spans="1:12" x14ac:dyDescent="0.35">
      <c r="A55">
        <v>2024</v>
      </c>
      <c r="B55">
        <v>2</v>
      </c>
      <c r="C55" t="s">
        <v>63</v>
      </c>
      <c r="D55" t="s">
        <v>91</v>
      </c>
      <c r="E55" t="s">
        <v>92</v>
      </c>
      <c r="F55">
        <v>98</v>
      </c>
      <c r="G55">
        <v>355141</v>
      </c>
      <c r="H55">
        <v>337786</v>
      </c>
      <c r="I55">
        <v>297836</v>
      </c>
      <c r="J55">
        <v>659890</v>
      </c>
      <c r="K55">
        <v>325336</v>
      </c>
      <c r="L55">
        <v>355790</v>
      </c>
    </row>
    <row r="56" spans="1:12" x14ac:dyDescent="0.35">
      <c r="A56">
        <v>2024</v>
      </c>
      <c r="B56">
        <v>2</v>
      </c>
      <c r="C56" t="s">
        <v>63</v>
      </c>
      <c r="D56" t="s">
        <v>93</v>
      </c>
      <c r="E56" t="s">
        <v>94</v>
      </c>
      <c r="F56">
        <v>4</v>
      </c>
      <c r="G56">
        <v>596688</v>
      </c>
      <c r="H56">
        <v>591630</v>
      </c>
      <c r="I56">
        <v>548538</v>
      </c>
      <c r="J56">
        <v>654956</v>
      </c>
      <c r="K56">
        <v>550804</v>
      </c>
      <c r="L56">
        <v>632456</v>
      </c>
    </row>
    <row r="57" spans="1:12" x14ac:dyDescent="0.35">
      <c r="A57">
        <v>2024</v>
      </c>
      <c r="B57">
        <v>2</v>
      </c>
      <c r="C57" t="s">
        <v>63</v>
      </c>
      <c r="D57" t="s">
        <v>95</v>
      </c>
      <c r="E57" t="s">
        <v>96</v>
      </c>
      <c r="F57">
        <v>15</v>
      </c>
      <c r="G57">
        <v>403674</v>
      </c>
      <c r="H57">
        <v>336073</v>
      </c>
      <c r="I57">
        <v>302836</v>
      </c>
      <c r="J57">
        <v>610939</v>
      </c>
      <c r="K57">
        <v>321073</v>
      </c>
      <c r="L57">
        <v>576038</v>
      </c>
    </row>
    <row r="58" spans="1:12" x14ac:dyDescent="0.35">
      <c r="A58">
        <v>2024</v>
      </c>
      <c r="B58">
        <v>2</v>
      </c>
      <c r="C58" t="s">
        <v>63</v>
      </c>
      <c r="D58" t="s">
        <v>97</v>
      </c>
      <c r="E58" t="s">
        <v>98</v>
      </c>
      <c r="F58">
        <v>254</v>
      </c>
      <c r="G58">
        <v>407071</v>
      </c>
      <c r="H58">
        <v>358474</v>
      </c>
      <c r="I58">
        <v>302836</v>
      </c>
      <c r="J58">
        <v>715879</v>
      </c>
      <c r="K58">
        <v>342366</v>
      </c>
      <c r="L58">
        <v>431936</v>
      </c>
    </row>
    <row r="59" spans="1:12" x14ac:dyDescent="0.35">
      <c r="A59">
        <v>2024</v>
      </c>
      <c r="B59">
        <v>2</v>
      </c>
      <c r="C59" t="s">
        <v>63</v>
      </c>
      <c r="D59" t="s">
        <v>99</v>
      </c>
      <c r="E59" t="s">
        <v>100</v>
      </c>
      <c r="F59">
        <v>449</v>
      </c>
      <c r="G59">
        <v>443997</v>
      </c>
      <c r="H59">
        <v>433044</v>
      </c>
      <c r="I59">
        <v>302836</v>
      </c>
      <c r="J59">
        <v>780954</v>
      </c>
      <c r="K59">
        <v>390322</v>
      </c>
      <c r="L59">
        <v>475495</v>
      </c>
    </row>
    <row r="60" spans="1:12" x14ac:dyDescent="0.35">
      <c r="A60">
        <v>2024</v>
      </c>
      <c r="B60">
        <v>2</v>
      </c>
      <c r="C60" t="s">
        <v>63</v>
      </c>
      <c r="D60" t="s">
        <v>101</v>
      </c>
      <c r="E60" t="s">
        <v>102</v>
      </c>
      <c r="F60">
        <v>11</v>
      </c>
      <c r="G60">
        <v>564988</v>
      </c>
      <c r="H60">
        <v>598538</v>
      </c>
      <c r="I60">
        <v>385324</v>
      </c>
      <c r="J60">
        <v>675861</v>
      </c>
      <c r="K60">
        <v>540584</v>
      </c>
      <c r="L60">
        <v>631444</v>
      </c>
    </row>
    <row r="61" spans="1:12" x14ac:dyDescent="0.35">
      <c r="A61">
        <v>2024</v>
      </c>
      <c r="B61">
        <v>2</v>
      </c>
      <c r="C61" t="s">
        <v>63</v>
      </c>
      <c r="D61" t="s">
        <v>103</v>
      </c>
      <c r="E61" t="s">
        <v>104</v>
      </c>
      <c r="F61">
        <v>7</v>
      </c>
      <c r="G61">
        <v>342890</v>
      </c>
      <c r="H61">
        <v>320336</v>
      </c>
      <c r="I61">
        <v>302836</v>
      </c>
      <c r="J61">
        <v>450495</v>
      </c>
      <c r="K61">
        <v>313573</v>
      </c>
      <c r="L61">
        <v>364866</v>
      </c>
    </row>
    <row r="62" spans="1:12" x14ac:dyDescent="0.35">
      <c r="A62">
        <v>2024</v>
      </c>
      <c r="B62">
        <v>2</v>
      </c>
      <c r="C62" t="s">
        <v>63</v>
      </c>
      <c r="D62" t="s">
        <v>105</v>
      </c>
      <c r="E62" t="s">
        <v>106</v>
      </c>
      <c r="F62">
        <v>39</v>
      </c>
      <c r="G62">
        <v>435912</v>
      </c>
      <c r="H62">
        <v>414485</v>
      </c>
      <c r="I62">
        <v>302836</v>
      </c>
      <c r="J62">
        <v>692824</v>
      </c>
      <c r="K62">
        <v>345286</v>
      </c>
      <c r="L62">
        <v>520903</v>
      </c>
    </row>
    <row r="63" spans="1:12" x14ac:dyDescent="0.35">
      <c r="A63">
        <v>2024</v>
      </c>
      <c r="B63">
        <v>2</v>
      </c>
      <c r="C63" t="s">
        <v>63</v>
      </c>
      <c r="D63" t="s">
        <v>107</v>
      </c>
      <c r="E63" t="s">
        <v>108</v>
      </c>
      <c r="F63">
        <v>2</v>
      </c>
      <c r="G63">
        <v>342366</v>
      </c>
      <c r="H63">
        <v>342366</v>
      </c>
      <c r="I63">
        <v>342366</v>
      </c>
      <c r="J63">
        <v>342366</v>
      </c>
      <c r="K63">
        <v>342366</v>
      </c>
      <c r="L63">
        <v>342366</v>
      </c>
    </row>
    <row r="64" spans="1:12" x14ac:dyDescent="0.35">
      <c r="A64">
        <v>2024</v>
      </c>
      <c r="B64">
        <v>2</v>
      </c>
      <c r="C64" t="s">
        <v>63</v>
      </c>
      <c r="D64" t="s">
        <v>109</v>
      </c>
      <c r="E64" t="s">
        <v>110</v>
      </c>
      <c r="F64">
        <v>4973</v>
      </c>
      <c r="G64">
        <v>544028</v>
      </c>
      <c r="H64">
        <v>504658</v>
      </c>
      <c r="I64">
        <v>407405</v>
      </c>
      <c r="J64">
        <v>808269</v>
      </c>
      <c r="K64">
        <v>443094</v>
      </c>
      <c r="L64">
        <v>663058</v>
      </c>
    </row>
    <row r="65" spans="1:12" x14ac:dyDescent="0.35">
      <c r="A65">
        <v>2024</v>
      </c>
      <c r="B65">
        <v>2</v>
      </c>
      <c r="C65" t="s">
        <v>63</v>
      </c>
      <c r="D65" t="s">
        <v>111</v>
      </c>
      <c r="E65" t="s">
        <v>112</v>
      </c>
      <c r="F65">
        <v>13885</v>
      </c>
      <c r="G65">
        <v>336756</v>
      </c>
      <c r="H65">
        <v>315519</v>
      </c>
      <c r="I65">
        <v>234373</v>
      </c>
      <c r="J65">
        <v>679890</v>
      </c>
      <c r="K65">
        <v>285752</v>
      </c>
      <c r="L65">
        <v>360052</v>
      </c>
    </row>
    <row r="66" spans="1:12" x14ac:dyDescent="0.35">
      <c r="A66">
        <v>2024</v>
      </c>
      <c r="B66">
        <v>2</v>
      </c>
      <c r="C66" t="s">
        <v>63</v>
      </c>
      <c r="D66" t="s">
        <v>113</v>
      </c>
      <c r="E66" t="s">
        <v>114</v>
      </c>
      <c r="F66">
        <v>7846</v>
      </c>
      <c r="G66">
        <v>321023</v>
      </c>
      <c r="H66">
        <v>305519</v>
      </c>
      <c r="I66">
        <v>260064</v>
      </c>
      <c r="J66">
        <v>575570</v>
      </c>
      <c r="K66">
        <v>280752</v>
      </c>
      <c r="L66">
        <v>335052</v>
      </c>
    </row>
    <row r="67" spans="1:12" x14ac:dyDescent="0.35">
      <c r="A67">
        <v>2024</v>
      </c>
      <c r="B67">
        <v>2</v>
      </c>
      <c r="C67" t="s">
        <v>63</v>
      </c>
      <c r="D67" t="s">
        <v>115</v>
      </c>
      <c r="E67" t="s">
        <v>116</v>
      </c>
      <c r="F67">
        <v>86</v>
      </c>
      <c r="G67">
        <v>599039</v>
      </c>
      <c r="H67">
        <v>600201</v>
      </c>
      <c r="I67">
        <v>417405</v>
      </c>
      <c r="J67">
        <v>826377</v>
      </c>
      <c r="K67">
        <v>472441</v>
      </c>
      <c r="L67">
        <v>727454</v>
      </c>
    </row>
    <row r="68" spans="1:12" x14ac:dyDescent="0.35">
      <c r="A68">
        <v>2024</v>
      </c>
      <c r="B68">
        <v>2</v>
      </c>
      <c r="C68" t="s">
        <v>63</v>
      </c>
      <c r="D68" t="s">
        <v>117</v>
      </c>
      <c r="E68" t="s">
        <v>118</v>
      </c>
      <c r="F68">
        <v>399</v>
      </c>
      <c r="G68">
        <v>569273</v>
      </c>
      <c r="H68">
        <v>527158</v>
      </c>
      <c r="I68">
        <v>407405</v>
      </c>
      <c r="J68">
        <v>793269</v>
      </c>
      <c r="K68">
        <v>446985</v>
      </c>
      <c r="L68">
        <v>693564</v>
      </c>
    </row>
    <row r="69" spans="1:12" x14ac:dyDescent="0.35">
      <c r="A69">
        <v>2024</v>
      </c>
      <c r="B69">
        <v>2</v>
      </c>
      <c r="C69" t="s">
        <v>63</v>
      </c>
      <c r="D69" t="s">
        <v>119</v>
      </c>
      <c r="E69" t="s">
        <v>120</v>
      </c>
      <c r="F69">
        <v>992</v>
      </c>
      <c r="G69">
        <v>488682</v>
      </c>
      <c r="H69">
        <v>467441</v>
      </c>
      <c r="I69">
        <v>407405</v>
      </c>
      <c r="J69">
        <v>788035</v>
      </c>
      <c r="K69">
        <v>434485</v>
      </c>
      <c r="L69">
        <v>514794</v>
      </c>
    </row>
    <row r="70" spans="1:12" x14ac:dyDescent="0.35">
      <c r="A70">
        <v>2024</v>
      </c>
      <c r="B70">
        <v>2</v>
      </c>
      <c r="C70" t="s">
        <v>63</v>
      </c>
      <c r="D70" t="s">
        <v>121</v>
      </c>
      <c r="E70" t="s">
        <v>122</v>
      </c>
      <c r="F70">
        <v>466</v>
      </c>
      <c r="G70">
        <v>461212</v>
      </c>
      <c r="H70">
        <v>449966</v>
      </c>
      <c r="I70">
        <v>315655</v>
      </c>
      <c r="J70">
        <v>672689</v>
      </c>
      <c r="K70">
        <v>414485</v>
      </c>
      <c r="L70">
        <v>525057</v>
      </c>
    </row>
    <row r="71" spans="1:12" x14ac:dyDescent="0.35">
      <c r="A71">
        <v>2024</v>
      </c>
      <c r="B71">
        <v>2</v>
      </c>
      <c r="C71" t="s">
        <v>63</v>
      </c>
      <c r="D71" t="s">
        <v>123</v>
      </c>
      <c r="E71" t="s">
        <v>124</v>
      </c>
      <c r="F71">
        <v>1</v>
      </c>
      <c r="G71">
        <v>305519</v>
      </c>
      <c r="H71">
        <v>305519</v>
      </c>
      <c r="I71">
        <v>305519</v>
      </c>
      <c r="J71">
        <v>305519</v>
      </c>
      <c r="K71">
        <v>305519</v>
      </c>
      <c r="L71">
        <v>305519</v>
      </c>
    </row>
    <row r="72" spans="1:12" x14ac:dyDescent="0.35">
      <c r="A72">
        <v>2024</v>
      </c>
      <c r="B72">
        <v>2</v>
      </c>
      <c r="C72" t="s">
        <v>63</v>
      </c>
      <c r="D72" t="s">
        <v>125</v>
      </c>
      <c r="E72" t="s">
        <v>126</v>
      </c>
      <c r="F72">
        <v>153</v>
      </c>
      <c r="G72">
        <v>397713</v>
      </c>
      <c r="H72">
        <v>352366</v>
      </c>
      <c r="I72">
        <v>325286</v>
      </c>
      <c r="J72">
        <v>684871</v>
      </c>
      <c r="K72">
        <v>339866</v>
      </c>
      <c r="L72">
        <v>373474</v>
      </c>
    </row>
    <row r="73" spans="1:12" x14ac:dyDescent="0.35">
      <c r="A73">
        <v>2024</v>
      </c>
      <c r="B73">
        <v>2</v>
      </c>
      <c r="C73" t="s">
        <v>63</v>
      </c>
      <c r="D73" t="s">
        <v>127</v>
      </c>
      <c r="E73" t="s">
        <v>128</v>
      </c>
      <c r="F73">
        <v>5049</v>
      </c>
      <c r="G73">
        <v>885805</v>
      </c>
      <c r="H73">
        <v>844692</v>
      </c>
      <c r="I73">
        <v>669169</v>
      </c>
      <c r="J73">
        <v>1433582</v>
      </c>
      <c r="K73">
        <v>731520</v>
      </c>
      <c r="L73">
        <v>960681</v>
      </c>
    </row>
    <row r="74" spans="1:12" x14ac:dyDescent="0.35">
      <c r="A74">
        <v>2024</v>
      </c>
      <c r="B74">
        <v>2</v>
      </c>
      <c r="C74" t="s">
        <v>63</v>
      </c>
      <c r="D74" t="s">
        <v>129</v>
      </c>
      <c r="E74" t="s">
        <v>130</v>
      </c>
      <c r="F74">
        <v>371</v>
      </c>
      <c r="G74">
        <v>499558</v>
      </c>
      <c r="H74">
        <v>509239</v>
      </c>
      <c r="I74">
        <v>342134</v>
      </c>
      <c r="J74">
        <v>746403</v>
      </c>
      <c r="K74">
        <v>412404</v>
      </c>
      <c r="L74">
        <v>573722</v>
      </c>
    </row>
    <row r="75" spans="1:12" x14ac:dyDescent="0.35">
      <c r="A75">
        <v>2024</v>
      </c>
      <c r="B75">
        <v>2</v>
      </c>
      <c r="C75" t="s">
        <v>63</v>
      </c>
      <c r="D75" t="s">
        <v>131</v>
      </c>
      <c r="E75" t="s">
        <v>132</v>
      </c>
      <c r="F75">
        <v>32418</v>
      </c>
      <c r="G75">
        <v>532458</v>
      </c>
      <c r="H75">
        <v>506534</v>
      </c>
      <c r="I75">
        <v>333389</v>
      </c>
      <c r="J75">
        <v>887702</v>
      </c>
      <c r="K75">
        <v>446838</v>
      </c>
      <c r="L75">
        <v>599967</v>
      </c>
    </row>
    <row r="76" spans="1:12" x14ac:dyDescent="0.35">
      <c r="A76">
        <v>2024</v>
      </c>
      <c r="B76">
        <v>2</v>
      </c>
      <c r="C76" t="s">
        <v>63</v>
      </c>
      <c r="D76" t="s">
        <v>133</v>
      </c>
      <c r="E76" t="s">
        <v>134</v>
      </c>
      <c r="F76">
        <v>83420</v>
      </c>
      <c r="G76">
        <v>403118</v>
      </c>
      <c r="H76">
        <v>405040</v>
      </c>
      <c r="I76">
        <v>266776</v>
      </c>
      <c r="J76">
        <v>584961</v>
      </c>
      <c r="K76">
        <v>323389</v>
      </c>
      <c r="L76">
        <v>462566</v>
      </c>
    </row>
    <row r="77" spans="1:12" x14ac:dyDescent="0.35">
      <c r="A77">
        <v>2024</v>
      </c>
      <c r="B77">
        <v>2</v>
      </c>
      <c r="C77" t="s">
        <v>63</v>
      </c>
      <c r="D77" t="s">
        <v>135</v>
      </c>
      <c r="E77" t="s">
        <v>136</v>
      </c>
      <c r="F77">
        <v>19837</v>
      </c>
      <c r="G77">
        <v>720973</v>
      </c>
      <c r="H77">
        <v>711555</v>
      </c>
      <c r="I77">
        <v>398883</v>
      </c>
      <c r="J77">
        <v>1056135</v>
      </c>
      <c r="K77">
        <v>652909</v>
      </c>
      <c r="L77">
        <v>809759</v>
      </c>
    </row>
    <row r="78" spans="1:12" x14ac:dyDescent="0.35">
      <c r="A78">
        <v>2024</v>
      </c>
      <c r="B78">
        <v>2</v>
      </c>
      <c r="C78" t="s">
        <v>63</v>
      </c>
      <c r="D78" t="s">
        <v>137</v>
      </c>
      <c r="E78" t="s">
        <v>138</v>
      </c>
      <c r="F78">
        <v>10253</v>
      </c>
      <c r="G78">
        <v>453463</v>
      </c>
      <c r="H78">
        <v>449523</v>
      </c>
      <c r="I78">
        <v>262563</v>
      </c>
      <c r="J78">
        <v>791017</v>
      </c>
      <c r="K78">
        <v>365926</v>
      </c>
      <c r="L78">
        <v>521556</v>
      </c>
    </row>
    <row r="79" spans="1:12" x14ac:dyDescent="0.35">
      <c r="A79">
        <v>2024</v>
      </c>
      <c r="B79">
        <v>2</v>
      </c>
      <c r="C79" t="s">
        <v>63</v>
      </c>
      <c r="D79" t="s">
        <v>139</v>
      </c>
      <c r="E79" t="s">
        <v>140</v>
      </c>
      <c r="F79">
        <v>35</v>
      </c>
      <c r="G79">
        <v>595279</v>
      </c>
      <c r="H79">
        <v>589967</v>
      </c>
      <c r="I79">
        <v>518403</v>
      </c>
      <c r="J79">
        <v>753687</v>
      </c>
      <c r="K79">
        <v>567467</v>
      </c>
      <c r="L79">
        <v>605237</v>
      </c>
    </row>
    <row r="80" spans="1:12" x14ac:dyDescent="0.35">
      <c r="A80">
        <v>2024</v>
      </c>
      <c r="B80">
        <v>2</v>
      </c>
      <c r="C80" t="s">
        <v>63</v>
      </c>
      <c r="D80" t="s">
        <v>141</v>
      </c>
      <c r="E80" t="s">
        <v>142</v>
      </c>
      <c r="F80">
        <v>732</v>
      </c>
      <c r="G80">
        <v>517040</v>
      </c>
      <c r="H80">
        <v>514055</v>
      </c>
      <c r="I80">
        <v>342134</v>
      </c>
      <c r="J80">
        <v>775809</v>
      </c>
      <c r="K80">
        <v>451838</v>
      </c>
      <c r="L80">
        <v>569967</v>
      </c>
    </row>
    <row r="81" spans="1:12" x14ac:dyDescent="0.35">
      <c r="A81">
        <v>2024</v>
      </c>
      <c r="B81">
        <v>2</v>
      </c>
      <c r="C81" t="s">
        <v>63</v>
      </c>
      <c r="D81" t="s">
        <v>143</v>
      </c>
      <c r="E81" t="s">
        <v>144</v>
      </c>
      <c r="F81">
        <v>4251</v>
      </c>
      <c r="G81">
        <v>287496</v>
      </c>
      <c r="H81">
        <v>278672</v>
      </c>
      <c r="I81">
        <v>229743</v>
      </c>
      <c r="J81">
        <v>464810</v>
      </c>
      <c r="K81">
        <v>262564</v>
      </c>
      <c r="L81">
        <v>303019</v>
      </c>
    </row>
    <row r="82" spans="1:12" x14ac:dyDescent="0.35">
      <c r="A82">
        <v>2024</v>
      </c>
      <c r="B82">
        <v>2</v>
      </c>
      <c r="C82" t="s">
        <v>63</v>
      </c>
      <c r="D82" t="s">
        <v>145</v>
      </c>
      <c r="E82" t="s">
        <v>146</v>
      </c>
      <c r="F82">
        <v>104</v>
      </c>
      <c r="G82">
        <v>462341</v>
      </c>
      <c r="H82">
        <v>463824</v>
      </c>
      <c r="I82">
        <v>343575</v>
      </c>
      <c r="J82">
        <v>590804</v>
      </c>
      <c r="K82">
        <v>446936</v>
      </c>
      <c r="L82">
        <v>486132</v>
      </c>
    </row>
    <row r="83" spans="1:12" x14ac:dyDescent="0.35">
      <c r="A83">
        <v>2024</v>
      </c>
      <c r="B83">
        <v>2</v>
      </c>
      <c r="C83" t="s">
        <v>63</v>
      </c>
      <c r="D83" t="s">
        <v>147</v>
      </c>
      <c r="E83" t="s">
        <v>148</v>
      </c>
      <c r="F83">
        <v>34</v>
      </c>
      <c r="G83">
        <v>370795</v>
      </c>
      <c r="H83">
        <v>341636</v>
      </c>
      <c r="I83">
        <v>302836</v>
      </c>
      <c r="J83">
        <v>483923</v>
      </c>
      <c r="K83">
        <v>328573</v>
      </c>
      <c r="L83">
        <v>424436</v>
      </c>
    </row>
    <row r="84" spans="1:12" x14ac:dyDescent="0.35">
      <c r="A84">
        <v>2024</v>
      </c>
      <c r="B84">
        <v>2</v>
      </c>
      <c r="C84" t="s">
        <v>63</v>
      </c>
      <c r="D84" t="s">
        <v>149</v>
      </c>
      <c r="E84" t="s">
        <v>150</v>
      </c>
      <c r="F84">
        <v>1618</v>
      </c>
      <c r="G84">
        <v>405762</v>
      </c>
      <c r="H84">
        <v>366452</v>
      </c>
      <c r="I84">
        <v>297836</v>
      </c>
      <c r="J84">
        <v>740916</v>
      </c>
      <c r="K84">
        <v>342366</v>
      </c>
      <c r="L84">
        <v>439436</v>
      </c>
    </row>
    <row r="85" spans="1:12" x14ac:dyDescent="0.35">
      <c r="A85">
        <v>2024</v>
      </c>
      <c r="B85">
        <v>2</v>
      </c>
      <c r="C85" t="s">
        <v>63</v>
      </c>
      <c r="D85" t="s">
        <v>151</v>
      </c>
      <c r="E85" t="s">
        <v>152</v>
      </c>
      <c r="F85">
        <v>648</v>
      </c>
      <c r="G85">
        <v>999315</v>
      </c>
      <c r="H85">
        <v>1040655</v>
      </c>
      <c r="I85">
        <v>690287</v>
      </c>
      <c r="J85">
        <v>1278458</v>
      </c>
      <c r="K85">
        <v>871977</v>
      </c>
      <c r="L85">
        <v>1116708</v>
      </c>
    </row>
    <row r="86" spans="1:12" x14ac:dyDescent="0.35">
      <c r="A86">
        <v>2024</v>
      </c>
      <c r="B86">
        <v>2</v>
      </c>
      <c r="C86" t="s">
        <v>63</v>
      </c>
      <c r="D86" t="s">
        <v>153</v>
      </c>
      <c r="E86" t="s">
        <v>154</v>
      </c>
      <c r="F86">
        <v>117</v>
      </c>
      <c r="G86">
        <v>641814</v>
      </c>
      <c r="H86">
        <v>653895</v>
      </c>
      <c r="I86">
        <v>411061</v>
      </c>
      <c r="J86">
        <v>812667</v>
      </c>
      <c r="K86">
        <v>549979</v>
      </c>
      <c r="L86">
        <v>742628</v>
      </c>
    </row>
    <row r="87" spans="1:12" x14ac:dyDescent="0.35">
      <c r="A87">
        <v>2024</v>
      </c>
      <c r="B87">
        <v>2</v>
      </c>
      <c r="C87" t="s">
        <v>63</v>
      </c>
      <c r="D87" t="s">
        <v>155</v>
      </c>
      <c r="E87" t="s">
        <v>156</v>
      </c>
      <c r="F87">
        <v>996</v>
      </c>
      <c r="G87">
        <v>392002</v>
      </c>
      <c r="H87">
        <v>364866</v>
      </c>
      <c r="I87">
        <v>260064</v>
      </c>
      <c r="J87">
        <v>717028</v>
      </c>
      <c r="K87">
        <v>316073</v>
      </c>
      <c r="L87">
        <v>429485</v>
      </c>
    </row>
    <row r="88" spans="1:12" x14ac:dyDescent="0.35">
      <c r="A88">
        <v>2024</v>
      </c>
      <c r="B88">
        <v>2</v>
      </c>
      <c r="C88" t="s">
        <v>63</v>
      </c>
      <c r="D88" t="s">
        <v>157</v>
      </c>
      <c r="E88" t="s">
        <v>158</v>
      </c>
      <c r="F88">
        <v>155</v>
      </c>
      <c r="G88">
        <v>478950</v>
      </c>
      <c r="H88">
        <v>456218</v>
      </c>
      <c r="I88">
        <v>325286</v>
      </c>
      <c r="J88">
        <v>705140</v>
      </c>
      <c r="K88">
        <v>380974</v>
      </c>
      <c r="L88">
        <v>570806</v>
      </c>
    </row>
    <row r="89" spans="1:12" x14ac:dyDescent="0.35">
      <c r="A89">
        <v>2024</v>
      </c>
      <c r="B89">
        <v>2</v>
      </c>
      <c r="C89" t="s">
        <v>63</v>
      </c>
      <c r="D89" t="s">
        <v>159</v>
      </c>
      <c r="E89" t="s">
        <v>160</v>
      </c>
      <c r="F89">
        <v>381</v>
      </c>
      <c r="G89">
        <v>443061</v>
      </c>
      <c r="H89">
        <v>431936</v>
      </c>
      <c r="I89">
        <v>302836</v>
      </c>
      <c r="J89">
        <v>700324</v>
      </c>
      <c r="K89">
        <v>382775</v>
      </c>
      <c r="L89">
        <v>476604</v>
      </c>
    </row>
    <row r="90" spans="1:12" x14ac:dyDescent="0.35">
      <c r="A90">
        <v>2024</v>
      </c>
      <c r="B90">
        <v>2</v>
      </c>
      <c r="C90" t="s">
        <v>63</v>
      </c>
      <c r="D90" t="s">
        <v>161</v>
      </c>
      <c r="E90" t="s">
        <v>162</v>
      </c>
      <c r="F90">
        <v>126</v>
      </c>
      <c r="G90">
        <v>468369</v>
      </c>
      <c r="H90">
        <v>439436</v>
      </c>
      <c r="I90">
        <v>302836</v>
      </c>
      <c r="J90">
        <v>707824</v>
      </c>
      <c r="K90">
        <v>358474</v>
      </c>
      <c r="L90">
        <v>560570</v>
      </c>
    </row>
    <row r="91" spans="1:12" x14ac:dyDescent="0.35">
      <c r="A91">
        <v>2024</v>
      </c>
      <c r="B91">
        <v>3</v>
      </c>
      <c r="C91" t="s">
        <v>66</v>
      </c>
      <c r="D91" t="s">
        <v>77</v>
      </c>
      <c r="E91" t="s">
        <v>78</v>
      </c>
      <c r="F91">
        <v>6</v>
      </c>
      <c r="G91">
        <v>461382</v>
      </c>
      <c r="H91">
        <v>497503</v>
      </c>
      <c r="I91">
        <v>313573</v>
      </c>
      <c r="J91">
        <v>575572</v>
      </c>
      <c r="K91">
        <v>313573</v>
      </c>
      <c r="L91">
        <v>570570</v>
      </c>
    </row>
    <row r="92" spans="1:12" x14ac:dyDescent="0.35">
      <c r="A92">
        <v>2024</v>
      </c>
      <c r="B92">
        <v>3</v>
      </c>
      <c r="C92" t="s">
        <v>66</v>
      </c>
      <c r="D92" t="s">
        <v>79</v>
      </c>
      <c r="E92" t="s">
        <v>80</v>
      </c>
      <c r="F92">
        <v>179</v>
      </c>
      <c r="G92">
        <v>467768</v>
      </c>
      <c r="H92">
        <v>429485</v>
      </c>
      <c r="I92">
        <v>302836</v>
      </c>
      <c r="J92">
        <v>712640</v>
      </c>
      <c r="K92">
        <v>353290</v>
      </c>
      <c r="L92">
        <v>575015</v>
      </c>
    </row>
    <row r="93" spans="1:12" x14ac:dyDescent="0.35">
      <c r="A93">
        <v>2024</v>
      </c>
      <c r="B93">
        <v>3</v>
      </c>
      <c r="C93" t="s">
        <v>66</v>
      </c>
      <c r="D93" t="s">
        <v>81</v>
      </c>
      <c r="E93" t="s">
        <v>82</v>
      </c>
      <c r="F93">
        <v>9</v>
      </c>
      <c r="G93">
        <v>644548</v>
      </c>
      <c r="H93">
        <v>642368</v>
      </c>
      <c r="I93">
        <v>516185</v>
      </c>
      <c r="J93">
        <v>700879</v>
      </c>
      <c r="K93">
        <v>634868</v>
      </c>
      <c r="L93">
        <v>680879</v>
      </c>
    </row>
    <row r="94" spans="1:12" x14ac:dyDescent="0.35">
      <c r="A94">
        <v>2024</v>
      </c>
      <c r="B94">
        <v>3</v>
      </c>
      <c r="C94" t="s">
        <v>66</v>
      </c>
      <c r="D94" t="s">
        <v>83</v>
      </c>
      <c r="E94" t="s">
        <v>84</v>
      </c>
      <c r="F94">
        <v>47</v>
      </c>
      <c r="G94">
        <v>490049</v>
      </c>
      <c r="H94">
        <v>486605</v>
      </c>
      <c r="I94">
        <v>325286</v>
      </c>
      <c r="J94">
        <v>659955</v>
      </c>
      <c r="K94">
        <v>358474</v>
      </c>
      <c r="L94">
        <v>620979</v>
      </c>
    </row>
    <row r="95" spans="1:12" x14ac:dyDescent="0.35">
      <c r="A95">
        <v>2024</v>
      </c>
      <c r="B95">
        <v>3</v>
      </c>
      <c r="C95" t="s">
        <v>66</v>
      </c>
      <c r="D95" t="s">
        <v>85</v>
      </c>
      <c r="E95" t="s">
        <v>86</v>
      </c>
      <c r="F95">
        <v>938</v>
      </c>
      <c r="G95">
        <v>513563</v>
      </c>
      <c r="H95">
        <v>498410</v>
      </c>
      <c r="I95">
        <v>302836</v>
      </c>
      <c r="J95">
        <v>760916</v>
      </c>
      <c r="K95">
        <v>427822</v>
      </c>
      <c r="L95">
        <v>607418</v>
      </c>
    </row>
    <row r="96" spans="1:12" x14ac:dyDescent="0.35">
      <c r="A96">
        <v>2024</v>
      </c>
      <c r="B96">
        <v>3</v>
      </c>
      <c r="C96" t="s">
        <v>66</v>
      </c>
      <c r="D96" t="s">
        <v>87</v>
      </c>
      <c r="E96" t="s">
        <v>88</v>
      </c>
      <c r="F96">
        <v>4</v>
      </c>
      <c r="G96">
        <v>570050</v>
      </c>
      <c r="H96">
        <v>569690</v>
      </c>
      <c r="I96">
        <v>528403</v>
      </c>
      <c r="J96">
        <v>612418</v>
      </c>
      <c r="K96">
        <v>528403</v>
      </c>
      <c r="L96">
        <v>610977</v>
      </c>
    </row>
    <row r="97" spans="1:12" x14ac:dyDescent="0.35">
      <c r="A97">
        <v>2024</v>
      </c>
      <c r="B97">
        <v>3</v>
      </c>
      <c r="C97" t="s">
        <v>66</v>
      </c>
      <c r="D97" t="s">
        <v>89</v>
      </c>
      <c r="E97" t="s">
        <v>90</v>
      </c>
      <c r="F97">
        <v>793</v>
      </c>
      <c r="G97">
        <v>483293</v>
      </c>
      <c r="H97">
        <v>457995</v>
      </c>
      <c r="I97">
        <v>297836</v>
      </c>
      <c r="J97">
        <v>740916</v>
      </c>
      <c r="K97">
        <v>392822</v>
      </c>
      <c r="L97">
        <v>578304</v>
      </c>
    </row>
    <row r="98" spans="1:12" x14ac:dyDescent="0.35">
      <c r="A98">
        <v>2024</v>
      </c>
      <c r="B98">
        <v>3</v>
      </c>
      <c r="C98" t="s">
        <v>66</v>
      </c>
      <c r="D98" t="s">
        <v>91</v>
      </c>
      <c r="E98" t="s">
        <v>92</v>
      </c>
      <c r="F98">
        <v>104</v>
      </c>
      <c r="G98">
        <v>352581</v>
      </c>
      <c r="H98">
        <v>332970</v>
      </c>
      <c r="I98">
        <v>297836</v>
      </c>
      <c r="J98">
        <v>646900</v>
      </c>
      <c r="K98">
        <v>325655</v>
      </c>
      <c r="L98">
        <v>355790</v>
      </c>
    </row>
    <row r="99" spans="1:12" x14ac:dyDescent="0.35">
      <c r="A99">
        <v>2024</v>
      </c>
      <c r="B99">
        <v>3</v>
      </c>
      <c r="C99" t="s">
        <v>66</v>
      </c>
      <c r="D99" t="s">
        <v>93</v>
      </c>
      <c r="E99" t="s">
        <v>94</v>
      </c>
      <c r="F99">
        <v>6</v>
      </c>
      <c r="G99">
        <v>536184</v>
      </c>
      <c r="H99">
        <v>549671</v>
      </c>
      <c r="I99">
        <v>302836</v>
      </c>
      <c r="J99">
        <v>654956</v>
      </c>
      <c r="K99">
        <v>527511</v>
      </c>
      <c r="L99">
        <v>632456</v>
      </c>
    </row>
    <row r="100" spans="1:12" x14ac:dyDescent="0.35">
      <c r="A100">
        <v>2024</v>
      </c>
      <c r="B100">
        <v>3</v>
      </c>
      <c r="C100" t="s">
        <v>66</v>
      </c>
      <c r="D100" t="s">
        <v>95</v>
      </c>
      <c r="E100" t="s">
        <v>96</v>
      </c>
      <c r="F100">
        <v>15</v>
      </c>
      <c r="G100">
        <v>407455</v>
      </c>
      <c r="H100">
        <v>360790</v>
      </c>
      <c r="I100">
        <v>302836</v>
      </c>
      <c r="J100">
        <v>610939</v>
      </c>
      <c r="K100">
        <v>313573</v>
      </c>
      <c r="L100">
        <v>576038</v>
      </c>
    </row>
    <row r="101" spans="1:12" x14ac:dyDescent="0.35">
      <c r="A101">
        <v>2024</v>
      </c>
      <c r="B101">
        <v>3</v>
      </c>
      <c r="C101" t="s">
        <v>66</v>
      </c>
      <c r="D101" t="s">
        <v>97</v>
      </c>
      <c r="E101" t="s">
        <v>98</v>
      </c>
      <c r="F101">
        <v>258</v>
      </c>
      <c r="G101">
        <v>403893</v>
      </c>
      <c r="H101">
        <v>357367</v>
      </c>
      <c r="I101">
        <v>302836</v>
      </c>
      <c r="J101">
        <v>715879</v>
      </c>
      <c r="K101">
        <v>342366</v>
      </c>
      <c r="L101">
        <v>432541</v>
      </c>
    </row>
    <row r="102" spans="1:12" x14ac:dyDescent="0.35">
      <c r="A102">
        <v>2024</v>
      </c>
      <c r="B102">
        <v>3</v>
      </c>
      <c r="C102" t="s">
        <v>66</v>
      </c>
      <c r="D102" t="s">
        <v>99</v>
      </c>
      <c r="E102" t="s">
        <v>100</v>
      </c>
      <c r="F102">
        <v>445</v>
      </c>
      <c r="G102">
        <v>441933</v>
      </c>
      <c r="H102">
        <v>430544</v>
      </c>
      <c r="I102">
        <v>302836</v>
      </c>
      <c r="J102">
        <v>693379</v>
      </c>
      <c r="K102">
        <v>389487</v>
      </c>
      <c r="L102">
        <v>479104</v>
      </c>
    </row>
    <row r="103" spans="1:12" x14ac:dyDescent="0.35">
      <c r="A103">
        <v>2024</v>
      </c>
      <c r="B103">
        <v>3</v>
      </c>
      <c r="C103" t="s">
        <v>66</v>
      </c>
      <c r="D103" t="s">
        <v>101</v>
      </c>
      <c r="E103" t="s">
        <v>102</v>
      </c>
      <c r="F103">
        <v>11</v>
      </c>
      <c r="G103">
        <v>563817</v>
      </c>
      <c r="H103">
        <v>598538</v>
      </c>
      <c r="I103">
        <v>385324</v>
      </c>
      <c r="J103">
        <v>675324</v>
      </c>
      <c r="K103">
        <v>540584</v>
      </c>
      <c r="L103">
        <v>628944</v>
      </c>
    </row>
    <row r="104" spans="1:12" x14ac:dyDescent="0.35">
      <c r="A104">
        <v>2024</v>
      </c>
      <c r="B104">
        <v>3</v>
      </c>
      <c r="C104" t="s">
        <v>66</v>
      </c>
      <c r="D104" t="s">
        <v>103</v>
      </c>
      <c r="E104" t="s">
        <v>104</v>
      </c>
      <c r="F104">
        <v>7</v>
      </c>
      <c r="G104">
        <v>344847</v>
      </c>
      <c r="H104">
        <v>324035</v>
      </c>
      <c r="I104">
        <v>302836</v>
      </c>
      <c r="J104">
        <v>450495</v>
      </c>
      <c r="K104">
        <v>320336</v>
      </c>
      <c r="L104">
        <v>364866</v>
      </c>
    </row>
    <row r="105" spans="1:12" x14ac:dyDescent="0.35">
      <c r="A105">
        <v>2024</v>
      </c>
      <c r="B105">
        <v>3</v>
      </c>
      <c r="C105" t="s">
        <v>66</v>
      </c>
      <c r="D105" t="s">
        <v>105</v>
      </c>
      <c r="E105" t="s">
        <v>106</v>
      </c>
      <c r="F105">
        <v>39</v>
      </c>
      <c r="G105">
        <v>435199</v>
      </c>
      <c r="H105">
        <v>406985</v>
      </c>
      <c r="I105">
        <v>302836</v>
      </c>
      <c r="J105">
        <v>692824</v>
      </c>
      <c r="K105">
        <v>345286</v>
      </c>
      <c r="L105">
        <v>520903</v>
      </c>
    </row>
    <row r="106" spans="1:12" x14ac:dyDescent="0.35">
      <c r="A106">
        <v>2024</v>
      </c>
      <c r="B106">
        <v>3</v>
      </c>
      <c r="C106" t="s">
        <v>66</v>
      </c>
      <c r="D106" t="s">
        <v>107</v>
      </c>
      <c r="E106" t="s">
        <v>108</v>
      </c>
      <c r="F106">
        <v>2</v>
      </c>
      <c r="G106">
        <v>349866</v>
      </c>
      <c r="H106">
        <v>349866</v>
      </c>
      <c r="I106">
        <v>342366</v>
      </c>
      <c r="J106">
        <v>357366</v>
      </c>
      <c r="K106">
        <v>342366</v>
      </c>
      <c r="L106">
        <v>357366</v>
      </c>
    </row>
    <row r="107" spans="1:12" x14ac:dyDescent="0.35">
      <c r="A107">
        <v>2024</v>
      </c>
      <c r="B107">
        <v>3</v>
      </c>
      <c r="C107" t="s">
        <v>66</v>
      </c>
      <c r="D107" t="s">
        <v>109</v>
      </c>
      <c r="E107" t="s">
        <v>110</v>
      </c>
      <c r="F107">
        <v>4981</v>
      </c>
      <c r="G107">
        <v>546697</v>
      </c>
      <c r="H107">
        <v>519658</v>
      </c>
      <c r="I107">
        <v>407405</v>
      </c>
      <c r="J107">
        <v>808269</v>
      </c>
      <c r="K107">
        <v>444485</v>
      </c>
      <c r="L107">
        <v>663058</v>
      </c>
    </row>
    <row r="108" spans="1:12" x14ac:dyDescent="0.35">
      <c r="A108">
        <v>2024</v>
      </c>
      <c r="B108">
        <v>3</v>
      </c>
      <c r="C108" t="s">
        <v>66</v>
      </c>
      <c r="D108" t="s">
        <v>111</v>
      </c>
      <c r="E108" t="s">
        <v>112</v>
      </c>
      <c r="F108">
        <v>14054</v>
      </c>
      <c r="G108">
        <v>339087</v>
      </c>
      <c r="H108">
        <v>321236</v>
      </c>
      <c r="I108">
        <v>234373</v>
      </c>
      <c r="J108">
        <v>666900</v>
      </c>
      <c r="K108">
        <v>285986</v>
      </c>
      <c r="L108">
        <v>360974</v>
      </c>
    </row>
    <row r="109" spans="1:12" x14ac:dyDescent="0.35">
      <c r="A109">
        <v>2024</v>
      </c>
      <c r="B109">
        <v>3</v>
      </c>
      <c r="C109" t="s">
        <v>66</v>
      </c>
      <c r="D109" t="s">
        <v>113</v>
      </c>
      <c r="E109" t="s">
        <v>114</v>
      </c>
      <c r="F109">
        <v>7822</v>
      </c>
      <c r="G109">
        <v>322119</v>
      </c>
      <c r="H109">
        <v>313019</v>
      </c>
      <c r="I109">
        <v>260064</v>
      </c>
      <c r="J109">
        <v>575570</v>
      </c>
      <c r="K109">
        <v>280986</v>
      </c>
      <c r="L109">
        <v>336442</v>
      </c>
    </row>
    <row r="110" spans="1:12" x14ac:dyDescent="0.35">
      <c r="A110">
        <v>2024</v>
      </c>
      <c r="B110">
        <v>3</v>
      </c>
      <c r="C110" t="s">
        <v>66</v>
      </c>
      <c r="D110" t="s">
        <v>115</v>
      </c>
      <c r="E110" t="s">
        <v>116</v>
      </c>
      <c r="F110">
        <v>86</v>
      </c>
      <c r="G110">
        <v>582308</v>
      </c>
      <c r="H110">
        <v>565298</v>
      </c>
      <c r="I110">
        <v>417405</v>
      </c>
      <c r="J110">
        <v>825535</v>
      </c>
      <c r="K110">
        <v>472441</v>
      </c>
      <c r="L110">
        <v>693058</v>
      </c>
    </row>
    <row r="111" spans="1:12" x14ac:dyDescent="0.35">
      <c r="A111">
        <v>2024</v>
      </c>
      <c r="B111">
        <v>3</v>
      </c>
      <c r="C111" t="s">
        <v>66</v>
      </c>
      <c r="D111" t="s">
        <v>117</v>
      </c>
      <c r="E111" t="s">
        <v>118</v>
      </c>
      <c r="F111">
        <v>400</v>
      </c>
      <c r="G111">
        <v>571970</v>
      </c>
      <c r="H111">
        <v>536878</v>
      </c>
      <c r="I111">
        <v>407405</v>
      </c>
      <c r="J111">
        <v>793269</v>
      </c>
      <c r="K111">
        <v>453094</v>
      </c>
      <c r="L111">
        <v>688058</v>
      </c>
    </row>
    <row r="112" spans="1:12" x14ac:dyDescent="0.35">
      <c r="A112">
        <v>2024</v>
      </c>
      <c r="B112">
        <v>3</v>
      </c>
      <c r="C112" t="s">
        <v>66</v>
      </c>
      <c r="D112" t="s">
        <v>119</v>
      </c>
      <c r="E112" t="s">
        <v>120</v>
      </c>
      <c r="F112">
        <v>1006</v>
      </c>
      <c r="G112">
        <v>492390</v>
      </c>
      <c r="H112">
        <v>472441</v>
      </c>
      <c r="I112">
        <v>407405</v>
      </c>
      <c r="J112">
        <v>788035</v>
      </c>
      <c r="K112">
        <v>429485</v>
      </c>
      <c r="L112">
        <v>527158</v>
      </c>
    </row>
    <row r="113" spans="1:12" x14ac:dyDescent="0.35">
      <c r="A113">
        <v>2024</v>
      </c>
      <c r="B113">
        <v>3</v>
      </c>
      <c r="C113" t="s">
        <v>66</v>
      </c>
      <c r="D113" t="s">
        <v>121</v>
      </c>
      <c r="E113" t="s">
        <v>122</v>
      </c>
      <c r="F113">
        <v>490</v>
      </c>
      <c r="G113">
        <v>458723</v>
      </c>
      <c r="H113">
        <v>448044</v>
      </c>
      <c r="I113">
        <v>313573</v>
      </c>
      <c r="J113">
        <v>672689</v>
      </c>
      <c r="K113">
        <v>410315</v>
      </c>
      <c r="L113">
        <v>517848</v>
      </c>
    </row>
    <row r="114" spans="1:12" x14ac:dyDescent="0.35">
      <c r="A114">
        <v>2024</v>
      </c>
      <c r="B114">
        <v>3</v>
      </c>
      <c r="C114" t="s">
        <v>66</v>
      </c>
      <c r="D114" t="s">
        <v>123</v>
      </c>
      <c r="E114" t="s">
        <v>124</v>
      </c>
      <c r="F114">
        <v>1</v>
      </c>
      <c r="G114">
        <v>322182</v>
      </c>
      <c r="H114">
        <v>322182</v>
      </c>
      <c r="I114">
        <v>322182</v>
      </c>
      <c r="J114">
        <v>322182</v>
      </c>
      <c r="K114">
        <v>322182</v>
      </c>
      <c r="L114">
        <v>322182</v>
      </c>
    </row>
    <row r="115" spans="1:12" x14ac:dyDescent="0.35">
      <c r="A115">
        <v>2024</v>
      </c>
      <c r="B115">
        <v>3</v>
      </c>
      <c r="C115" t="s">
        <v>66</v>
      </c>
      <c r="D115" t="s">
        <v>125</v>
      </c>
      <c r="E115" t="s">
        <v>126</v>
      </c>
      <c r="F115">
        <v>161</v>
      </c>
      <c r="G115">
        <v>399271</v>
      </c>
      <c r="H115">
        <v>352366</v>
      </c>
      <c r="I115">
        <v>325286</v>
      </c>
      <c r="J115">
        <v>680189</v>
      </c>
      <c r="K115">
        <v>339866</v>
      </c>
      <c r="L115">
        <v>380974</v>
      </c>
    </row>
    <row r="116" spans="1:12" x14ac:dyDescent="0.35">
      <c r="A116">
        <v>2024</v>
      </c>
      <c r="B116">
        <v>3</v>
      </c>
      <c r="C116" t="s">
        <v>66</v>
      </c>
      <c r="D116" t="s">
        <v>127</v>
      </c>
      <c r="E116" t="s">
        <v>128</v>
      </c>
      <c r="F116">
        <v>4928</v>
      </c>
      <c r="G116">
        <v>874536</v>
      </c>
      <c r="H116">
        <v>830855</v>
      </c>
      <c r="I116">
        <v>659169</v>
      </c>
      <c r="J116">
        <v>1436081</v>
      </c>
      <c r="K116">
        <v>731520</v>
      </c>
      <c r="L116">
        <v>934587</v>
      </c>
    </row>
    <row r="117" spans="1:12" x14ac:dyDescent="0.35">
      <c r="A117">
        <v>2024</v>
      </c>
      <c r="B117">
        <v>3</v>
      </c>
      <c r="C117" t="s">
        <v>66</v>
      </c>
      <c r="D117" t="s">
        <v>129</v>
      </c>
      <c r="E117" t="s">
        <v>130</v>
      </c>
      <c r="F117">
        <v>370</v>
      </c>
      <c r="G117">
        <v>497752</v>
      </c>
      <c r="H117">
        <v>510071</v>
      </c>
      <c r="I117">
        <v>355926</v>
      </c>
      <c r="J117">
        <v>725965</v>
      </c>
      <c r="K117">
        <v>411936</v>
      </c>
      <c r="L117">
        <v>572467</v>
      </c>
    </row>
    <row r="118" spans="1:12" x14ac:dyDescent="0.35">
      <c r="A118">
        <v>2024</v>
      </c>
      <c r="B118">
        <v>3</v>
      </c>
      <c r="C118" t="s">
        <v>66</v>
      </c>
      <c r="D118" t="s">
        <v>131</v>
      </c>
      <c r="E118" t="s">
        <v>132</v>
      </c>
      <c r="F118">
        <v>33056</v>
      </c>
      <c r="G118">
        <v>527422</v>
      </c>
      <c r="H118">
        <v>504239</v>
      </c>
      <c r="I118">
        <v>333389</v>
      </c>
      <c r="J118">
        <v>887702</v>
      </c>
      <c r="K118">
        <v>444573</v>
      </c>
      <c r="L118">
        <v>594967</v>
      </c>
    </row>
    <row r="119" spans="1:12" x14ac:dyDescent="0.35">
      <c r="A119">
        <v>2024</v>
      </c>
      <c r="B119">
        <v>3</v>
      </c>
      <c r="C119" t="s">
        <v>66</v>
      </c>
      <c r="D119" t="s">
        <v>133</v>
      </c>
      <c r="E119" t="s">
        <v>134</v>
      </c>
      <c r="F119">
        <v>83773</v>
      </c>
      <c r="G119">
        <v>402355</v>
      </c>
      <c r="H119">
        <v>405040</v>
      </c>
      <c r="I119">
        <v>266776</v>
      </c>
      <c r="J119">
        <v>584648</v>
      </c>
      <c r="K119">
        <v>323155</v>
      </c>
      <c r="L119">
        <v>460544</v>
      </c>
    </row>
    <row r="120" spans="1:12" x14ac:dyDescent="0.35">
      <c r="A120">
        <v>2024</v>
      </c>
      <c r="B120">
        <v>3</v>
      </c>
      <c r="C120" t="s">
        <v>66</v>
      </c>
      <c r="D120" t="s">
        <v>135</v>
      </c>
      <c r="E120" t="s">
        <v>136</v>
      </c>
      <c r="F120">
        <v>20009</v>
      </c>
      <c r="G120">
        <v>711058</v>
      </c>
      <c r="H120">
        <v>693205</v>
      </c>
      <c r="I120">
        <v>408882</v>
      </c>
      <c r="J120">
        <v>1044291</v>
      </c>
      <c r="K120">
        <v>640237</v>
      </c>
      <c r="L120">
        <v>800719</v>
      </c>
    </row>
    <row r="121" spans="1:12" x14ac:dyDescent="0.35">
      <c r="A121">
        <v>2024</v>
      </c>
      <c r="B121">
        <v>3</v>
      </c>
      <c r="C121" t="s">
        <v>66</v>
      </c>
      <c r="D121" t="s">
        <v>137</v>
      </c>
      <c r="E121" t="s">
        <v>138</v>
      </c>
      <c r="F121">
        <v>10445</v>
      </c>
      <c r="G121">
        <v>450720</v>
      </c>
      <c r="H121">
        <v>446838</v>
      </c>
      <c r="I121">
        <v>262563</v>
      </c>
      <c r="J121">
        <v>796317</v>
      </c>
      <c r="K121">
        <v>365926</v>
      </c>
      <c r="L121">
        <v>516555</v>
      </c>
    </row>
    <row r="122" spans="1:12" x14ac:dyDescent="0.35">
      <c r="A122">
        <v>2024</v>
      </c>
      <c r="B122">
        <v>3</v>
      </c>
      <c r="C122" t="s">
        <v>66</v>
      </c>
      <c r="D122" t="s">
        <v>139</v>
      </c>
      <c r="E122" t="s">
        <v>140</v>
      </c>
      <c r="F122">
        <v>35</v>
      </c>
      <c r="G122">
        <v>601104</v>
      </c>
      <c r="H122">
        <v>589967</v>
      </c>
      <c r="I122">
        <v>518403</v>
      </c>
      <c r="J122">
        <v>793817</v>
      </c>
      <c r="K122">
        <v>564967</v>
      </c>
      <c r="L122">
        <v>607467</v>
      </c>
    </row>
    <row r="123" spans="1:12" x14ac:dyDescent="0.35">
      <c r="A123">
        <v>2024</v>
      </c>
      <c r="B123">
        <v>3</v>
      </c>
      <c r="C123" t="s">
        <v>66</v>
      </c>
      <c r="D123" t="s">
        <v>141</v>
      </c>
      <c r="E123" t="s">
        <v>142</v>
      </c>
      <c r="F123">
        <v>761</v>
      </c>
      <c r="G123">
        <v>508823</v>
      </c>
      <c r="H123">
        <v>505903</v>
      </c>
      <c r="I123">
        <v>342134</v>
      </c>
      <c r="J123">
        <v>758921</v>
      </c>
      <c r="K123">
        <v>451838</v>
      </c>
      <c r="L123">
        <v>558722</v>
      </c>
    </row>
    <row r="124" spans="1:12" x14ac:dyDescent="0.35">
      <c r="A124">
        <v>2024</v>
      </c>
      <c r="B124">
        <v>3</v>
      </c>
      <c r="C124" t="s">
        <v>66</v>
      </c>
      <c r="D124" t="s">
        <v>143</v>
      </c>
      <c r="E124" t="s">
        <v>144</v>
      </c>
      <c r="F124">
        <v>4344</v>
      </c>
      <c r="G124">
        <v>286596</v>
      </c>
      <c r="H124">
        <v>277914</v>
      </c>
      <c r="I124">
        <v>229743</v>
      </c>
      <c r="J124">
        <v>446752</v>
      </c>
      <c r="K124">
        <v>262564</v>
      </c>
      <c r="L124">
        <v>301966</v>
      </c>
    </row>
    <row r="125" spans="1:12" x14ac:dyDescent="0.35">
      <c r="A125">
        <v>2024</v>
      </c>
      <c r="B125">
        <v>3</v>
      </c>
      <c r="C125" t="s">
        <v>66</v>
      </c>
      <c r="D125" t="s">
        <v>145</v>
      </c>
      <c r="E125" t="s">
        <v>146</v>
      </c>
      <c r="F125">
        <v>112</v>
      </c>
      <c r="G125">
        <v>454449</v>
      </c>
      <c r="H125">
        <v>454436</v>
      </c>
      <c r="I125">
        <v>343575</v>
      </c>
      <c r="J125">
        <v>590804</v>
      </c>
      <c r="K125">
        <v>435322</v>
      </c>
      <c r="L125">
        <v>474485</v>
      </c>
    </row>
    <row r="126" spans="1:12" x14ac:dyDescent="0.35">
      <c r="A126">
        <v>2024</v>
      </c>
      <c r="B126">
        <v>3</v>
      </c>
      <c r="C126" t="s">
        <v>66</v>
      </c>
      <c r="D126" t="s">
        <v>147</v>
      </c>
      <c r="E126" t="s">
        <v>148</v>
      </c>
      <c r="F126">
        <v>38</v>
      </c>
      <c r="G126">
        <v>361244</v>
      </c>
      <c r="H126">
        <v>336073</v>
      </c>
      <c r="I126">
        <v>297836</v>
      </c>
      <c r="J126">
        <v>515145</v>
      </c>
      <c r="K126">
        <v>313573</v>
      </c>
      <c r="L126">
        <v>416936</v>
      </c>
    </row>
    <row r="127" spans="1:12" x14ac:dyDescent="0.35">
      <c r="A127">
        <v>2024</v>
      </c>
      <c r="B127">
        <v>3</v>
      </c>
      <c r="C127" t="s">
        <v>66</v>
      </c>
      <c r="D127" t="s">
        <v>149</v>
      </c>
      <c r="E127" t="s">
        <v>150</v>
      </c>
      <c r="F127">
        <v>1672</v>
      </c>
      <c r="G127">
        <v>401117</v>
      </c>
      <c r="H127">
        <v>364866</v>
      </c>
      <c r="I127">
        <v>297836</v>
      </c>
      <c r="J127">
        <v>740916</v>
      </c>
      <c r="K127">
        <v>340655</v>
      </c>
      <c r="L127">
        <v>431936</v>
      </c>
    </row>
    <row r="128" spans="1:12" x14ac:dyDescent="0.35">
      <c r="A128">
        <v>2024</v>
      </c>
      <c r="B128">
        <v>3</v>
      </c>
      <c r="C128" t="s">
        <v>66</v>
      </c>
      <c r="D128" t="s">
        <v>151</v>
      </c>
      <c r="E128" t="s">
        <v>152</v>
      </c>
      <c r="F128">
        <v>617</v>
      </c>
      <c r="G128">
        <v>1015700</v>
      </c>
      <c r="H128">
        <v>1044725</v>
      </c>
      <c r="I128">
        <v>690287</v>
      </c>
      <c r="J128">
        <v>1285955</v>
      </c>
      <c r="K128">
        <v>920118</v>
      </c>
      <c r="L128">
        <v>1124208</v>
      </c>
    </row>
    <row r="129" spans="1:12" x14ac:dyDescent="0.35">
      <c r="A129">
        <v>2024</v>
      </c>
      <c r="B129">
        <v>3</v>
      </c>
      <c r="C129" t="s">
        <v>66</v>
      </c>
      <c r="D129" t="s">
        <v>153</v>
      </c>
      <c r="E129" t="s">
        <v>154</v>
      </c>
      <c r="F129">
        <v>117</v>
      </c>
      <c r="G129">
        <v>647507</v>
      </c>
      <c r="H129">
        <v>653895</v>
      </c>
      <c r="I129">
        <v>411061</v>
      </c>
      <c r="J129">
        <v>812667</v>
      </c>
      <c r="K129">
        <v>552480</v>
      </c>
      <c r="L129">
        <v>742628</v>
      </c>
    </row>
    <row r="130" spans="1:12" x14ac:dyDescent="0.35">
      <c r="A130">
        <v>2024</v>
      </c>
      <c r="B130">
        <v>3</v>
      </c>
      <c r="C130" t="s">
        <v>66</v>
      </c>
      <c r="D130" t="s">
        <v>155</v>
      </c>
      <c r="E130" t="s">
        <v>156</v>
      </c>
      <c r="F130">
        <v>994</v>
      </c>
      <c r="G130">
        <v>390677</v>
      </c>
      <c r="H130">
        <v>365094</v>
      </c>
      <c r="I130">
        <v>260064</v>
      </c>
      <c r="J130">
        <v>710324</v>
      </c>
      <c r="K130">
        <v>318019</v>
      </c>
      <c r="L130">
        <v>424436</v>
      </c>
    </row>
    <row r="131" spans="1:12" x14ac:dyDescent="0.35">
      <c r="A131">
        <v>2024</v>
      </c>
      <c r="B131">
        <v>3</v>
      </c>
      <c r="C131" t="s">
        <v>66</v>
      </c>
      <c r="D131" t="s">
        <v>157</v>
      </c>
      <c r="E131" t="s">
        <v>158</v>
      </c>
      <c r="F131">
        <v>157</v>
      </c>
      <c r="G131">
        <v>472978</v>
      </c>
      <c r="H131">
        <v>443046</v>
      </c>
      <c r="I131">
        <v>325286</v>
      </c>
      <c r="J131">
        <v>705140</v>
      </c>
      <c r="K131">
        <v>385322</v>
      </c>
      <c r="L131">
        <v>561038</v>
      </c>
    </row>
    <row r="132" spans="1:12" x14ac:dyDescent="0.35">
      <c r="A132">
        <v>2024</v>
      </c>
      <c r="B132">
        <v>3</v>
      </c>
      <c r="C132" t="s">
        <v>66</v>
      </c>
      <c r="D132" t="s">
        <v>159</v>
      </c>
      <c r="E132" t="s">
        <v>160</v>
      </c>
      <c r="F132">
        <v>389</v>
      </c>
      <c r="G132">
        <v>438579</v>
      </c>
      <c r="H132">
        <v>426936</v>
      </c>
      <c r="I132">
        <v>302836</v>
      </c>
      <c r="J132">
        <v>700324</v>
      </c>
      <c r="K132">
        <v>375322</v>
      </c>
      <c r="L132">
        <v>472997</v>
      </c>
    </row>
    <row r="133" spans="1:12" x14ac:dyDescent="0.35">
      <c r="A133">
        <v>2024</v>
      </c>
      <c r="B133">
        <v>3</v>
      </c>
      <c r="C133" t="s">
        <v>66</v>
      </c>
      <c r="D133" t="s">
        <v>161</v>
      </c>
      <c r="E133" t="s">
        <v>162</v>
      </c>
      <c r="F133">
        <v>126</v>
      </c>
      <c r="G133">
        <v>466602</v>
      </c>
      <c r="H133">
        <v>439738</v>
      </c>
      <c r="I133">
        <v>302836</v>
      </c>
      <c r="J133">
        <v>707824</v>
      </c>
      <c r="K133">
        <v>358474</v>
      </c>
      <c r="L133">
        <v>553304</v>
      </c>
    </row>
    <row r="134" spans="1:12" x14ac:dyDescent="0.35">
      <c r="A134">
        <v>2024</v>
      </c>
      <c r="B134">
        <v>4</v>
      </c>
      <c r="C134" t="s">
        <v>67</v>
      </c>
      <c r="D134" t="s">
        <v>77</v>
      </c>
      <c r="E134" t="s">
        <v>78</v>
      </c>
      <c r="F134">
        <v>6</v>
      </c>
      <c r="G134">
        <v>461382</v>
      </c>
      <c r="H134">
        <v>497503</v>
      </c>
      <c r="I134">
        <v>313573</v>
      </c>
      <c r="J134">
        <v>575572</v>
      </c>
      <c r="K134">
        <v>313573</v>
      </c>
      <c r="L134">
        <v>570570</v>
      </c>
    </row>
    <row r="135" spans="1:12" x14ac:dyDescent="0.35">
      <c r="A135">
        <v>2024</v>
      </c>
      <c r="B135">
        <v>4</v>
      </c>
      <c r="C135" t="s">
        <v>67</v>
      </c>
      <c r="D135" t="s">
        <v>79</v>
      </c>
      <c r="E135" t="s">
        <v>80</v>
      </c>
      <c r="F135">
        <v>177</v>
      </c>
      <c r="G135">
        <v>469890</v>
      </c>
      <c r="H135">
        <v>425040</v>
      </c>
      <c r="I135">
        <v>302836</v>
      </c>
      <c r="J135">
        <v>712640</v>
      </c>
      <c r="K135">
        <v>364866</v>
      </c>
      <c r="L135">
        <v>575015</v>
      </c>
    </row>
    <row r="136" spans="1:12" x14ac:dyDescent="0.35">
      <c r="A136">
        <v>2024</v>
      </c>
      <c r="B136">
        <v>4</v>
      </c>
      <c r="C136" t="s">
        <v>67</v>
      </c>
      <c r="D136" t="s">
        <v>81</v>
      </c>
      <c r="E136" t="s">
        <v>82</v>
      </c>
      <c r="F136">
        <v>9</v>
      </c>
      <c r="G136">
        <v>641740</v>
      </c>
      <c r="H136">
        <v>652368</v>
      </c>
      <c r="I136">
        <v>516185</v>
      </c>
      <c r="J136">
        <v>700879</v>
      </c>
      <c r="K136">
        <v>634868</v>
      </c>
      <c r="L136">
        <v>673379</v>
      </c>
    </row>
    <row r="137" spans="1:12" x14ac:dyDescent="0.35">
      <c r="A137">
        <v>2024</v>
      </c>
      <c r="B137">
        <v>4</v>
      </c>
      <c r="C137" t="s">
        <v>67</v>
      </c>
      <c r="D137" t="s">
        <v>83</v>
      </c>
      <c r="E137" t="s">
        <v>84</v>
      </c>
      <c r="F137">
        <v>47</v>
      </c>
      <c r="G137">
        <v>490628</v>
      </c>
      <c r="H137">
        <v>484104</v>
      </c>
      <c r="I137">
        <v>325286</v>
      </c>
      <c r="J137">
        <v>659955</v>
      </c>
      <c r="K137">
        <v>365322</v>
      </c>
      <c r="L137">
        <v>620979</v>
      </c>
    </row>
    <row r="138" spans="1:12" x14ac:dyDescent="0.35">
      <c r="A138">
        <v>2024</v>
      </c>
      <c r="B138">
        <v>4</v>
      </c>
      <c r="C138" t="s">
        <v>67</v>
      </c>
      <c r="D138" t="s">
        <v>85</v>
      </c>
      <c r="E138" t="s">
        <v>86</v>
      </c>
      <c r="F138">
        <v>934</v>
      </c>
      <c r="G138">
        <v>510911</v>
      </c>
      <c r="H138">
        <v>492534</v>
      </c>
      <c r="I138">
        <v>302836</v>
      </c>
      <c r="J138">
        <v>760916</v>
      </c>
      <c r="K138">
        <v>419768</v>
      </c>
      <c r="L138">
        <v>605939</v>
      </c>
    </row>
    <row r="139" spans="1:12" x14ac:dyDescent="0.35">
      <c r="A139">
        <v>2024</v>
      </c>
      <c r="B139">
        <v>4</v>
      </c>
      <c r="C139" t="s">
        <v>67</v>
      </c>
      <c r="D139" t="s">
        <v>87</v>
      </c>
      <c r="E139" t="s">
        <v>88</v>
      </c>
      <c r="F139">
        <v>4</v>
      </c>
      <c r="G139">
        <v>570050</v>
      </c>
      <c r="H139">
        <v>569690</v>
      </c>
      <c r="I139">
        <v>528403</v>
      </c>
      <c r="J139">
        <v>612418</v>
      </c>
      <c r="K139">
        <v>528403</v>
      </c>
      <c r="L139">
        <v>610977</v>
      </c>
    </row>
    <row r="140" spans="1:12" x14ac:dyDescent="0.35">
      <c r="A140">
        <v>2024</v>
      </c>
      <c r="B140">
        <v>4</v>
      </c>
      <c r="C140" t="s">
        <v>67</v>
      </c>
      <c r="D140" t="s">
        <v>89</v>
      </c>
      <c r="E140" t="s">
        <v>90</v>
      </c>
      <c r="F140">
        <v>815</v>
      </c>
      <c r="G140">
        <v>483140</v>
      </c>
      <c r="H140">
        <v>455546</v>
      </c>
      <c r="I140">
        <v>297836</v>
      </c>
      <c r="J140">
        <v>740916</v>
      </c>
      <c r="K140">
        <v>392822</v>
      </c>
      <c r="L140">
        <v>577418</v>
      </c>
    </row>
    <row r="141" spans="1:12" x14ac:dyDescent="0.35">
      <c r="A141">
        <v>2024</v>
      </c>
      <c r="B141">
        <v>4</v>
      </c>
      <c r="C141" t="s">
        <v>67</v>
      </c>
      <c r="D141" t="s">
        <v>91</v>
      </c>
      <c r="E141" t="s">
        <v>92</v>
      </c>
      <c r="F141">
        <v>103</v>
      </c>
      <c r="G141">
        <v>353018</v>
      </c>
      <c r="H141">
        <v>340286</v>
      </c>
      <c r="I141">
        <v>297836</v>
      </c>
      <c r="J141">
        <v>646900</v>
      </c>
      <c r="K141">
        <v>325655</v>
      </c>
      <c r="L141">
        <v>355790</v>
      </c>
    </row>
    <row r="142" spans="1:12" x14ac:dyDescent="0.35">
      <c r="A142">
        <v>2024</v>
      </c>
      <c r="B142">
        <v>4</v>
      </c>
      <c r="C142" t="s">
        <v>67</v>
      </c>
      <c r="D142" t="s">
        <v>93</v>
      </c>
      <c r="E142" t="s">
        <v>94</v>
      </c>
      <c r="F142">
        <v>19</v>
      </c>
      <c r="G142">
        <v>442463</v>
      </c>
      <c r="H142">
        <v>403848</v>
      </c>
      <c r="I142">
        <v>302836</v>
      </c>
      <c r="J142">
        <v>654956</v>
      </c>
      <c r="K142">
        <v>396348</v>
      </c>
      <c r="L142">
        <v>467810</v>
      </c>
    </row>
    <row r="143" spans="1:12" x14ac:dyDescent="0.35">
      <c r="A143">
        <v>2024</v>
      </c>
      <c r="B143">
        <v>4</v>
      </c>
      <c r="C143" t="s">
        <v>67</v>
      </c>
      <c r="D143" t="s">
        <v>95</v>
      </c>
      <c r="E143" t="s">
        <v>96</v>
      </c>
      <c r="F143">
        <v>15</v>
      </c>
      <c r="G143">
        <v>410968</v>
      </c>
      <c r="H143">
        <v>350550</v>
      </c>
      <c r="I143">
        <v>302836</v>
      </c>
      <c r="J143">
        <v>610939</v>
      </c>
      <c r="K143">
        <v>313573</v>
      </c>
      <c r="L143">
        <v>576038</v>
      </c>
    </row>
    <row r="144" spans="1:12" x14ac:dyDescent="0.35">
      <c r="A144">
        <v>2024</v>
      </c>
      <c r="B144">
        <v>4</v>
      </c>
      <c r="C144" t="s">
        <v>67</v>
      </c>
      <c r="D144" t="s">
        <v>97</v>
      </c>
      <c r="E144" t="s">
        <v>98</v>
      </c>
      <c r="F144">
        <v>257</v>
      </c>
      <c r="G144">
        <v>404201</v>
      </c>
      <c r="H144">
        <v>357366</v>
      </c>
      <c r="I144">
        <v>302836</v>
      </c>
      <c r="J144">
        <v>715879</v>
      </c>
      <c r="K144">
        <v>342366</v>
      </c>
      <c r="L144">
        <v>422822</v>
      </c>
    </row>
    <row r="145" spans="1:12" x14ac:dyDescent="0.35">
      <c r="A145">
        <v>2024</v>
      </c>
      <c r="B145">
        <v>4</v>
      </c>
      <c r="C145" t="s">
        <v>67</v>
      </c>
      <c r="D145" t="s">
        <v>99</v>
      </c>
      <c r="E145" t="s">
        <v>100</v>
      </c>
      <c r="F145">
        <v>446</v>
      </c>
      <c r="G145">
        <v>442167</v>
      </c>
      <c r="H145">
        <v>430544</v>
      </c>
      <c r="I145">
        <v>302836</v>
      </c>
      <c r="J145">
        <v>693379</v>
      </c>
      <c r="K145">
        <v>389487</v>
      </c>
      <c r="L145">
        <v>480546</v>
      </c>
    </row>
    <row r="146" spans="1:12" x14ac:dyDescent="0.35">
      <c r="A146">
        <v>2024</v>
      </c>
      <c r="B146">
        <v>4</v>
      </c>
      <c r="C146" t="s">
        <v>67</v>
      </c>
      <c r="D146" t="s">
        <v>101</v>
      </c>
      <c r="E146" t="s">
        <v>102</v>
      </c>
      <c r="F146">
        <v>11</v>
      </c>
      <c r="G146">
        <v>563817</v>
      </c>
      <c r="H146">
        <v>598538</v>
      </c>
      <c r="I146">
        <v>385324</v>
      </c>
      <c r="J146">
        <v>675324</v>
      </c>
      <c r="K146">
        <v>540584</v>
      </c>
      <c r="L146">
        <v>628944</v>
      </c>
    </row>
    <row r="147" spans="1:12" x14ac:dyDescent="0.35">
      <c r="A147">
        <v>2024</v>
      </c>
      <c r="B147">
        <v>4</v>
      </c>
      <c r="C147" t="s">
        <v>67</v>
      </c>
      <c r="D147" t="s">
        <v>103</v>
      </c>
      <c r="E147" t="s">
        <v>104</v>
      </c>
      <c r="F147">
        <v>7</v>
      </c>
      <c r="G147">
        <v>346155</v>
      </c>
      <c r="H147">
        <v>332459</v>
      </c>
      <c r="I147">
        <v>302836</v>
      </c>
      <c r="J147">
        <v>450495</v>
      </c>
      <c r="K147">
        <v>321073</v>
      </c>
      <c r="L147">
        <v>364866</v>
      </c>
    </row>
    <row r="148" spans="1:12" x14ac:dyDescent="0.35">
      <c r="A148">
        <v>2024</v>
      </c>
      <c r="B148">
        <v>4</v>
      </c>
      <c r="C148" t="s">
        <v>67</v>
      </c>
      <c r="D148" t="s">
        <v>105</v>
      </c>
      <c r="E148" t="s">
        <v>106</v>
      </c>
      <c r="F148">
        <v>38</v>
      </c>
      <c r="G148">
        <v>435064</v>
      </c>
      <c r="H148">
        <v>403235</v>
      </c>
      <c r="I148">
        <v>302836</v>
      </c>
      <c r="J148">
        <v>692824</v>
      </c>
      <c r="K148">
        <v>342368</v>
      </c>
      <c r="L148">
        <v>520903</v>
      </c>
    </row>
    <row r="149" spans="1:12" x14ac:dyDescent="0.35">
      <c r="A149">
        <v>2024</v>
      </c>
      <c r="B149">
        <v>4</v>
      </c>
      <c r="C149" t="s">
        <v>67</v>
      </c>
      <c r="D149" t="s">
        <v>107</v>
      </c>
      <c r="E149" t="s">
        <v>108</v>
      </c>
      <c r="F149">
        <v>2</v>
      </c>
      <c r="G149">
        <v>349866</v>
      </c>
      <c r="H149">
        <v>349866</v>
      </c>
      <c r="I149">
        <v>342366</v>
      </c>
      <c r="J149">
        <v>357366</v>
      </c>
      <c r="K149">
        <v>342366</v>
      </c>
      <c r="L149">
        <v>357366</v>
      </c>
    </row>
    <row r="150" spans="1:12" x14ac:dyDescent="0.35">
      <c r="A150">
        <v>2024</v>
      </c>
      <c r="B150">
        <v>4</v>
      </c>
      <c r="C150" t="s">
        <v>67</v>
      </c>
      <c r="D150" t="s">
        <v>109</v>
      </c>
      <c r="E150" t="s">
        <v>110</v>
      </c>
      <c r="F150">
        <v>5010</v>
      </c>
      <c r="G150">
        <v>545667</v>
      </c>
      <c r="H150">
        <v>514658</v>
      </c>
      <c r="I150">
        <v>407405</v>
      </c>
      <c r="J150">
        <v>808269</v>
      </c>
      <c r="K150">
        <v>444485</v>
      </c>
      <c r="L150">
        <v>663058</v>
      </c>
    </row>
    <row r="151" spans="1:12" x14ac:dyDescent="0.35">
      <c r="A151">
        <v>2024</v>
      </c>
      <c r="B151">
        <v>4</v>
      </c>
      <c r="C151" t="s">
        <v>67</v>
      </c>
      <c r="D151" t="s">
        <v>111</v>
      </c>
      <c r="E151" t="s">
        <v>112</v>
      </c>
      <c r="F151">
        <v>14144</v>
      </c>
      <c r="G151">
        <v>338698</v>
      </c>
      <c r="H151">
        <v>318942</v>
      </c>
      <c r="I151">
        <v>234373</v>
      </c>
      <c r="J151">
        <v>670977</v>
      </c>
      <c r="K151">
        <v>285986</v>
      </c>
      <c r="L151">
        <v>362552</v>
      </c>
    </row>
    <row r="152" spans="1:12" x14ac:dyDescent="0.35">
      <c r="A152">
        <v>2024</v>
      </c>
      <c r="B152">
        <v>4</v>
      </c>
      <c r="C152" t="s">
        <v>67</v>
      </c>
      <c r="D152" t="s">
        <v>113</v>
      </c>
      <c r="E152" t="s">
        <v>114</v>
      </c>
      <c r="F152">
        <v>7876</v>
      </c>
      <c r="G152">
        <v>320397</v>
      </c>
      <c r="H152">
        <v>308942</v>
      </c>
      <c r="I152">
        <v>260064</v>
      </c>
      <c r="J152">
        <v>583955</v>
      </c>
      <c r="K152">
        <v>280752</v>
      </c>
      <c r="L152">
        <v>335052</v>
      </c>
    </row>
    <row r="153" spans="1:12" x14ac:dyDescent="0.35">
      <c r="A153">
        <v>2024</v>
      </c>
      <c r="B153">
        <v>4</v>
      </c>
      <c r="C153" t="s">
        <v>67</v>
      </c>
      <c r="D153" t="s">
        <v>115</v>
      </c>
      <c r="E153" t="s">
        <v>116</v>
      </c>
      <c r="F153">
        <v>88</v>
      </c>
      <c r="G153">
        <v>581767</v>
      </c>
      <c r="H153">
        <v>565250</v>
      </c>
      <c r="I153">
        <v>417405</v>
      </c>
      <c r="J153">
        <v>825535</v>
      </c>
      <c r="K153">
        <v>479941</v>
      </c>
      <c r="L153">
        <v>688564</v>
      </c>
    </row>
    <row r="154" spans="1:12" x14ac:dyDescent="0.35">
      <c r="A154">
        <v>2024</v>
      </c>
      <c r="B154">
        <v>4</v>
      </c>
      <c r="C154" t="s">
        <v>67</v>
      </c>
      <c r="D154" t="s">
        <v>117</v>
      </c>
      <c r="E154" t="s">
        <v>118</v>
      </c>
      <c r="F154">
        <v>406</v>
      </c>
      <c r="G154">
        <v>570323</v>
      </c>
      <c r="H154">
        <v>537478</v>
      </c>
      <c r="I154">
        <v>407405</v>
      </c>
      <c r="J154">
        <v>793269</v>
      </c>
      <c r="K154">
        <v>453094</v>
      </c>
      <c r="L154">
        <v>688564</v>
      </c>
    </row>
    <row r="155" spans="1:12" x14ac:dyDescent="0.35">
      <c r="A155">
        <v>2024</v>
      </c>
      <c r="B155">
        <v>4</v>
      </c>
      <c r="C155" t="s">
        <v>67</v>
      </c>
      <c r="D155" t="s">
        <v>119</v>
      </c>
      <c r="E155" t="s">
        <v>120</v>
      </c>
      <c r="F155">
        <v>1020</v>
      </c>
      <c r="G155">
        <v>490321</v>
      </c>
      <c r="H155">
        <v>469941</v>
      </c>
      <c r="I155">
        <v>407405</v>
      </c>
      <c r="J155">
        <v>788035</v>
      </c>
      <c r="K155">
        <v>429485</v>
      </c>
      <c r="L155">
        <v>522158</v>
      </c>
    </row>
    <row r="156" spans="1:12" x14ac:dyDescent="0.35">
      <c r="A156">
        <v>2024</v>
      </c>
      <c r="B156">
        <v>4</v>
      </c>
      <c r="C156" t="s">
        <v>67</v>
      </c>
      <c r="D156" t="s">
        <v>121</v>
      </c>
      <c r="E156" t="s">
        <v>122</v>
      </c>
      <c r="F156">
        <v>507</v>
      </c>
      <c r="G156">
        <v>455017</v>
      </c>
      <c r="H156">
        <v>446936</v>
      </c>
      <c r="I156">
        <v>311073</v>
      </c>
      <c r="J156">
        <v>672689</v>
      </c>
      <c r="K156">
        <v>405322</v>
      </c>
      <c r="L156">
        <v>510348</v>
      </c>
    </row>
    <row r="157" spans="1:12" x14ac:dyDescent="0.35">
      <c r="A157">
        <v>2024</v>
      </c>
      <c r="B157">
        <v>4</v>
      </c>
      <c r="C157" t="s">
        <v>67</v>
      </c>
      <c r="D157" t="s">
        <v>123</v>
      </c>
      <c r="E157" t="s">
        <v>124</v>
      </c>
      <c r="F157">
        <v>1</v>
      </c>
      <c r="G157">
        <v>318942</v>
      </c>
      <c r="H157">
        <v>318942</v>
      </c>
      <c r="I157">
        <v>318942</v>
      </c>
      <c r="J157">
        <v>318942</v>
      </c>
      <c r="K157">
        <v>318942</v>
      </c>
      <c r="L157">
        <v>318942</v>
      </c>
    </row>
    <row r="158" spans="1:12" x14ac:dyDescent="0.35">
      <c r="A158">
        <v>2024</v>
      </c>
      <c r="B158">
        <v>4</v>
      </c>
      <c r="C158" t="s">
        <v>67</v>
      </c>
      <c r="D158" t="s">
        <v>125</v>
      </c>
      <c r="E158" t="s">
        <v>126</v>
      </c>
      <c r="F158">
        <v>170</v>
      </c>
      <c r="G158">
        <v>398741</v>
      </c>
      <c r="H158">
        <v>349866</v>
      </c>
      <c r="I158">
        <v>325286</v>
      </c>
      <c r="J158">
        <v>680189</v>
      </c>
      <c r="K158">
        <v>337368</v>
      </c>
      <c r="L158">
        <v>380974</v>
      </c>
    </row>
    <row r="159" spans="1:12" x14ac:dyDescent="0.35">
      <c r="A159">
        <v>2024</v>
      </c>
      <c r="B159">
        <v>4</v>
      </c>
      <c r="C159" t="s">
        <v>67</v>
      </c>
      <c r="D159" t="s">
        <v>127</v>
      </c>
      <c r="E159" t="s">
        <v>128</v>
      </c>
      <c r="F159">
        <v>4917</v>
      </c>
      <c r="G159">
        <v>873942</v>
      </c>
      <c r="H159">
        <v>830855</v>
      </c>
      <c r="I159">
        <v>659169</v>
      </c>
      <c r="J159">
        <v>1436081</v>
      </c>
      <c r="K159">
        <v>731520</v>
      </c>
      <c r="L159">
        <v>929082</v>
      </c>
    </row>
    <row r="160" spans="1:12" x14ac:dyDescent="0.35">
      <c r="A160">
        <v>2024</v>
      </c>
      <c r="B160">
        <v>4</v>
      </c>
      <c r="C160" t="s">
        <v>67</v>
      </c>
      <c r="D160" t="s">
        <v>129</v>
      </c>
      <c r="E160" t="s">
        <v>130</v>
      </c>
      <c r="F160">
        <v>361</v>
      </c>
      <c r="G160">
        <v>498325</v>
      </c>
      <c r="H160">
        <v>518403</v>
      </c>
      <c r="I160">
        <v>355926</v>
      </c>
      <c r="J160">
        <v>725965</v>
      </c>
      <c r="K160">
        <v>409904</v>
      </c>
      <c r="L160">
        <v>572467</v>
      </c>
    </row>
    <row r="161" spans="1:12" x14ac:dyDescent="0.35">
      <c r="A161">
        <v>2024</v>
      </c>
      <c r="B161">
        <v>4</v>
      </c>
      <c r="C161" t="s">
        <v>67</v>
      </c>
      <c r="D161" t="s">
        <v>131</v>
      </c>
      <c r="E161" t="s">
        <v>132</v>
      </c>
      <c r="F161">
        <v>33577</v>
      </c>
      <c r="G161">
        <v>525608</v>
      </c>
      <c r="H161">
        <v>501555</v>
      </c>
      <c r="I161">
        <v>333389</v>
      </c>
      <c r="J161">
        <v>887702</v>
      </c>
      <c r="K161">
        <v>442073</v>
      </c>
      <c r="L161">
        <v>593021</v>
      </c>
    </row>
    <row r="162" spans="1:12" x14ac:dyDescent="0.35">
      <c r="A162">
        <v>2024</v>
      </c>
      <c r="B162">
        <v>4</v>
      </c>
      <c r="C162" t="s">
        <v>67</v>
      </c>
      <c r="D162" t="s">
        <v>133</v>
      </c>
      <c r="E162" t="s">
        <v>134</v>
      </c>
      <c r="F162">
        <v>83918</v>
      </c>
      <c r="G162">
        <v>400523</v>
      </c>
      <c r="H162">
        <v>402540</v>
      </c>
      <c r="I162">
        <v>266776</v>
      </c>
      <c r="J162">
        <v>584648</v>
      </c>
      <c r="K162">
        <v>323389</v>
      </c>
      <c r="L162">
        <v>453044</v>
      </c>
    </row>
    <row r="163" spans="1:12" x14ac:dyDescent="0.35">
      <c r="A163">
        <v>2024</v>
      </c>
      <c r="B163">
        <v>4</v>
      </c>
      <c r="C163" t="s">
        <v>67</v>
      </c>
      <c r="D163" t="s">
        <v>135</v>
      </c>
      <c r="E163" t="s">
        <v>136</v>
      </c>
      <c r="F163">
        <v>20204</v>
      </c>
      <c r="G163">
        <v>707010</v>
      </c>
      <c r="H163">
        <v>689955</v>
      </c>
      <c r="I163">
        <v>398882</v>
      </c>
      <c r="J163">
        <v>1015438</v>
      </c>
      <c r="K163">
        <v>635237</v>
      </c>
      <c r="L163">
        <v>800719</v>
      </c>
    </row>
    <row r="164" spans="1:12" x14ac:dyDescent="0.35">
      <c r="A164">
        <v>2024</v>
      </c>
      <c r="B164">
        <v>4</v>
      </c>
      <c r="C164" t="s">
        <v>67</v>
      </c>
      <c r="D164" t="s">
        <v>137</v>
      </c>
      <c r="E164" t="s">
        <v>138</v>
      </c>
      <c r="F164">
        <v>10495</v>
      </c>
      <c r="G164">
        <v>449324</v>
      </c>
      <c r="H164">
        <v>446838</v>
      </c>
      <c r="I164">
        <v>262563</v>
      </c>
      <c r="J164">
        <v>787085</v>
      </c>
      <c r="K164">
        <v>365926</v>
      </c>
      <c r="L164">
        <v>513403</v>
      </c>
    </row>
    <row r="165" spans="1:12" x14ac:dyDescent="0.35">
      <c r="A165">
        <v>2024</v>
      </c>
      <c r="B165">
        <v>4</v>
      </c>
      <c r="C165" t="s">
        <v>67</v>
      </c>
      <c r="D165" t="s">
        <v>139</v>
      </c>
      <c r="E165" t="s">
        <v>140</v>
      </c>
      <c r="F165">
        <v>35</v>
      </c>
      <c r="G165">
        <v>596573</v>
      </c>
      <c r="H165">
        <v>589967</v>
      </c>
      <c r="I165">
        <v>518403</v>
      </c>
      <c r="J165">
        <v>753687</v>
      </c>
      <c r="K165">
        <v>564967</v>
      </c>
      <c r="L165">
        <v>607467</v>
      </c>
    </row>
    <row r="166" spans="1:12" x14ac:dyDescent="0.35">
      <c r="A166">
        <v>2024</v>
      </c>
      <c r="B166">
        <v>4</v>
      </c>
      <c r="C166" t="s">
        <v>67</v>
      </c>
      <c r="D166" t="s">
        <v>141</v>
      </c>
      <c r="E166" t="s">
        <v>142</v>
      </c>
      <c r="F166">
        <v>767</v>
      </c>
      <c r="G166">
        <v>508389</v>
      </c>
      <c r="H166">
        <v>505903</v>
      </c>
      <c r="I166">
        <v>342134</v>
      </c>
      <c r="J166">
        <v>758921</v>
      </c>
      <c r="K166">
        <v>448833</v>
      </c>
      <c r="L166">
        <v>558722</v>
      </c>
    </row>
    <row r="167" spans="1:12" x14ac:dyDescent="0.35">
      <c r="A167">
        <v>2024</v>
      </c>
      <c r="B167">
        <v>4</v>
      </c>
      <c r="C167" t="s">
        <v>67</v>
      </c>
      <c r="D167" t="s">
        <v>143</v>
      </c>
      <c r="E167" t="s">
        <v>144</v>
      </c>
      <c r="F167">
        <v>4414</v>
      </c>
      <c r="G167">
        <v>287576</v>
      </c>
      <c r="H167">
        <v>278486</v>
      </c>
      <c r="I167">
        <v>229743</v>
      </c>
      <c r="J167">
        <v>467550</v>
      </c>
      <c r="K167">
        <v>262564</v>
      </c>
      <c r="L167">
        <v>305519</v>
      </c>
    </row>
    <row r="168" spans="1:12" x14ac:dyDescent="0.35">
      <c r="A168">
        <v>2024</v>
      </c>
      <c r="B168">
        <v>4</v>
      </c>
      <c r="C168" t="s">
        <v>67</v>
      </c>
      <c r="D168" t="s">
        <v>145</v>
      </c>
      <c r="E168" t="s">
        <v>146</v>
      </c>
      <c r="F168">
        <v>123</v>
      </c>
      <c r="G168">
        <v>450285</v>
      </c>
      <c r="H168">
        <v>454436</v>
      </c>
      <c r="I168">
        <v>333573</v>
      </c>
      <c r="J168">
        <v>590804</v>
      </c>
      <c r="K168">
        <v>429485</v>
      </c>
      <c r="L168">
        <v>476655</v>
      </c>
    </row>
    <row r="169" spans="1:12" x14ac:dyDescent="0.35">
      <c r="A169">
        <v>2024</v>
      </c>
      <c r="B169">
        <v>4</v>
      </c>
      <c r="C169" t="s">
        <v>67</v>
      </c>
      <c r="D169" t="s">
        <v>147</v>
      </c>
      <c r="E169" t="s">
        <v>148</v>
      </c>
      <c r="F169">
        <v>47</v>
      </c>
      <c r="G169">
        <v>356128</v>
      </c>
      <c r="H169">
        <v>335790</v>
      </c>
      <c r="I169">
        <v>297836</v>
      </c>
      <c r="J169">
        <v>450239</v>
      </c>
      <c r="K169">
        <v>313573</v>
      </c>
      <c r="L169">
        <v>416936</v>
      </c>
    </row>
    <row r="170" spans="1:12" x14ac:dyDescent="0.35">
      <c r="A170">
        <v>2024</v>
      </c>
      <c r="B170">
        <v>4</v>
      </c>
      <c r="C170" t="s">
        <v>67</v>
      </c>
      <c r="D170" t="s">
        <v>149</v>
      </c>
      <c r="E170" t="s">
        <v>150</v>
      </c>
      <c r="F170">
        <v>1690</v>
      </c>
      <c r="G170">
        <v>401045</v>
      </c>
      <c r="H170">
        <v>365974</v>
      </c>
      <c r="I170">
        <v>297836</v>
      </c>
      <c r="J170">
        <v>740916</v>
      </c>
      <c r="K170">
        <v>342366</v>
      </c>
      <c r="L170">
        <v>429487</v>
      </c>
    </row>
    <row r="171" spans="1:12" x14ac:dyDescent="0.35">
      <c r="A171">
        <v>2024</v>
      </c>
      <c r="B171">
        <v>4</v>
      </c>
      <c r="C171" t="s">
        <v>67</v>
      </c>
      <c r="D171" t="s">
        <v>151</v>
      </c>
      <c r="E171" t="s">
        <v>152</v>
      </c>
      <c r="F171">
        <v>646</v>
      </c>
      <c r="G171">
        <v>1000302</v>
      </c>
      <c r="H171">
        <v>1044725</v>
      </c>
      <c r="I171">
        <v>690287</v>
      </c>
      <c r="J171">
        <v>1278458</v>
      </c>
      <c r="K171">
        <v>874476</v>
      </c>
      <c r="L171">
        <v>1116708</v>
      </c>
    </row>
    <row r="172" spans="1:12" x14ac:dyDescent="0.35">
      <c r="A172">
        <v>2024</v>
      </c>
      <c r="B172">
        <v>4</v>
      </c>
      <c r="C172" t="s">
        <v>67</v>
      </c>
      <c r="D172" t="s">
        <v>153</v>
      </c>
      <c r="E172" t="s">
        <v>154</v>
      </c>
      <c r="F172">
        <v>120</v>
      </c>
      <c r="G172">
        <v>644998</v>
      </c>
      <c r="H172">
        <v>653895</v>
      </c>
      <c r="I172">
        <v>411061</v>
      </c>
      <c r="J172">
        <v>812667</v>
      </c>
      <c r="K172">
        <v>549979</v>
      </c>
      <c r="L172">
        <v>747628</v>
      </c>
    </row>
    <row r="173" spans="1:12" x14ac:dyDescent="0.35">
      <c r="A173">
        <v>2024</v>
      </c>
      <c r="B173">
        <v>4</v>
      </c>
      <c r="C173" t="s">
        <v>67</v>
      </c>
      <c r="D173" t="s">
        <v>155</v>
      </c>
      <c r="E173" t="s">
        <v>156</v>
      </c>
      <c r="F173">
        <v>996</v>
      </c>
      <c r="G173">
        <v>391111</v>
      </c>
      <c r="H173">
        <v>368290</v>
      </c>
      <c r="I173">
        <v>260064</v>
      </c>
      <c r="J173">
        <v>707824</v>
      </c>
      <c r="K173">
        <v>318942</v>
      </c>
      <c r="L173">
        <v>426936</v>
      </c>
    </row>
    <row r="174" spans="1:12" x14ac:dyDescent="0.35">
      <c r="A174">
        <v>2024</v>
      </c>
      <c r="B174">
        <v>4</v>
      </c>
      <c r="C174" t="s">
        <v>67</v>
      </c>
      <c r="D174" t="s">
        <v>157</v>
      </c>
      <c r="E174" t="s">
        <v>158</v>
      </c>
      <c r="F174">
        <v>161</v>
      </c>
      <c r="G174">
        <v>471283</v>
      </c>
      <c r="H174">
        <v>450546</v>
      </c>
      <c r="I174">
        <v>325286</v>
      </c>
      <c r="J174">
        <v>705140</v>
      </c>
      <c r="K174">
        <v>385322</v>
      </c>
      <c r="L174">
        <v>538403</v>
      </c>
    </row>
    <row r="175" spans="1:12" x14ac:dyDescent="0.35">
      <c r="A175">
        <v>2024</v>
      </c>
      <c r="B175">
        <v>4</v>
      </c>
      <c r="C175" t="s">
        <v>67</v>
      </c>
      <c r="D175" t="s">
        <v>159</v>
      </c>
      <c r="E175" t="s">
        <v>160</v>
      </c>
      <c r="F175">
        <v>393</v>
      </c>
      <c r="G175">
        <v>435601</v>
      </c>
      <c r="H175">
        <v>424436</v>
      </c>
      <c r="I175">
        <v>302836</v>
      </c>
      <c r="J175">
        <v>700324</v>
      </c>
      <c r="K175">
        <v>368292</v>
      </c>
      <c r="L175">
        <v>470495</v>
      </c>
    </row>
    <row r="176" spans="1:12" x14ac:dyDescent="0.35">
      <c r="A176">
        <v>2024</v>
      </c>
      <c r="B176">
        <v>4</v>
      </c>
      <c r="C176" t="s">
        <v>67</v>
      </c>
      <c r="D176" t="s">
        <v>161</v>
      </c>
      <c r="E176" t="s">
        <v>162</v>
      </c>
      <c r="F176">
        <v>126</v>
      </c>
      <c r="G176">
        <v>467686</v>
      </c>
      <c r="H176">
        <v>439738</v>
      </c>
      <c r="I176">
        <v>302836</v>
      </c>
      <c r="J176">
        <v>707824</v>
      </c>
      <c r="K176">
        <v>365974</v>
      </c>
      <c r="L176">
        <v>560570</v>
      </c>
    </row>
    <row r="177" spans="1:12" x14ac:dyDescent="0.35">
      <c r="A177">
        <v>2024</v>
      </c>
      <c r="B177">
        <v>5</v>
      </c>
      <c r="C177" t="s">
        <v>68</v>
      </c>
      <c r="D177" t="s">
        <v>77</v>
      </c>
      <c r="E177" t="s">
        <v>78</v>
      </c>
      <c r="F177">
        <v>5</v>
      </c>
      <c r="G177">
        <v>441545</v>
      </c>
      <c r="H177">
        <v>434436</v>
      </c>
      <c r="I177">
        <v>313573</v>
      </c>
      <c r="J177">
        <v>575572</v>
      </c>
      <c r="K177">
        <v>313573</v>
      </c>
      <c r="L177">
        <v>570570</v>
      </c>
    </row>
    <row r="178" spans="1:12" x14ac:dyDescent="0.35">
      <c r="A178">
        <v>2024</v>
      </c>
      <c r="B178">
        <v>5</v>
      </c>
      <c r="C178" t="s">
        <v>68</v>
      </c>
      <c r="D178" t="s">
        <v>79</v>
      </c>
      <c r="E178" t="s">
        <v>80</v>
      </c>
      <c r="F178">
        <v>173</v>
      </c>
      <c r="G178">
        <v>472463</v>
      </c>
      <c r="H178">
        <v>425040</v>
      </c>
      <c r="I178">
        <v>313575</v>
      </c>
      <c r="J178">
        <v>712640</v>
      </c>
      <c r="K178">
        <v>365974</v>
      </c>
      <c r="L178">
        <v>576038</v>
      </c>
    </row>
    <row r="179" spans="1:12" x14ac:dyDescent="0.35">
      <c r="A179">
        <v>2024</v>
      </c>
      <c r="B179">
        <v>5</v>
      </c>
      <c r="C179" t="s">
        <v>68</v>
      </c>
      <c r="D179" t="s">
        <v>81</v>
      </c>
      <c r="E179" t="s">
        <v>82</v>
      </c>
      <c r="F179">
        <v>9</v>
      </c>
      <c r="G179">
        <v>641740</v>
      </c>
      <c r="H179">
        <v>652368</v>
      </c>
      <c r="I179">
        <v>516185</v>
      </c>
      <c r="J179">
        <v>700879</v>
      </c>
      <c r="K179">
        <v>634868</v>
      </c>
      <c r="L179">
        <v>673379</v>
      </c>
    </row>
    <row r="180" spans="1:12" x14ac:dyDescent="0.35">
      <c r="A180">
        <v>2024</v>
      </c>
      <c r="B180">
        <v>5</v>
      </c>
      <c r="C180" t="s">
        <v>68</v>
      </c>
      <c r="D180" t="s">
        <v>83</v>
      </c>
      <c r="E180" t="s">
        <v>84</v>
      </c>
      <c r="F180">
        <v>47</v>
      </c>
      <c r="G180">
        <v>491203</v>
      </c>
      <c r="H180">
        <v>491604</v>
      </c>
      <c r="I180">
        <v>325286</v>
      </c>
      <c r="J180">
        <v>659955</v>
      </c>
      <c r="K180">
        <v>365322</v>
      </c>
      <c r="L180">
        <v>620979</v>
      </c>
    </row>
    <row r="181" spans="1:12" x14ac:dyDescent="0.35">
      <c r="A181">
        <v>2024</v>
      </c>
      <c r="B181">
        <v>5</v>
      </c>
      <c r="C181" t="s">
        <v>68</v>
      </c>
      <c r="D181" t="s">
        <v>85</v>
      </c>
      <c r="E181" t="s">
        <v>86</v>
      </c>
      <c r="F181">
        <v>960</v>
      </c>
      <c r="G181">
        <v>509041</v>
      </c>
      <c r="H181">
        <v>488020</v>
      </c>
      <c r="I181">
        <v>302836</v>
      </c>
      <c r="J181">
        <v>760916</v>
      </c>
      <c r="K181">
        <v>419404</v>
      </c>
      <c r="L181">
        <v>605939</v>
      </c>
    </row>
    <row r="182" spans="1:12" x14ac:dyDescent="0.35">
      <c r="A182">
        <v>2024</v>
      </c>
      <c r="B182">
        <v>5</v>
      </c>
      <c r="C182" t="s">
        <v>68</v>
      </c>
      <c r="D182" t="s">
        <v>87</v>
      </c>
      <c r="E182" t="s">
        <v>88</v>
      </c>
      <c r="F182">
        <v>4</v>
      </c>
      <c r="G182">
        <v>570050</v>
      </c>
      <c r="H182">
        <v>569690</v>
      </c>
      <c r="I182">
        <v>528403</v>
      </c>
      <c r="J182">
        <v>612418</v>
      </c>
      <c r="K182">
        <v>528403</v>
      </c>
      <c r="L182">
        <v>610977</v>
      </c>
    </row>
    <row r="183" spans="1:12" x14ac:dyDescent="0.35">
      <c r="A183">
        <v>2024</v>
      </c>
      <c r="B183">
        <v>5</v>
      </c>
      <c r="C183" t="s">
        <v>68</v>
      </c>
      <c r="D183" t="s">
        <v>89</v>
      </c>
      <c r="E183" t="s">
        <v>90</v>
      </c>
      <c r="F183">
        <v>816</v>
      </c>
      <c r="G183">
        <v>480073</v>
      </c>
      <c r="H183">
        <v>453020</v>
      </c>
      <c r="I183">
        <v>297836</v>
      </c>
      <c r="J183">
        <v>735916</v>
      </c>
      <c r="K183">
        <v>390322</v>
      </c>
      <c r="L183">
        <v>570015</v>
      </c>
    </row>
    <row r="184" spans="1:12" x14ac:dyDescent="0.35">
      <c r="A184">
        <v>2024</v>
      </c>
      <c r="B184">
        <v>5</v>
      </c>
      <c r="C184" t="s">
        <v>68</v>
      </c>
      <c r="D184" t="s">
        <v>91</v>
      </c>
      <c r="E184" t="s">
        <v>92</v>
      </c>
      <c r="F184">
        <v>117</v>
      </c>
      <c r="G184">
        <v>355307</v>
      </c>
      <c r="H184">
        <v>340991</v>
      </c>
      <c r="I184">
        <v>297836</v>
      </c>
      <c r="J184">
        <v>694282</v>
      </c>
      <c r="K184">
        <v>328573</v>
      </c>
      <c r="L184">
        <v>354296</v>
      </c>
    </row>
    <row r="185" spans="1:12" x14ac:dyDescent="0.35">
      <c r="A185">
        <v>2024</v>
      </c>
      <c r="B185">
        <v>5</v>
      </c>
      <c r="C185" t="s">
        <v>68</v>
      </c>
      <c r="D185" t="s">
        <v>93</v>
      </c>
      <c r="E185" t="s">
        <v>94</v>
      </c>
      <c r="F185">
        <v>21</v>
      </c>
      <c r="G185">
        <v>398325</v>
      </c>
      <c r="H185">
        <v>348575</v>
      </c>
      <c r="I185">
        <v>302836</v>
      </c>
      <c r="J185">
        <v>639956</v>
      </c>
      <c r="K185">
        <v>330655</v>
      </c>
      <c r="L185">
        <v>405324</v>
      </c>
    </row>
    <row r="186" spans="1:12" x14ac:dyDescent="0.35">
      <c r="A186">
        <v>2024</v>
      </c>
      <c r="B186">
        <v>5</v>
      </c>
      <c r="C186" t="s">
        <v>68</v>
      </c>
      <c r="D186" t="s">
        <v>95</v>
      </c>
      <c r="E186" t="s">
        <v>96</v>
      </c>
      <c r="F186">
        <v>15</v>
      </c>
      <c r="G186">
        <v>408645</v>
      </c>
      <c r="H186">
        <v>348155</v>
      </c>
      <c r="I186">
        <v>302836</v>
      </c>
      <c r="J186">
        <v>610939</v>
      </c>
      <c r="K186">
        <v>313573</v>
      </c>
      <c r="L186">
        <v>576038</v>
      </c>
    </row>
    <row r="187" spans="1:12" x14ac:dyDescent="0.35">
      <c r="A187">
        <v>2024</v>
      </c>
      <c r="B187">
        <v>5</v>
      </c>
      <c r="C187" t="s">
        <v>68</v>
      </c>
      <c r="D187" t="s">
        <v>97</v>
      </c>
      <c r="E187" t="s">
        <v>98</v>
      </c>
      <c r="F187">
        <v>259</v>
      </c>
      <c r="G187">
        <v>406591</v>
      </c>
      <c r="H187">
        <v>358474</v>
      </c>
      <c r="I187">
        <v>302836</v>
      </c>
      <c r="J187">
        <v>715879</v>
      </c>
      <c r="K187">
        <v>342366</v>
      </c>
      <c r="L187">
        <v>425040</v>
      </c>
    </row>
    <row r="188" spans="1:12" x14ac:dyDescent="0.35">
      <c r="A188">
        <v>2024</v>
      </c>
      <c r="B188">
        <v>5</v>
      </c>
      <c r="C188" t="s">
        <v>68</v>
      </c>
      <c r="D188" t="s">
        <v>99</v>
      </c>
      <c r="E188" t="s">
        <v>100</v>
      </c>
      <c r="F188">
        <v>440</v>
      </c>
      <c r="G188">
        <v>441828</v>
      </c>
      <c r="H188">
        <v>429485</v>
      </c>
      <c r="I188">
        <v>302836</v>
      </c>
      <c r="J188">
        <v>693379</v>
      </c>
      <c r="K188">
        <v>388290</v>
      </c>
      <c r="L188">
        <v>480546</v>
      </c>
    </row>
    <row r="189" spans="1:12" x14ac:dyDescent="0.35">
      <c r="A189">
        <v>2024</v>
      </c>
      <c r="B189">
        <v>5</v>
      </c>
      <c r="C189" t="s">
        <v>68</v>
      </c>
      <c r="D189" t="s">
        <v>101</v>
      </c>
      <c r="E189" t="s">
        <v>102</v>
      </c>
      <c r="F189">
        <v>11</v>
      </c>
      <c r="G189">
        <v>563817</v>
      </c>
      <c r="H189">
        <v>598538</v>
      </c>
      <c r="I189">
        <v>385324</v>
      </c>
      <c r="J189">
        <v>675324</v>
      </c>
      <c r="K189">
        <v>540584</v>
      </c>
      <c r="L189">
        <v>628944</v>
      </c>
    </row>
    <row r="190" spans="1:12" x14ac:dyDescent="0.35">
      <c r="A190">
        <v>2024</v>
      </c>
      <c r="B190">
        <v>5</v>
      </c>
      <c r="C190" t="s">
        <v>68</v>
      </c>
      <c r="D190" t="s">
        <v>103</v>
      </c>
      <c r="E190" t="s">
        <v>104</v>
      </c>
      <c r="F190">
        <v>9</v>
      </c>
      <c r="G190">
        <v>348868</v>
      </c>
      <c r="H190">
        <v>332786</v>
      </c>
      <c r="I190">
        <v>302836</v>
      </c>
      <c r="J190">
        <v>450495</v>
      </c>
      <c r="K190">
        <v>321073</v>
      </c>
      <c r="L190">
        <v>364866</v>
      </c>
    </row>
    <row r="191" spans="1:12" x14ac:dyDescent="0.35">
      <c r="A191">
        <v>2024</v>
      </c>
      <c r="B191">
        <v>5</v>
      </c>
      <c r="C191" t="s">
        <v>68</v>
      </c>
      <c r="D191" t="s">
        <v>105</v>
      </c>
      <c r="E191" t="s">
        <v>106</v>
      </c>
      <c r="F191">
        <v>37</v>
      </c>
      <c r="G191">
        <v>439178</v>
      </c>
      <c r="H191">
        <v>406985</v>
      </c>
      <c r="I191">
        <v>302836</v>
      </c>
      <c r="J191">
        <v>692824</v>
      </c>
      <c r="K191">
        <v>342368</v>
      </c>
      <c r="L191">
        <v>520903</v>
      </c>
    </row>
    <row r="192" spans="1:12" x14ac:dyDescent="0.35">
      <c r="A192">
        <v>2024</v>
      </c>
      <c r="B192">
        <v>5</v>
      </c>
      <c r="C192" t="s">
        <v>68</v>
      </c>
      <c r="D192" t="s">
        <v>107</v>
      </c>
      <c r="E192" t="s">
        <v>108</v>
      </c>
      <c r="F192">
        <v>2</v>
      </c>
      <c r="G192">
        <v>365437</v>
      </c>
      <c r="H192">
        <v>365437</v>
      </c>
      <c r="I192">
        <v>342366</v>
      </c>
      <c r="J192">
        <v>388508</v>
      </c>
      <c r="K192">
        <v>342366</v>
      </c>
      <c r="L192">
        <v>388508</v>
      </c>
    </row>
    <row r="193" spans="1:12" x14ac:dyDescent="0.35">
      <c r="A193">
        <v>2024</v>
      </c>
      <c r="B193">
        <v>5</v>
      </c>
      <c r="C193" t="s">
        <v>68</v>
      </c>
      <c r="D193" t="s">
        <v>109</v>
      </c>
      <c r="E193" t="s">
        <v>110</v>
      </c>
      <c r="F193">
        <v>4923</v>
      </c>
      <c r="G193">
        <v>546997</v>
      </c>
      <c r="H193">
        <v>514658</v>
      </c>
      <c r="I193">
        <v>407405</v>
      </c>
      <c r="J193">
        <v>808269</v>
      </c>
      <c r="K193">
        <v>446985</v>
      </c>
      <c r="L193">
        <v>663058</v>
      </c>
    </row>
    <row r="194" spans="1:12" x14ac:dyDescent="0.35">
      <c r="A194">
        <v>2024</v>
      </c>
      <c r="B194">
        <v>5</v>
      </c>
      <c r="C194" t="s">
        <v>68</v>
      </c>
      <c r="D194" t="s">
        <v>111</v>
      </c>
      <c r="E194" t="s">
        <v>112</v>
      </c>
      <c r="F194">
        <v>14059</v>
      </c>
      <c r="G194">
        <v>339546</v>
      </c>
      <c r="H194">
        <v>318942</v>
      </c>
      <c r="I194">
        <v>234373</v>
      </c>
      <c r="J194">
        <v>694918</v>
      </c>
      <c r="K194">
        <v>293252</v>
      </c>
      <c r="L194">
        <v>360792</v>
      </c>
    </row>
    <row r="195" spans="1:12" x14ac:dyDescent="0.35">
      <c r="A195">
        <v>2024</v>
      </c>
      <c r="B195">
        <v>5</v>
      </c>
      <c r="C195" t="s">
        <v>68</v>
      </c>
      <c r="D195" t="s">
        <v>113</v>
      </c>
      <c r="E195" t="s">
        <v>114</v>
      </c>
      <c r="F195">
        <v>7802</v>
      </c>
      <c r="G195">
        <v>321750</v>
      </c>
      <c r="H195">
        <v>308942</v>
      </c>
      <c r="I195">
        <v>260064</v>
      </c>
      <c r="J195">
        <v>575570</v>
      </c>
      <c r="K195">
        <v>289119</v>
      </c>
      <c r="L195">
        <v>335052</v>
      </c>
    </row>
    <row r="196" spans="1:12" x14ac:dyDescent="0.35">
      <c r="A196">
        <v>2024</v>
      </c>
      <c r="B196">
        <v>5</v>
      </c>
      <c r="C196" t="s">
        <v>68</v>
      </c>
      <c r="D196" t="s">
        <v>115</v>
      </c>
      <c r="E196" t="s">
        <v>116</v>
      </c>
      <c r="F196">
        <v>84</v>
      </c>
      <c r="G196">
        <v>583083</v>
      </c>
      <c r="H196">
        <v>565250</v>
      </c>
      <c r="I196">
        <v>417405</v>
      </c>
      <c r="J196">
        <v>825535</v>
      </c>
      <c r="K196">
        <v>494941</v>
      </c>
      <c r="L196">
        <v>688564</v>
      </c>
    </row>
    <row r="197" spans="1:12" x14ac:dyDescent="0.35">
      <c r="A197">
        <v>2024</v>
      </c>
      <c r="B197">
        <v>5</v>
      </c>
      <c r="C197" t="s">
        <v>68</v>
      </c>
      <c r="D197" t="s">
        <v>117</v>
      </c>
      <c r="E197" t="s">
        <v>118</v>
      </c>
      <c r="F197">
        <v>395</v>
      </c>
      <c r="G197">
        <v>573444</v>
      </c>
      <c r="H197">
        <v>542158</v>
      </c>
      <c r="I197">
        <v>407405</v>
      </c>
      <c r="J197">
        <v>793269</v>
      </c>
      <c r="K197">
        <v>460629</v>
      </c>
      <c r="L197">
        <v>688564</v>
      </c>
    </row>
    <row r="198" spans="1:12" x14ac:dyDescent="0.35">
      <c r="A198">
        <v>2024</v>
      </c>
      <c r="B198">
        <v>5</v>
      </c>
      <c r="C198" t="s">
        <v>68</v>
      </c>
      <c r="D198" t="s">
        <v>119</v>
      </c>
      <c r="E198" t="s">
        <v>120</v>
      </c>
      <c r="F198">
        <v>981</v>
      </c>
      <c r="G198">
        <v>490269</v>
      </c>
      <c r="H198">
        <v>472441</v>
      </c>
      <c r="I198">
        <v>407405</v>
      </c>
      <c r="J198">
        <v>788035</v>
      </c>
      <c r="K198">
        <v>434485</v>
      </c>
      <c r="L198">
        <v>519658</v>
      </c>
    </row>
    <row r="199" spans="1:12" x14ac:dyDescent="0.35">
      <c r="A199">
        <v>2024</v>
      </c>
      <c r="B199">
        <v>5</v>
      </c>
      <c r="C199" t="s">
        <v>68</v>
      </c>
      <c r="D199" t="s">
        <v>121</v>
      </c>
      <c r="E199" t="s">
        <v>122</v>
      </c>
      <c r="F199">
        <v>513</v>
      </c>
      <c r="G199">
        <v>451868</v>
      </c>
      <c r="H199">
        <v>445495</v>
      </c>
      <c r="I199">
        <v>320655</v>
      </c>
      <c r="J199">
        <v>672689</v>
      </c>
      <c r="K199">
        <v>399485</v>
      </c>
      <c r="L199">
        <v>510348</v>
      </c>
    </row>
    <row r="200" spans="1:12" x14ac:dyDescent="0.35">
      <c r="A200">
        <v>2024</v>
      </c>
      <c r="B200">
        <v>5</v>
      </c>
      <c r="C200" t="s">
        <v>68</v>
      </c>
      <c r="D200" t="s">
        <v>123</v>
      </c>
      <c r="E200" t="s">
        <v>124</v>
      </c>
      <c r="F200">
        <v>1</v>
      </c>
      <c r="G200">
        <v>318942</v>
      </c>
      <c r="H200">
        <v>318942</v>
      </c>
      <c r="I200">
        <v>318942</v>
      </c>
      <c r="J200">
        <v>318942</v>
      </c>
      <c r="K200">
        <v>318942</v>
      </c>
      <c r="L200">
        <v>318942</v>
      </c>
    </row>
    <row r="201" spans="1:12" x14ac:dyDescent="0.35">
      <c r="A201">
        <v>2024</v>
      </c>
      <c r="B201">
        <v>5</v>
      </c>
      <c r="C201" t="s">
        <v>68</v>
      </c>
      <c r="D201" t="s">
        <v>125</v>
      </c>
      <c r="E201" t="s">
        <v>126</v>
      </c>
      <c r="F201">
        <v>174</v>
      </c>
      <c r="G201">
        <v>402682</v>
      </c>
      <c r="H201">
        <v>352366</v>
      </c>
      <c r="I201">
        <v>325286</v>
      </c>
      <c r="J201">
        <v>694282</v>
      </c>
      <c r="K201">
        <v>339866</v>
      </c>
      <c r="L201">
        <v>388474</v>
      </c>
    </row>
    <row r="202" spans="1:12" x14ac:dyDescent="0.35">
      <c r="A202">
        <v>2024</v>
      </c>
      <c r="B202">
        <v>5</v>
      </c>
      <c r="C202" t="s">
        <v>68</v>
      </c>
      <c r="D202" t="s">
        <v>127</v>
      </c>
      <c r="E202" t="s">
        <v>128</v>
      </c>
      <c r="F202">
        <v>4831</v>
      </c>
      <c r="G202">
        <v>877082</v>
      </c>
      <c r="H202">
        <v>830116</v>
      </c>
      <c r="I202">
        <v>659169</v>
      </c>
      <c r="J202">
        <v>1436081</v>
      </c>
      <c r="K202">
        <v>730645</v>
      </c>
      <c r="L202">
        <v>936582</v>
      </c>
    </row>
    <row r="203" spans="1:12" x14ac:dyDescent="0.35">
      <c r="A203">
        <v>2024</v>
      </c>
      <c r="B203">
        <v>5</v>
      </c>
      <c r="C203" t="s">
        <v>68</v>
      </c>
      <c r="D203" t="s">
        <v>129</v>
      </c>
      <c r="E203" t="s">
        <v>130</v>
      </c>
      <c r="F203">
        <v>355</v>
      </c>
      <c r="G203">
        <v>501027</v>
      </c>
      <c r="H203">
        <v>518403</v>
      </c>
      <c r="I203">
        <v>355926</v>
      </c>
      <c r="J203">
        <v>725965</v>
      </c>
      <c r="K203">
        <v>409904</v>
      </c>
      <c r="L203">
        <v>579967</v>
      </c>
    </row>
    <row r="204" spans="1:12" x14ac:dyDescent="0.35">
      <c r="A204">
        <v>2024</v>
      </c>
      <c r="B204">
        <v>5</v>
      </c>
      <c r="C204" t="s">
        <v>68</v>
      </c>
      <c r="D204" t="s">
        <v>131</v>
      </c>
      <c r="E204" t="s">
        <v>132</v>
      </c>
      <c r="F204">
        <v>33854</v>
      </c>
      <c r="G204">
        <v>522790</v>
      </c>
      <c r="H204">
        <v>496739</v>
      </c>
      <c r="I204">
        <v>333389</v>
      </c>
      <c r="J204">
        <v>887702</v>
      </c>
      <c r="K204">
        <v>441838</v>
      </c>
      <c r="L204">
        <v>592467</v>
      </c>
    </row>
    <row r="205" spans="1:12" x14ac:dyDescent="0.35">
      <c r="A205">
        <v>2024</v>
      </c>
      <c r="B205">
        <v>5</v>
      </c>
      <c r="C205" t="s">
        <v>68</v>
      </c>
      <c r="D205" t="s">
        <v>133</v>
      </c>
      <c r="E205" t="s">
        <v>134</v>
      </c>
      <c r="F205">
        <v>83761</v>
      </c>
      <c r="G205">
        <v>400418</v>
      </c>
      <c r="H205">
        <v>402540</v>
      </c>
      <c r="I205">
        <v>266776</v>
      </c>
      <c r="J205">
        <v>584779</v>
      </c>
      <c r="K205">
        <v>323389</v>
      </c>
      <c r="L205">
        <v>452540</v>
      </c>
    </row>
    <row r="206" spans="1:12" x14ac:dyDescent="0.35">
      <c r="A206">
        <v>2024</v>
      </c>
      <c r="B206">
        <v>5</v>
      </c>
      <c r="C206" t="s">
        <v>68</v>
      </c>
      <c r="D206" t="s">
        <v>135</v>
      </c>
      <c r="E206" t="s">
        <v>136</v>
      </c>
      <c r="F206">
        <v>20192</v>
      </c>
      <c r="G206">
        <v>706521</v>
      </c>
      <c r="H206">
        <v>689955</v>
      </c>
      <c r="I206">
        <v>406383</v>
      </c>
      <c r="J206">
        <v>1036346</v>
      </c>
      <c r="K206">
        <v>635237</v>
      </c>
      <c r="L206">
        <v>800633</v>
      </c>
    </row>
    <row r="207" spans="1:12" x14ac:dyDescent="0.35">
      <c r="A207">
        <v>2024</v>
      </c>
      <c r="B207">
        <v>5</v>
      </c>
      <c r="C207" t="s">
        <v>68</v>
      </c>
      <c r="D207" t="s">
        <v>137</v>
      </c>
      <c r="E207" t="s">
        <v>138</v>
      </c>
      <c r="F207">
        <v>10494</v>
      </c>
      <c r="G207">
        <v>448429</v>
      </c>
      <c r="H207">
        <v>444523</v>
      </c>
      <c r="I207">
        <v>262563</v>
      </c>
      <c r="J207">
        <v>781187</v>
      </c>
      <c r="K207">
        <v>365322</v>
      </c>
      <c r="L207">
        <v>510903</v>
      </c>
    </row>
    <row r="208" spans="1:12" x14ac:dyDescent="0.35">
      <c r="A208">
        <v>2024</v>
      </c>
      <c r="B208">
        <v>5</v>
      </c>
      <c r="C208" t="s">
        <v>68</v>
      </c>
      <c r="D208" t="s">
        <v>139</v>
      </c>
      <c r="E208" t="s">
        <v>140</v>
      </c>
      <c r="F208">
        <v>34</v>
      </c>
      <c r="G208">
        <v>597502</v>
      </c>
      <c r="H208">
        <v>591217</v>
      </c>
      <c r="I208">
        <v>518403</v>
      </c>
      <c r="J208">
        <v>753687</v>
      </c>
      <c r="K208">
        <v>564967</v>
      </c>
      <c r="L208">
        <v>607467</v>
      </c>
    </row>
    <row r="209" spans="1:12" x14ac:dyDescent="0.35">
      <c r="A209">
        <v>2024</v>
      </c>
      <c r="B209">
        <v>5</v>
      </c>
      <c r="C209" t="s">
        <v>68</v>
      </c>
      <c r="D209" t="s">
        <v>141</v>
      </c>
      <c r="E209" t="s">
        <v>142</v>
      </c>
      <c r="F209">
        <v>780</v>
      </c>
      <c r="G209">
        <v>508220</v>
      </c>
      <c r="H209">
        <v>505903</v>
      </c>
      <c r="I209">
        <v>342134</v>
      </c>
      <c r="J209">
        <v>792725</v>
      </c>
      <c r="K209">
        <v>446839</v>
      </c>
      <c r="L209">
        <v>556222</v>
      </c>
    </row>
    <row r="210" spans="1:12" x14ac:dyDescent="0.35">
      <c r="A210">
        <v>2024</v>
      </c>
      <c r="B210">
        <v>5</v>
      </c>
      <c r="C210" t="s">
        <v>68</v>
      </c>
      <c r="D210" t="s">
        <v>143</v>
      </c>
      <c r="E210" t="s">
        <v>144</v>
      </c>
      <c r="F210">
        <v>4441</v>
      </c>
      <c r="G210">
        <v>287416</v>
      </c>
      <c r="H210">
        <v>278672</v>
      </c>
      <c r="I210">
        <v>229743</v>
      </c>
      <c r="J210">
        <v>467871</v>
      </c>
      <c r="K210">
        <v>262564</v>
      </c>
      <c r="L210">
        <v>305519</v>
      </c>
    </row>
    <row r="211" spans="1:12" x14ac:dyDescent="0.35">
      <c r="A211">
        <v>2024</v>
      </c>
      <c r="B211">
        <v>5</v>
      </c>
      <c r="C211" t="s">
        <v>68</v>
      </c>
      <c r="D211" t="s">
        <v>145</v>
      </c>
      <c r="E211" t="s">
        <v>146</v>
      </c>
      <c r="F211">
        <v>117</v>
      </c>
      <c r="G211">
        <v>440773</v>
      </c>
      <c r="H211">
        <v>446936</v>
      </c>
      <c r="I211">
        <v>330336</v>
      </c>
      <c r="J211">
        <v>598304</v>
      </c>
      <c r="K211">
        <v>416093</v>
      </c>
      <c r="L211">
        <v>469436</v>
      </c>
    </row>
    <row r="212" spans="1:12" x14ac:dyDescent="0.35">
      <c r="A212">
        <v>2024</v>
      </c>
      <c r="B212">
        <v>5</v>
      </c>
      <c r="C212" t="s">
        <v>68</v>
      </c>
      <c r="D212" t="s">
        <v>147</v>
      </c>
      <c r="E212" t="s">
        <v>148</v>
      </c>
      <c r="F212">
        <v>49</v>
      </c>
      <c r="G212">
        <v>358342</v>
      </c>
      <c r="H212">
        <v>335655</v>
      </c>
      <c r="I212">
        <v>297836</v>
      </c>
      <c r="J212">
        <v>507006</v>
      </c>
      <c r="K212">
        <v>313573</v>
      </c>
      <c r="L212">
        <v>406985</v>
      </c>
    </row>
    <row r="213" spans="1:12" x14ac:dyDescent="0.35">
      <c r="A213">
        <v>2024</v>
      </c>
      <c r="B213">
        <v>5</v>
      </c>
      <c r="C213" t="s">
        <v>68</v>
      </c>
      <c r="D213" t="s">
        <v>149</v>
      </c>
      <c r="E213" t="s">
        <v>150</v>
      </c>
      <c r="F213">
        <v>1717</v>
      </c>
      <c r="G213">
        <v>399985</v>
      </c>
      <c r="H213">
        <v>365974</v>
      </c>
      <c r="I213">
        <v>297836</v>
      </c>
      <c r="J213">
        <v>740916</v>
      </c>
      <c r="K213">
        <v>342366</v>
      </c>
      <c r="L213">
        <v>424485</v>
      </c>
    </row>
    <row r="214" spans="1:12" x14ac:dyDescent="0.35">
      <c r="A214">
        <v>2024</v>
      </c>
      <c r="B214">
        <v>5</v>
      </c>
      <c r="C214" t="s">
        <v>68</v>
      </c>
      <c r="D214" t="s">
        <v>151</v>
      </c>
      <c r="E214" t="s">
        <v>152</v>
      </c>
      <c r="F214">
        <v>652</v>
      </c>
      <c r="G214">
        <v>1019231</v>
      </c>
      <c r="H214">
        <v>1044725</v>
      </c>
      <c r="I214">
        <v>690287</v>
      </c>
      <c r="J214">
        <v>1432039</v>
      </c>
      <c r="K214">
        <v>881977</v>
      </c>
      <c r="L214">
        <v>1174208</v>
      </c>
    </row>
    <row r="215" spans="1:12" x14ac:dyDescent="0.35">
      <c r="A215">
        <v>2024</v>
      </c>
      <c r="B215">
        <v>5</v>
      </c>
      <c r="C215" t="s">
        <v>68</v>
      </c>
      <c r="D215" t="s">
        <v>153</v>
      </c>
      <c r="E215" t="s">
        <v>154</v>
      </c>
      <c r="F215">
        <v>124</v>
      </c>
      <c r="G215">
        <v>642436</v>
      </c>
      <c r="H215">
        <v>653895</v>
      </c>
      <c r="I215">
        <v>411061</v>
      </c>
      <c r="J215">
        <v>812667</v>
      </c>
      <c r="K215">
        <v>544980</v>
      </c>
      <c r="L215">
        <v>747628</v>
      </c>
    </row>
    <row r="216" spans="1:12" x14ac:dyDescent="0.35">
      <c r="A216">
        <v>2024</v>
      </c>
      <c r="B216">
        <v>5</v>
      </c>
      <c r="C216" t="s">
        <v>68</v>
      </c>
      <c r="D216" t="s">
        <v>155</v>
      </c>
      <c r="E216" t="s">
        <v>156</v>
      </c>
      <c r="F216">
        <v>995</v>
      </c>
      <c r="G216">
        <v>391811</v>
      </c>
      <c r="H216">
        <v>368290</v>
      </c>
      <c r="I216">
        <v>260064</v>
      </c>
      <c r="J216">
        <v>707824</v>
      </c>
      <c r="K216">
        <v>318942</v>
      </c>
      <c r="L216">
        <v>426936</v>
      </c>
    </row>
    <row r="217" spans="1:12" x14ac:dyDescent="0.35">
      <c r="A217">
        <v>2024</v>
      </c>
      <c r="B217">
        <v>5</v>
      </c>
      <c r="C217" t="s">
        <v>68</v>
      </c>
      <c r="D217" t="s">
        <v>157</v>
      </c>
      <c r="E217" t="s">
        <v>158</v>
      </c>
      <c r="F217">
        <v>160</v>
      </c>
      <c r="G217">
        <v>471604</v>
      </c>
      <c r="H217">
        <v>450544</v>
      </c>
      <c r="I217">
        <v>325286</v>
      </c>
      <c r="J217">
        <v>705140</v>
      </c>
      <c r="K217">
        <v>385322</v>
      </c>
      <c r="L217">
        <v>538403</v>
      </c>
    </row>
    <row r="218" spans="1:12" x14ac:dyDescent="0.35">
      <c r="A218">
        <v>2024</v>
      </c>
      <c r="B218">
        <v>5</v>
      </c>
      <c r="C218" t="s">
        <v>68</v>
      </c>
      <c r="D218" t="s">
        <v>159</v>
      </c>
      <c r="E218" t="s">
        <v>160</v>
      </c>
      <c r="F218">
        <v>388</v>
      </c>
      <c r="G218">
        <v>435097</v>
      </c>
      <c r="H218">
        <v>421986</v>
      </c>
      <c r="I218">
        <v>302836</v>
      </c>
      <c r="J218">
        <v>697640</v>
      </c>
      <c r="K218">
        <v>365974</v>
      </c>
      <c r="L218">
        <v>470495</v>
      </c>
    </row>
    <row r="219" spans="1:12" x14ac:dyDescent="0.35">
      <c r="A219">
        <v>2024</v>
      </c>
      <c r="B219">
        <v>5</v>
      </c>
      <c r="C219" t="s">
        <v>68</v>
      </c>
      <c r="D219" t="s">
        <v>161</v>
      </c>
      <c r="E219" t="s">
        <v>162</v>
      </c>
      <c r="F219">
        <v>126</v>
      </c>
      <c r="G219">
        <v>467644</v>
      </c>
      <c r="H219">
        <v>439436</v>
      </c>
      <c r="I219">
        <v>302836</v>
      </c>
      <c r="J219">
        <v>707824</v>
      </c>
      <c r="K219">
        <v>368290</v>
      </c>
      <c r="L219">
        <v>560570</v>
      </c>
    </row>
    <row r="220" spans="1:12" x14ac:dyDescent="0.35">
      <c r="A220">
        <v>2024</v>
      </c>
      <c r="B220">
        <v>6</v>
      </c>
      <c r="C220" t="s">
        <v>69</v>
      </c>
      <c r="D220" t="s">
        <v>77</v>
      </c>
      <c r="E220" t="s">
        <v>78</v>
      </c>
      <c r="F220">
        <v>5</v>
      </c>
      <c r="G220">
        <v>447936</v>
      </c>
      <c r="H220">
        <v>434436</v>
      </c>
      <c r="I220">
        <v>329552</v>
      </c>
      <c r="J220">
        <v>575572</v>
      </c>
      <c r="K220">
        <v>329552</v>
      </c>
      <c r="L220">
        <v>570570</v>
      </c>
    </row>
    <row r="221" spans="1:12" x14ac:dyDescent="0.35">
      <c r="A221">
        <v>2024</v>
      </c>
      <c r="B221">
        <v>6</v>
      </c>
      <c r="C221" t="s">
        <v>69</v>
      </c>
      <c r="D221" t="s">
        <v>79</v>
      </c>
      <c r="E221" t="s">
        <v>80</v>
      </c>
      <c r="F221">
        <v>174</v>
      </c>
      <c r="G221">
        <v>472811</v>
      </c>
      <c r="H221">
        <v>432540</v>
      </c>
      <c r="I221">
        <v>313573</v>
      </c>
      <c r="J221">
        <v>712640</v>
      </c>
      <c r="K221">
        <v>365749</v>
      </c>
      <c r="L221">
        <v>576038</v>
      </c>
    </row>
    <row r="222" spans="1:12" x14ac:dyDescent="0.35">
      <c r="A222">
        <v>2024</v>
      </c>
      <c r="B222">
        <v>6</v>
      </c>
      <c r="C222" t="s">
        <v>69</v>
      </c>
      <c r="D222" t="s">
        <v>81</v>
      </c>
      <c r="E222" t="s">
        <v>82</v>
      </c>
      <c r="F222">
        <v>9</v>
      </c>
      <c r="G222">
        <v>640074</v>
      </c>
      <c r="H222">
        <v>652368</v>
      </c>
      <c r="I222">
        <v>516185</v>
      </c>
      <c r="J222">
        <v>700879</v>
      </c>
      <c r="K222">
        <v>634868</v>
      </c>
      <c r="L222">
        <v>665879</v>
      </c>
    </row>
    <row r="223" spans="1:12" x14ac:dyDescent="0.35">
      <c r="A223">
        <v>2024</v>
      </c>
      <c r="B223">
        <v>6</v>
      </c>
      <c r="C223" t="s">
        <v>69</v>
      </c>
      <c r="D223" t="s">
        <v>83</v>
      </c>
      <c r="E223" t="s">
        <v>84</v>
      </c>
      <c r="F223">
        <v>47</v>
      </c>
      <c r="G223">
        <v>495000</v>
      </c>
      <c r="H223">
        <v>494104</v>
      </c>
      <c r="I223">
        <v>325286</v>
      </c>
      <c r="J223">
        <v>659955</v>
      </c>
      <c r="K223">
        <v>376366</v>
      </c>
      <c r="L223">
        <v>624400</v>
      </c>
    </row>
    <row r="224" spans="1:12" x14ac:dyDescent="0.35">
      <c r="A224">
        <v>2024</v>
      </c>
      <c r="B224">
        <v>6</v>
      </c>
      <c r="C224" t="s">
        <v>69</v>
      </c>
      <c r="D224" t="s">
        <v>85</v>
      </c>
      <c r="E224" t="s">
        <v>86</v>
      </c>
      <c r="F224">
        <v>982</v>
      </c>
      <c r="G224">
        <v>507648</v>
      </c>
      <c r="H224">
        <v>486770</v>
      </c>
      <c r="I224">
        <v>302836</v>
      </c>
      <c r="J224">
        <v>760916</v>
      </c>
      <c r="K224">
        <v>415322</v>
      </c>
      <c r="L224">
        <v>603304</v>
      </c>
    </row>
    <row r="225" spans="1:12" x14ac:dyDescent="0.35">
      <c r="A225">
        <v>2024</v>
      </c>
      <c r="B225">
        <v>6</v>
      </c>
      <c r="C225" t="s">
        <v>69</v>
      </c>
      <c r="D225" t="s">
        <v>87</v>
      </c>
      <c r="E225" t="s">
        <v>88</v>
      </c>
      <c r="F225">
        <v>4</v>
      </c>
      <c r="G225">
        <v>570050</v>
      </c>
      <c r="H225">
        <v>569690</v>
      </c>
      <c r="I225">
        <v>528403</v>
      </c>
      <c r="J225">
        <v>612418</v>
      </c>
      <c r="K225">
        <v>528403</v>
      </c>
      <c r="L225">
        <v>610977</v>
      </c>
    </row>
    <row r="226" spans="1:12" x14ac:dyDescent="0.35">
      <c r="A226">
        <v>2024</v>
      </c>
      <c r="B226">
        <v>6</v>
      </c>
      <c r="C226" t="s">
        <v>69</v>
      </c>
      <c r="D226" t="s">
        <v>89</v>
      </c>
      <c r="E226" t="s">
        <v>90</v>
      </c>
      <c r="F226">
        <v>822</v>
      </c>
      <c r="G226">
        <v>479530</v>
      </c>
      <c r="H226">
        <v>451770</v>
      </c>
      <c r="I226">
        <v>297836</v>
      </c>
      <c r="J226">
        <v>735916</v>
      </c>
      <c r="K226">
        <v>385324</v>
      </c>
      <c r="L226">
        <v>575804</v>
      </c>
    </row>
    <row r="227" spans="1:12" x14ac:dyDescent="0.35">
      <c r="A227">
        <v>2024</v>
      </c>
      <c r="B227">
        <v>6</v>
      </c>
      <c r="C227" t="s">
        <v>69</v>
      </c>
      <c r="D227" t="s">
        <v>91</v>
      </c>
      <c r="E227" t="s">
        <v>92</v>
      </c>
      <c r="F227">
        <v>122</v>
      </c>
      <c r="G227">
        <v>357155</v>
      </c>
      <c r="H227">
        <v>342366</v>
      </c>
      <c r="I227">
        <v>297836</v>
      </c>
      <c r="J227">
        <v>646900</v>
      </c>
      <c r="K227">
        <v>330286</v>
      </c>
      <c r="L227">
        <v>355790</v>
      </c>
    </row>
    <row r="228" spans="1:12" x14ac:dyDescent="0.35">
      <c r="A228">
        <v>2024</v>
      </c>
      <c r="B228">
        <v>6</v>
      </c>
      <c r="C228" t="s">
        <v>69</v>
      </c>
      <c r="D228" t="s">
        <v>93</v>
      </c>
      <c r="E228" t="s">
        <v>94</v>
      </c>
      <c r="F228">
        <v>24</v>
      </c>
      <c r="G228">
        <v>398818</v>
      </c>
      <c r="H228">
        <v>355934</v>
      </c>
      <c r="I228">
        <v>302836</v>
      </c>
      <c r="J228">
        <v>639956</v>
      </c>
      <c r="K228">
        <v>330655</v>
      </c>
      <c r="L228">
        <v>405324</v>
      </c>
    </row>
    <row r="229" spans="1:12" x14ac:dyDescent="0.35">
      <c r="A229">
        <v>2024</v>
      </c>
      <c r="B229">
        <v>6</v>
      </c>
      <c r="C229" t="s">
        <v>69</v>
      </c>
      <c r="D229" t="s">
        <v>95</v>
      </c>
      <c r="E229" t="s">
        <v>96</v>
      </c>
      <c r="F229">
        <v>15</v>
      </c>
      <c r="G229">
        <v>411347</v>
      </c>
      <c r="H229">
        <v>348155</v>
      </c>
      <c r="I229">
        <v>302836</v>
      </c>
      <c r="J229">
        <v>610939</v>
      </c>
      <c r="K229">
        <v>333840</v>
      </c>
      <c r="L229">
        <v>576038</v>
      </c>
    </row>
    <row r="230" spans="1:12" x14ac:dyDescent="0.35">
      <c r="A230">
        <v>2024</v>
      </c>
      <c r="B230">
        <v>6</v>
      </c>
      <c r="C230" t="s">
        <v>69</v>
      </c>
      <c r="D230" t="s">
        <v>97</v>
      </c>
      <c r="E230" t="s">
        <v>98</v>
      </c>
      <c r="F230">
        <v>259</v>
      </c>
      <c r="G230">
        <v>407997</v>
      </c>
      <c r="H230">
        <v>364866</v>
      </c>
      <c r="I230">
        <v>302836</v>
      </c>
      <c r="J230">
        <v>715879</v>
      </c>
      <c r="K230">
        <v>342366</v>
      </c>
      <c r="L230">
        <v>425040</v>
      </c>
    </row>
    <row r="231" spans="1:12" x14ac:dyDescent="0.35">
      <c r="A231">
        <v>2024</v>
      </c>
      <c r="B231">
        <v>6</v>
      </c>
      <c r="C231" t="s">
        <v>69</v>
      </c>
      <c r="D231" t="s">
        <v>99</v>
      </c>
      <c r="E231" t="s">
        <v>100</v>
      </c>
      <c r="F231">
        <v>443</v>
      </c>
      <c r="G231">
        <v>441180</v>
      </c>
      <c r="H231">
        <v>429485</v>
      </c>
      <c r="I231">
        <v>302836</v>
      </c>
      <c r="J231">
        <v>687590</v>
      </c>
      <c r="K231">
        <v>387822</v>
      </c>
      <c r="L231">
        <v>481936</v>
      </c>
    </row>
    <row r="232" spans="1:12" x14ac:dyDescent="0.35">
      <c r="A232">
        <v>2024</v>
      </c>
      <c r="B232">
        <v>6</v>
      </c>
      <c r="C232" t="s">
        <v>69</v>
      </c>
      <c r="D232" t="s">
        <v>101</v>
      </c>
      <c r="E232" t="s">
        <v>102</v>
      </c>
      <c r="F232">
        <v>11</v>
      </c>
      <c r="G232">
        <v>563135</v>
      </c>
      <c r="H232">
        <v>591038</v>
      </c>
      <c r="I232">
        <v>385324</v>
      </c>
      <c r="J232">
        <v>675324</v>
      </c>
      <c r="K232">
        <v>540584</v>
      </c>
      <c r="L232">
        <v>628944</v>
      </c>
    </row>
    <row r="233" spans="1:12" x14ac:dyDescent="0.35">
      <c r="A233">
        <v>2024</v>
      </c>
      <c r="B233">
        <v>6</v>
      </c>
      <c r="C233" t="s">
        <v>69</v>
      </c>
      <c r="D233" t="s">
        <v>103</v>
      </c>
      <c r="E233" t="s">
        <v>104</v>
      </c>
      <c r="F233">
        <v>9</v>
      </c>
      <c r="G233">
        <v>351466</v>
      </c>
      <c r="H233">
        <v>332786</v>
      </c>
      <c r="I233">
        <v>302836</v>
      </c>
      <c r="J233">
        <v>450495</v>
      </c>
      <c r="K233">
        <v>321073</v>
      </c>
      <c r="L233">
        <v>364866</v>
      </c>
    </row>
    <row r="234" spans="1:12" x14ac:dyDescent="0.35">
      <c r="A234">
        <v>2024</v>
      </c>
      <c r="B234">
        <v>6</v>
      </c>
      <c r="C234" t="s">
        <v>69</v>
      </c>
      <c r="D234" t="s">
        <v>105</v>
      </c>
      <c r="E234" t="s">
        <v>106</v>
      </c>
      <c r="F234">
        <v>37</v>
      </c>
      <c r="G234">
        <v>442345</v>
      </c>
      <c r="H234">
        <v>406985</v>
      </c>
      <c r="I234">
        <v>302836</v>
      </c>
      <c r="J234">
        <v>692824</v>
      </c>
      <c r="K234">
        <v>345286</v>
      </c>
      <c r="L234">
        <v>520903</v>
      </c>
    </row>
    <row r="235" spans="1:12" x14ac:dyDescent="0.35">
      <c r="A235">
        <v>2024</v>
      </c>
      <c r="B235">
        <v>6</v>
      </c>
      <c r="C235" t="s">
        <v>69</v>
      </c>
      <c r="D235" t="s">
        <v>107</v>
      </c>
      <c r="E235" t="s">
        <v>108</v>
      </c>
      <c r="F235">
        <v>2</v>
      </c>
      <c r="G235">
        <v>357920</v>
      </c>
      <c r="H235">
        <v>357920</v>
      </c>
      <c r="I235">
        <v>342366</v>
      </c>
      <c r="J235">
        <v>373474</v>
      </c>
      <c r="K235">
        <v>342366</v>
      </c>
      <c r="L235">
        <v>373474</v>
      </c>
    </row>
    <row r="236" spans="1:12" x14ac:dyDescent="0.35">
      <c r="A236">
        <v>2024</v>
      </c>
      <c r="B236">
        <v>6</v>
      </c>
      <c r="C236" t="s">
        <v>69</v>
      </c>
      <c r="D236" t="s">
        <v>109</v>
      </c>
      <c r="E236" t="s">
        <v>110</v>
      </c>
      <c r="F236">
        <v>4912</v>
      </c>
      <c r="G236">
        <v>548604</v>
      </c>
      <c r="H236">
        <v>514658</v>
      </c>
      <c r="I236">
        <v>407405</v>
      </c>
      <c r="J236">
        <v>808269</v>
      </c>
      <c r="K236">
        <v>447405</v>
      </c>
      <c r="L236">
        <v>663058</v>
      </c>
    </row>
    <row r="237" spans="1:12" x14ac:dyDescent="0.35">
      <c r="A237">
        <v>2024</v>
      </c>
      <c r="B237">
        <v>6</v>
      </c>
      <c r="C237" t="s">
        <v>69</v>
      </c>
      <c r="D237" t="s">
        <v>111</v>
      </c>
      <c r="E237" t="s">
        <v>112</v>
      </c>
      <c r="F237">
        <v>14122</v>
      </c>
      <c r="G237">
        <v>339335</v>
      </c>
      <c r="H237">
        <v>318942</v>
      </c>
      <c r="I237">
        <v>234373</v>
      </c>
      <c r="J237">
        <v>670977</v>
      </c>
      <c r="K237">
        <v>290752</v>
      </c>
      <c r="L237">
        <v>360052</v>
      </c>
    </row>
    <row r="238" spans="1:12" x14ac:dyDescent="0.35">
      <c r="A238">
        <v>2024</v>
      </c>
      <c r="B238">
        <v>6</v>
      </c>
      <c r="C238" t="s">
        <v>69</v>
      </c>
      <c r="D238" t="s">
        <v>113</v>
      </c>
      <c r="E238" t="s">
        <v>114</v>
      </c>
      <c r="F238">
        <v>7835</v>
      </c>
      <c r="G238">
        <v>321503</v>
      </c>
      <c r="H238">
        <v>308942</v>
      </c>
      <c r="I238">
        <v>260064</v>
      </c>
      <c r="J238">
        <v>575570</v>
      </c>
      <c r="K238">
        <v>285986</v>
      </c>
      <c r="L238">
        <v>335052</v>
      </c>
    </row>
    <row r="239" spans="1:12" x14ac:dyDescent="0.35">
      <c r="A239">
        <v>2024</v>
      </c>
      <c r="B239">
        <v>6</v>
      </c>
      <c r="C239" t="s">
        <v>69</v>
      </c>
      <c r="D239" t="s">
        <v>115</v>
      </c>
      <c r="E239" t="s">
        <v>116</v>
      </c>
      <c r="F239">
        <v>84</v>
      </c>
      <c r="G239">
        <v>583030</v>
      </c>
      <c r="H239">
        <v>565250</v>
      </c>
      <c r="I239">
        <v>417405</v>
      </c>
      <c r="J239">
        <v>825535</v>
      </c>
      <c r="K239">
        <v>494941</v>
      </c>
      <c r="L239">
        <v>688564</v>
      </c>
    </row>
    <row r="240" spans="1:12" x14ac:dyDescent="0.35">
      <c r="A240">
        <v>2024</v>
      </c>
      <c r="B240">
        <v>6</v>
      </c>
      <c r="C240" t="s">
        <v>69</v>
      </c>
      <c r="D240" t="s">
        <v>117</v>
      </c>
      <c r="E240" t="s">
        <v>118</v>
      </c>
      <c r="F240">
        <v>394</v>
      </c>
      <c r="G240">
        <v>574113</v>
      </c>
      <c r="H240">
        <v>539910</v>
      </c>
      <c r="I240">
        <v>407405</v>
      </c>
      <c r="J240">
        <v>793269</v>
      </c>
      <c r="K240">
        <v>458094</v>
      </c>
      <c r="L240">
        <v>688564</v>
      </c>
    </row>
    <row r="241" spans="1:12" x14ac:dyDescent="0.35">
      <c r="A241">
        <v>2024</v>
      </c>
      <c r="B241">
        <v>6</v>
      </c>
      <c r="C241" t="s">
        <v>69</v>
      </c>
      <c r="D241" t="s">
        <v>119</v>
      </c>
      <c r="E241" t="s">
        <v>120</v>
      </c>
      <c r="F241">
        <v>971</v>
      </c>
      <c r="G241">
        <v>492528</v>
      </c>
      <c r="H241">
        <v>472441</v>
      </c>
      <c r="I241">
        <v>407405</v>
      </c>
      <c r="J241">
        <v>788035</v>
      </c>
      <c r="K241">
        <v>439485</v>
      </c>
      <c r="L241">
        <v>519658</v>
      </c>
    </row>
    <row r="242" spans="1:12" x14ac:dyDescent="0.35">
      <c r="A242">
        <v>2024</v>
      </c>
      <c r="B242">
        <v>6</v>
      </c>
      <c r="C242" t="s">
        <v>69</v>
      </c>
      <c r="D242" t="s">
        <v>121</v>
      </c>
      <c r="E242" t="s">
        <v>122</v>
      </c>
      <c r="F242">
        <v>513</v>
      </c>
      <c r="G242">
        <v>451106</v>
      </c>
      <c r="H242">
        <v>445495</v>
      </c>
      <c r="I242">
        <v>320655</v>
      </c>
      <c r="J242">
        <v>672689</v>
      </c>
      <c r="K242">
        <v>399485</v>
      </c>
      <c r="L242">
        <v>502848</v>
      </c>
    </row>
    <row r="243" spans="1:12" x14ac:dyDescent="0.35">
      <c r="A243">
        <v>2024</v>
      </c>
      <c r="B243">
        <v>6</v>
      </c>
      <c r="C243" t="s">
        <v>69</v>
      </c>
      <c r="D243" t="s">
        <v>123</v>
      </c>
      <c r="E243" t="s">
        <v>124</v>
      </c>
      <c r="F243">
        <v>1</v>
      </c>
      <c r="G243">
        <v>318942</v>
      </c>
      <c r="H243">
        <v>318942</v>
      </c>
      <c r="I243">
        <v>318942</v>
      </c>
      <c r="J243">
        <v>318942</v>
      </c>
      <c r="K243">
        <v>318942</v>
      </c>
      <c r="L243">
        <v>318942</v>
      </c>
    </row>
    <row r="244" spans="1:12" x14ac:dyDescent="0.35">
      <c r="A244">
        <v>2024</v>
      </c>
      <c r="B244">
        <v>6</v>
      </c>
      <c r="C244" t="s">
        <v>69</v>
      </c>
      <c r="D244" t="s">
        <v>125</v>
      </c>
      <c r="E244" t="s">
        <v>126</v>
      </c>
      <c r="F244">
        <v>179</v>
      </c>
      <c r="G244">
        <v>406729</v>
      </c>
      <c r="H244">
        <v>353474</v>
      </c>
      <c r="I244">
        <v>325286</v>
      </c>
      <c r="J244">
        <v>695234</v>
      </c>
      <c r="K244">
        <v>339866</v>
      </c>
      <c r="L244">
        <v>453044</v>
      </c>
    </row>
    <row r="245" spans="1:12" x14ac:dyDescent="0.35">
      <c r="A245">
        <v>2024</v>
      </c>
      <c r="B245">
        <v>6</v>
      </c>
      <c r="C245" t="s">
        <v>69</v>
      </c>
      <c r="D245" t="s">
        <v>127</v>
      </c>
      <c r="E245" t="s">
        <v>128</v>
      </c>
      <c r="F245">
        <v>4792</v>
      </c>
      <c r="G245">
        <v>880559</v>
      </c>
      <c r="H245">
        <v>830116</v>
      </c>
      <c r="I245">
        <v>659169</v>
      </c>
      <c r="J245">
        <v>1436081</v>
      </c>
      <c r="K245">
        <v>731520</v>
      </c>
      <c r="L245">
        <v>953060</v>
      </c>
    </row>
    <row r="246" spans="1:12" x14ac:dyDescent="0.35">
      <c r="A246">
        <v>2024</v>
      </c>
      <c r="B246">
        <v>6</v>
      </c>
      <c r="C246" t="s">
        <v>69</v>
      </c>
      <c r="D246" t="s">
        <v>129</v>
      </c>
      <c r="E246" t="s">
        <v>130</v>
      </c>
      <c r="F246">
        <v>346</v>
      </c>
      <c r="G246">
        <v>500520</v>
      </c>
      <c r="H246">
        <v>511321</v>
      </c>
      <c r="I246">
        <v>355926</v>
      </c>
      <c r="J246">
        <v>725965</v>
      </c>
      <c r="K246">
        <v>407540</v>
      </c>
      <c r="L246">
        <v>579967</v>
      </c>
    </row>
    <row r="247" spans="1:12" x14ac:dyDescent="0.35">
      <c r="A247">
        <v>2024</v>
      </c>
      <c r="B247">
        <v>6</v>
      </c>
      <c r="C247" t="s">
        <v>69</v>
      </c>
      <c r="D247" t="s">
        <v>131</v>
      </c>
      <c r="E247" t="s">
        <v>132</v>
      </c>
      <c r="F247">
        <v>33932</v>
      </c>
      <c r="G247">
        <v>522287</v>
      </c>
      <c r="H247">
        <v>496555</v>
      </c>
      <c r="I247">
        <v>333389</v>
      </c>
      <c r="J247">
        <v>887702</v>
      </c>
      <c r="K247">
        <v>441838</v>
      </c>
      <c r="L247">
        <v>592467</v>
      </c>
    </row>
    <row r="248" spans="1:12" x14ac:dyDescent="0.35">
      <c r="A248">
        <v>2024</v>
      </c>
      <c r="B248">
        <v>6</v>
      </c>
      <c r="C248" t="s">
        <v>69</v>
      </c>
      <c r="D248" t="s">
        <v>133</v>
      </c>
      <c r="E248" t="s">
        <v>134</v>
      </c>
      <c r="F248">
        <v>83823</v>
      </c>
      <c r="G248">
        <v>400543</v>
      </c>
      <c r="H248">
        <v>402540</v>
      </c>
      <c r="I248">
        <v>266776</v>
      </c>
      <c r="J248">
        <v>584914</v>
      </c>
      <c r="K248">
        <v>323155</v>
      </c>
      <c r="L248">
        <v>452023</v>
      </c>
    </row>
    <row r="249" spans="1:12" x14ac:dyDescent="0.35">
      <c r="A249">
        <v>2024</v>
      </c>
      <c r="B249">
        <v>6</v>
      </c>
      <c r="C249" t="s">
        <v>69</v>
      </c>
      <c r="D249" t="s">
        <v>135</v>
      </c>
      <c r="E249" t="s">
        <v>136</v>
      </c>
      <c r="F249">
        <v>20395</v>
      </c>
      <c r="G249">
        <v>705693</v>
      </c>
      <c r="H249">
        <v>689955</v>
      </c>
      <c r="I249">
        <v>406383</v>
      </c>
      <c r="J249">
        <v>1044535</v>
      </c>
      <c r="K249">
        <v>635237</v>
      </c>
      <c r="L249">
        <v>798133</v>
      </c>
    </row>
    <row r="250" spans="1:12" x14ac:dyDescent="0.35">
      <c r="A250">
        <v>2024</v>
      </c>
      <c r="B250">
        <v>6</v>
      </c>
      <c r="C250" t="s">
        <v>69</v>
      </c>
      <c r="D250" t="s">
        <v>137</v>
      </c>
      <c r="E250" t="s">
        <v>138</v>
      </c>
      <c r="F250">
        <v>10514</v>
      </c>
      <c r="G250">
        <v>448406</v>
      </c>
      <c r="H250">
        <v>446838</v>
      </c>
      <c r="I250">
        <v>262563</v>
      </c>
      <c r="J250">
        <v>799008</v>
      </c>
      <c r="K250">
        <v>363426</v>
      </c>
      <c r="L250">
        <v>510903</v>
      </c>
    </row>
    <row r="251" spans="1:12" x14ac:dyDescent="0.35">
      <c r="A251">
        <v>2024</v>
      </c>
      <c r="B251">
        <v>6</v>
      </c>
      <c r="C251" t="s">
        <v>69</v>
      </c>
      <c r="D251" t="s">
        <v>139</v>
      </c>
      <c r="E251" t="s">
        <v>140</v>
      </c>
      <c r="F251">
        <v>34</v>
      </c>
      <c r="G251">
        <v>597355</v>
      </c>
      <c r="H251">
        <v>589967</v>
      </c>
      <c r="I251">
        <v>518403</v>
      </c>
      <c r="J251">
        <v>753687</v>
      </c>
      <c r="K251">
        <v>564967</v>
      </c>
      <c r="L251">
        <v>607467</v>
      </c>
    </row>
    <row r="252" spans="1:12" x14ac:dyDescent="0.35">
      <c r="A252">
        <v>2024</v>
      </c>
      <c r="B252">
        <v>6</v>
      </c>
      <c r="C252" t="s">
        <v>69</v>
      </c>
      <c r="D252" t="s">
        <v>141</v>
      </c>
      <c r="E252" t="s">
        <v>142</v>
      </c>
      <c r="F252">
        <v>777</v>
      </c>
      <c r="G252">
        <v>508322</v>
      </c>
      <c r="H252">
        <v>505903</v>
      </c>
      <c r="I252">
        <v>342134</v>
      </c>
      <c r="J252">
        <v>768640</v>
      </c>
      <c r="K252">
        <v>450544</v>
      </c>
      <c r="L252">
        <v>558722</v>
      </c>
    </row>
    <row r="253" spans="1:12" x14ac:dyDescent="0.35">
      <c r="A253">
        <v>2024</v>
      </c>
      <c r="B253">
        <v>6</v>
      </c>
      <c r="C253" t="s">
        <v>69</v>
      </c>
      <c r="D253" t="s">
        <v>143</v>
      </c>
      <c r="E253" t="s">
        <v>144</v>
      </c>
      <c r="F253">
        <v>4462</v>
      </c>
      <c r="G253">
        <v>287936</v>
      </c>
      <c r="H253">
        <v>280986</v>
      </c>
      <c r="I253">
        <v>229743</v>
      </c>
      <c r="J253">
        <v>465932</v>
      </c>
      <c r="K253">
        <v>262797</v>
      </c>
      <c r="L253">
        <v>305519</v>
      </c>
    </row>
    <row r="254" spans="1:12" x14ac:dyDescent="0.35">
      <c r="A254">
        <v>2024</v>
      </c>
      <c r="B254">
        <v>6</v>
      </c>
      <c r="C254" t="s">
        <v>69</v>
      </c>
      <c r="D254" t="s">
        <v>145</v>
      </c>
      <c r="E254" t="s">
        <v>146</v>
      </c>
      <c r="F254">
        <v>117</v>
      </c>
      <c r="G254">
        <v>440536</v>
      </c>
      <c r="H254">
        <v>446936</v>
      </c>
      <c r="I254">
        <v>330336</v>
      </c>
      <c r="J254">
        <v>598304</v>
      </c>
      <c r="K254">
        <v>420324</v>
      </c>
      <c r="L254">
        <v>469436</v>
      </c>
    </row>
    <row r="255" spans="1:12" x14ac:dyDescent="0.35">
      <c r="A255">
        <v>2024</v>
      </c>
      <c r="B255">
        <v>6</v>
      </c>
      <c r="C255" t="s">
        <v>69</v>
      </c>
      <c r="D255" t="s">
        <v>147</v>
      </c>
      <c r="E255" t="s">
        <v>148</v>
      </c>
      <c r="F255">
        <v>51</v>
      </c>
      <c r="G255">
        <v>355500</v>
      </c>
      <c r="H255">
        <v>335655</v>
      </c>
      <c r="I255">
        <v>297836</v>
      </c>
      <c r="J255">
        <v>507006</v>
      </c>
      <c r="K255">
        <v>313573</v>
      </c>
      <c r="L255">
        <v>406985</v>
      </c>
    </row>
    <row r="256" spans="1:12" x14ac:dyDescent="0.35">
      <c r="A256">
        <v>2024</v>
      </c>
      <c r="B256">
        <v>6</v>
      </c>
      <c r="C256" t="s">
        <v>69</v>
      </c>
      <c r="D256" t="s">
        <v>149</v>
      </c>
      <c r="E256" t="s">
        <v>150</v>
      </c>
      <c r="F256">
        <v>1764</v>
      </c>
      <c r="G256">
        <v>399521</v>
      </c>
      <c r="H256">
        <v>365974</v>
      </c>
      <c r="I256">
        <v>297836</v>
      </c>
      <c r="J256">
        <v>740916</v>
      </c>
      <c r="K256">
        <v>342366</v>
      </c>
      <c r="L256">
        <v>422822</v>
      </c>
    </row>
    <row r="257" spans="1:12" x14ac:dyDescent="0.35">
      <c r="A257">
        <v>2024</v>
      </c>
      <c r="B257">
        <v>6</v>
      </c>
      <c r="C257" t="s">
        <v>69</v>
      </c>
      <c r="D257" t="s">
        <v>151</v>
      </c>
      <c r="E257" t="s">
        <v>152</v>
      </c>
      <c r="F257">
        <v>643</v>
      </c>
      <c r="G257">
        <v>998893</v>
      </c>
      <c r="H257">
        <v>1044725</v>
      </c>
      <c r="I257">
        <v>690287</v>
      </c>
      <c r="J257">
        <v>1278458</v>
      </c>
      <c r="K257">
        <v>856977</v>
      </c>
      <c r="L257">
        <v>1124208</v>
      </c>
    </row>
    <row r="258" spans="1:12" x14ac:dyDescent="0.35">
      <c r="A258">
        <v>2024</v>
      </c>
      <c r="B258">
        <v>6</v>
      </c>
      <c r="C258" t="s">
        <v>69</v>
      </c>
      <c r="D258" t="s">
        <v>153</v>
      </c>
      <c r="E258" t="s">
        <v>154</v>
      </c>
      <c r="F258">
        <v>125</v>
      </c>
      <c r="G258">
        <v>643838</v>
      </c>
      <c r="H258">
        <v>653895</v>
      </c>
      <c r="I258">
        <v>411061</v>
      </c>
      <c r="J258">
        <v>812667</v>
      </c>
      <c r="K258">
        <v>544980</v>
      </c>
      <c r="L258">
        <v>757630</v>
      </c>
    </row>
    <row r="259" spans="1:12" x14ac:dyDescent="0.35">
      <c r="A259">
        <v>2024</v>
      </c>
      <c r="B259">
        <v>6</v>
      </c>
      <c r="C259" t="s">
        <v>69</v>
      </c>
      <c r="D259" t="s">
        <v>155</v>
      </c>
      <c r="E259" t="s">
        <v>156</v>
      </c>
      <c r="F259">
        <v>997</v>
      </c>
      <c r="G259">
        <v>393193</v>
      </c>
      <c r="H259">
        <v>370322</v>
      </c>
      <c r="I259">
        <v>260064</v>
      </c>
      <c r="J259">
        <v>707824</v>
      </c>
      <c r="K259">
        <v>320519</v>
      </c>
      <c r="L259">
        <v>427540</v>
      </c>
    </row>
    <row r="260" spans="1:12" x14ac:dyDescent="0.35">
      <c r="A260">
        <v>2024</v>
      </c>
      <c r="B260">
        <v>6</v>
      </c>
      <c r="C260" t="s">
        <v>69</v>
      </c>
      <c r="D260" t="s">
        <v>157</v>
      </c>
      <c r="E260" t="s">
        <v>158</v>
      </c>
      <c r="F260">
        <v>165</v>
      </c>
      <c r="G260">
        <v>469897</v>
      </c>
      <c r="H260">
        <v>450544</v>
      </c>
      <c r="I260">
        <v>325286</v>
      </c>
      <c r="J260">
        <v>705140</v>
      </c>
      <c r="K260">
        <v>385322</v>
      </c>
      <c r="L260">
        <v>538403</v>
      </c>
    </row>
    <row r="261" spans="1:12" x14ac:dyDescent="0.35">
      <c r="A261">
        <v>2024</v>
      </c>
      <c r="B261">
        <v>6</v>
      </c>
      <c r="C261" t="s">
        <v>69</v>
      </c>
      <c r="D261" t="s">
        <v>159</v>
      </c>
      <c r="E261" t="s">
        <v>160</v>
      </c>
      <c r="F261">
        <v>388</v>
      </c>
      <c r="G261">
        <v>435205</v>
      </c>
      <c r="H261">
        <v>421986</v>
      </c>
      <c r="I261">
        <v>302836</v>
      </c>
      <c r="J261">
        <v>697640</v>
      </c>
      <c r="K261">
        <v>363290</v>
      </c>
      <c r="L261">
        <v>470495</v>
      </c>
    </row>
    <row r="262" spans="1:12" x14ac:dyDescent="0.35">
      <c r="A262">
        <v>2024</v>
      </c>
      <c r="B262">
        <v>6</v>
      </c>
      <c r="C262" t="s">
        <v>69</v>
      </c>
      <c r="D262" t="s">
        <v>161</v>
      </c>
      <c r="E262" t="s">
        <v>162</v>
      </c>
      <c r="F262">
        <v>126</v>
      </c>
      <c r="G262">
        <v>467795</v>
      </c>
      <c r="H262">
        <v>439436</v>
      </c>
      <c r="I262">
        <v>302836</v>
      </c>
      <c r="J262">
        <v>707824</v>
      </c>
      <c r="K262">
        <v>368290</v>
      </c>
      <c r="L262">
        <v>560570</v>
      </c>
    </row>
    <row r="263" spans="1:12" x14ac:dyDescent="0.35">
      <c r="A263">
        <v>2024</v>
      </c>
      <c r="B263">
        <v>7</v>
      </c>
      <c r="C263" t="s">
        <v>70</v>
      </c>
      <c r="D263" t="s">
        <v>77</v>
      </c>
      <c r="E263" t="s">
        <v>78</v>
      </c>
      <c r="F263">
        <v>5</v>
      </c>
      <c r="G263">
        <v>446378</v>
      </c>
      <c r="H263">
        <v>434436</v>
      </c>
      <c r="I263">
        <v>325655</v>
      </c>
      <c r="J263">
        <v>575572</v>
      </c>
      <c r="K263">
        <v>325655</v>
      </c>
      <c r="L263">
        <v>570570</v>
      </c>
    </row>
    <row r="264" spans="1:12" x14ac:dyDescent="0.35">
      <c r="A264">
        <v>2024</v>
      </c>
      <c r="B264">
        <v>7</v>
      </c>
      <c r="C264" t="s">
        <v>70</v>
      </c>
      <c r="D264" t="s">
        <v>79</v>
      </c>
      <c r="E264" t="s">
        <v>80</v>
      </c>
      <c r="F264">
        <v>174</v>
      </c>
      <c r="G264">
        <v>472207</v>
      </c>
      <c r="H264">
        <v>427262</v>
      </c>
      <c r="I264">
        <v>313573</v>
      </c>
      <c r="J264">
        <v>712640</v>
      </c>
      <c r="K264">
        <v>358474</v>
      </c>
      <c r="L264">
        <v>576038</v>
      </c>
    </row>
    <row r="265" spans="1:12" x14ac:dyDescent="0.35">
      <c r="A265">
        <v>2024</v>
      </c>
      <c r="B265">
        <v>7</v>
      </c>
      <c r="C265" t="s">
        <v>70</v>
      </c>
      <c r="D265" t="s">
        <v>81</v>
      </c>
      <c r="E265" t="s">
        <v>82</v>
      </c>
      <c r="F265">
        <v>9</v>
      </c>
      <c r="G265">
        <v>640074</v>
      </c>
      <c r="H265">
        <v>652368</v>
      </c>
      <c r="I265">
        <v>516185</v>
      </c>
      <c r="J265">
        <v>700879</v>
      </c>
      <c r="K265">
        <v>634868</v>
      </c>
      <c r="L265">
        <v>665879</v>
      </c>
    </row>
    <row r="266" spans="1:12" x14ac:dyDescent="0.35">
      <c r="A266">
        <v>2024</v>
      </c>
      <c r="B266">
        <v>7</v>
      </c>
      <c r="C266" t="s">
        <v>70</v>
      </c>
      <c r="D266" t="s">
        <v>83</v>
      </c>
      <c r="E266" t="s">
        <v>84</v>
      </c>
      <c r="F266">
        <v>48</v>
      </c>
      <c r="G266">
        <v>493713</v>
      </c>
      <c r="H266">
        <v>492854</v>
      </c>
      <c r="I266">
        <v>325286</v>
      </c>
      <c r="J266">
        <v>659955</v>
      </c>
      <c r="K266">
        <v>365974</v>
      </c>
      <c r="L266">
        <v>602418</v>
      </c>
    </row>
    <row r="267" spans="1:12" x14ac:dyDescent="0.35">
      <c r="A267">
        <v>2024</v>
      </c>
      <c r="B267">
        <v>7</v>
      </c>
      <c r="C267" t="s">
        <v>70</v>
      </c>
      <c r="D267" t="s">
        <v>85</v>
      </c>
      <c r="E267" t="s">
        <v>86</v>
      </c>
      <c r="F267">
        <v>1005</v>
      </c>
      <c r="G267">
        <v>506889</v>
      </c>
      <c r="H267">
        <v>489733</v>
      </c>
      <c r="I267">
        <v>302836</v>
      </c>
      <c r="J267">
        <v>760916</v>
      </c>
      <c r="K267">
        <v>412822</v>
      </c>
      <c r="L267">
        <v>603304</v>
      </c>
    </row>
    <row r="268" spans="1:12" x14ac:dyDescent="0.35">
      <c r="A268">
        <v>2024</v>
      </c>
      <c r="B268">
        <v>7</v>
      </c>
      <c r="C268" t="s">
        <v>70</v>
      </c>
      <c r="D268" t="s">
        <v>87</v>
      </c>
      <c r="E268" t="s">
        <v>88</v>
      </c>
      <c r="F268">
        <v>4</v>
      </c>
      <c r="G268">
        <v>575755</v>
      </c>
      <c r="H268">
        <v>570410</v>
      </c>
      <c r="I268">
        <v>528403</v>
      </c>
      <c r="J268">
        <v>633796</v>
      </c>
      <c r="K268">
        <v>528403</v>
      </c>
      <c r="L268">
        <v>612418</v>
      </c>
    </row>
    <row r="269" spans="1:12" x14ac:dyDescent="0.35">
      <c r="A269">
        <v>2024</v>
      </c>
      <c r="B269">
        <v>7</v>
      </c>
      <c r="C269" t="s">
        <v>70</v>
      </c>
      <c r="D269" t="s">
        <v>89</v>
      </c>
      <c r="E269" t="s">
        <v>90</v>
      </c>
      <c r="F269">
        <v>832</v>
      </c>
      <c r="G269">
        <v>481434</v>
      </c>
      <c r="H269">
        <v>453020</v>
      </c>
      <c r="I269">
        <v>297836</v>
      </c>
      <c r="J269">
        <v>740918</v>
      </c>
      <c r="K269">
        <v>388474</v>
      </c>
      <c r="L269">
        <v>575804</v>
      </c>
    </row>
    <row r="270" spans="1:12" x14ac:dyDescent="0.35">
      <c r="A270">
        <v>2024</v>
      </c>
      <c r="B270">
        <v>7</v>
      </c>
      <c r="C270" t="s">
        <v>70</v>
      </c>
      <c r="D270" t="s">
        <v>91</v>
      </c>
      <c r="E270" t="s">
        <v>92</v>
      </c>
      <c r="F270">
        <v>127</v>
      </c>
      <c r="G270">
        <v>358663</v>
      </c>
      <c r="H270">
        <v>342366</v>
      </c>
      <c r="I270">
        <v>302836</v>
      </c>
      <c r="J270">
        <v>691882</v>
      </c>
      <c r="K270">
        <v>330286</v>
      </c>
      <c r="L270">
        <v>355655</v>
      </c>
    </row>
    <row r="271" spans="1:12" x14ac:dyDescent="0.35">
      <c r="A271">
        <v>2024</v>
      </c>
      <c r="B271">
        <v>7</v>
      </c>
      <c r="C271" t="s">
        <v>70</v>
      </c>
      <c r="D271" t="s">
        <v>93</v>
      </c>
      <c r="E271" t="s">
        <v>94</v>
      </c>
      <c r="F271">
        <v>23</v>
      </c>
      <c r="G271">
        <v>387852</v>
      </c>
      <c r="H271">
        <v>363292</v>
      </c>
      <c r="I271">
        <v>302836</v>
      </c>
      <c r="J271">
        <v>639956</v>
      </c>
      <c r="K271">
        <v>335655</v>
      </c>
      <c r="L271">
        <v>390322</v>
      </c>
    </row>
    <row r="272" spans="1:12" x14ac:dyDescent="0.35">
      <c r="A272">
        <v>2024</v>
      </c>
      <c r="B272">
        <v>7</v>
      </c>
      <c r="C272" t="s">
        <v>70</v>
      </c>
      <c r="D272" t="s">
        <v>95</v>
      </c>
      <c r="E272" t="s">
        <v>96</v>
      </c>
      <c r="F272">
        <v>15</v>
      </c>
      <c r="G272">
        <v>415734</v>
      </c>
      <c r="H272">
        <v>348155</v>
      </c>
      <c r="I272">
        <v>310336</v>
      </c>
      <c r="J272">
        <v>610939</v>
      </c>
      <c r="K272">
        <v>333155</v>
      </c>
      <c r="L272">
        <v>576038</v>
      </c>
    </row>
    <row r="273" spans="1:12" x14ac:dyDescent="0.35">
      <c r="A273">
        <v>2024</v>
      </c>
      <c r="B273">
        <v>7</v>
      </c>
      <c r="C273" t="s">
        <v>70</v>
      </c>
      <c r="D273" t="s">
        <v>97</v>
      </c>
      <c r="E273" t="s">
        <v>98</v>
      </c>
      <c r="F273">
        <v>263</v>
      </c>
      <c r="G273">
        <v>408336</v>
      </c>
      <c r="H273">
        <v>360974</v>
      </c>
      <c r="I273">
        <v>302836</v>
      </c>
      <c r="J273">
        <v>715879</v>
      </c>
      <c r="K273">
        <v>342366</v>
      </c>
      <c r="L273">
        <v>431936</v>
      </c>
    </row>
    <row r="274" spans="1:12" x14ac:dyDescent="0.35">
      <c r="A274">
        <v>2024</v>
      </c>
      <c r="B274">
        <v>7</v>
      </c>
      <c r="C274" t="s">
        <v>70</v>
      </c>
      <c r="D274" t="s">
        <v>99</v>
      </c>
      <c r="E274" t="s">
        <v>100</v>
      </c>
      <c r="F274">
        <v>441</v>
      </c>
      <c r="G274">
        <v>441267</v>
      </c>
      <c r="H274">
        <v>429485</v>
      </c>
      <c r="I274">
        <v>302836</v>
      </c>
      <c r="J274">
        <v>687590</v>
      </c>
      <c r="K274">
        <v>387822</v>
      </c>
      <c r="L274">
        <v>481936</v>
      </c>
    </row>
    <row r="275" spans="1:12" x14ac:dyDescent="0.35">
      <c r="A275">
        <v>2024</v>
      </c>
      <c r="B275">
        <v>7</v>
      </c>
      <c r="C275" t="s">
        <v>70</v>
      </c>
      <c r="D275" t="s">
        <v>101</v>
      </c>
      <c r="E275" t="s">
        <v>102</v>
      </c>
      <c r="F275">
        <v>11</v>
      </c>
      <c r="G275">
        <v>563135</v>
      </c>
      <c r="H275">
        <v>591038</v>
      </c>
      <c r="I275">
        <v>385324</v>
      </c>
      <c r="J275">
        <v>675324</v>
      </c>
      <c r="K275">
        <v>540584</v>
      </c>
      <c r="L275">
        <v>628944</v>
      </c>
    </row>
    <row r="276" spans="1:12" x14ac:dyDescent="0.35">
      <c r="A276">
        <v>2024</v>
      </c>
      <c r="B276">
        <v>7</v>
      </c>
      <c r="C276" t="s">
        <v>70</v>
      </c>
      <c r="D276" t="s">
        <v>103</v>
      </c>
      <c r="E276" t="s">
        <v>104</v>
      </c>
      <c r="F276">
        <v>9</v>
      </c>
      <c r="G276">
        <v>354167</v>
      </c>
      <c r="H276">
        <v>332786</v>
      </c>
      <c r="I276">
        <v>313573</v>
      </c>
      <c r="J276">
        <v>450495</v>
      </c>
      <c r="K276">
        <v>321073</v>
      </c>
      <c r="L276">
        <v>364866</v>
      </c>
    </row>
    <row r="277" spans="1:12" x14ac:dyDescent="0.35">
      <c r="A277">
        <v>2024</v>
      </c>
      <c r="B277">
        <v>7</v>
      </c>
      <c r="C277" t="s">
        <v>70</v>
      </c>
      <c r="D277" t="s">
        <v>105</v>
      </c>
      <c r="E277" t="s">
        <v>106</v>
      </c>
      <c r="F277">
        <v>37</v>
      </c>
      <c r="G277">
        <v>441351</v>
      </c>
      <c r="H277">
        <v>406985</v>
      </c>
      <c r="I277">
        <v>302836</v>
      </c>
      <c r="J277">
        <v>692824</v>
      </c>
      <c r="K277">
        <v>345286</v>
      </c>
      <c r="L277">
        <v>520903</v>
      </c>
    </row>
    <row r="278" spans="1:12" x14ac:dyDescent="0.35">
      <c r="A278">
        <v>2024</v>
      </c>
      <c r="B278">
        <v>7</v>
      </c>
      <c r="C278" t="s">
        <v>70</v>
      </c>
      <c r="D278" t="s">
        <v>107</v>
      </c>
      <c r="E278" t="s">
        <v>108</v>
      </c>
      <c r="F278">
        <v>2</v>
      </c>
      <c r="G278">
        <v>357920</v>
      </c>
      <c r="H278">
        <v>357920</v>
      </c>
      <c r="I278">
        <v>342366</v>
      </c>
      <c r="J278">
        <v>373474</v>
      </c>
      <c r="K278">
        <v>342366</v>
      </c>
      <c r="L278">
        <v>373474</v>
      </c>
    </row>
    <row r="279" spans="1:12" x14ac:dyDescent="0.35">
      <c r="A279">
        <v>2024</v>
      </c>
      <c r="B279">
        <v>7</v>
      </c>
      <c r="C279" t="s">
        <v>70</v>
      </c>
      <c r="D279" t="s">
        <v>109</v>
      </c>
      <c r="E279" t="s">
        <v>110</v>
      </c>
      <c r="F279">
        <v>4922</v>
      </c>
      <c r="G279">
        <v>548563</v>
      </c>
      <c r="H279">
        <v>514658</v>
      </c>
      <c r="I279">
        <v>407405</v>
      </c>
      <c r="J279">
        <v>808269</v>
      </c>
      <c r="K279">
        <v>446985</v>
      </c>
      <c r="L279">
        <v>663058</v>
      </c>
    </row>
    <row r="280" spans="1:12" x14ac:dyDescent="0.35">
      <c r="A280">
        <v>2024</v>
      </c>
      <c r="B280">
        <v>7</v>
      </c>
      <c r="C280" t="s">
        <v>70</v>
      </c>
      <c r="D280" t="s">
        <v>111</v>
      </c>
      <c r="E280" t="s">
        <v>112</v>
      </c>
      <c r="F280">
        <v>14205</v>
      </c>
      <c r="G280">
        <v>338837</v>
      </c>
      <c r="H280">
        <v>318942</v>
      </c>
      <c r="I280">
        <v>234373</v>
      </c>
      <c r="J280">
        <v>670977</v>
      </c>
      <c r="K280">
        <v>290752</v>
      </c>
      <c r="L280">
        <v>360052</v>
      </c>
    </row>
    <row r="281" spans="1:12" x14ac:dyDescent="0.35">
      <c r="A281">
        <v>2024</v>
      </c>
      <c r="B281">
        <v>7</v>
      </c>
      <c r="C281" t="s">
        <v>70</v>
      </c>
      <c r="D281" t="s">
        <v>113</v>
      </c>
      <c r="E281" t="s">
        <v>114</v>
      </c>
      <c r="F281">
        <v>7882</v>
      </c>
      <c r="G281">
        <v>320568</v>
      </c>
      <c r="H281">
        <v>308942</v>
      </c>
      <c r="I281">
        <v>260064</v>
      </c>
      <c r="J281">
        <v>575570</v>
      </c>
      <c r="K281">
        <v>285752</v>
      </c>
      <c r="L281">
        <v>335052</v>
      </c>
    </row>
    <row r="282" spans="1:12" x14ac:dyDescent="0.35">
      <c r="A282">
        <v>2024</v>
      </c>
      <c r="B282">
        <v>7</v>
      </c>
      <c r="C282" t="s">
        <v>70</v>
      </c>
      <c r="D282" t="s">
        <v>115</v>
      </c>
      <c r="E282" t="s">
        <v>116</v>
      </c>
      <c r="F282">
        <v>84</v>
      </c>
      <c r="G282">
        <v>582710</v>
      </c>
      <c r="H282">
        <v>565250</v>
      </c>
      <c r="I282">
        <v>417405</v>
      </c>
      <c r="J282">
        <v>825535</v>
      </c>
      <c r="K282">
        <v>494941</v>
      </c>
      <c r="L282">
        <v>688564</v>
      </c>
    </row>
    <row r="283" spans="1:12" x14ac:dyDescent="0.35">
      <c r="A283">
        <v>2024</v>
      </c>
      <c r="B283">
        <v>7</v>
      </c>
      <c r="C283" t="s">
        <v>70</v>
      </c>
      <c r="D283" t="s">
        <v>117</v>
      </c>
      <c r="E283" t="s">
        <v>118</v>
      </c>
      <c r="F283">
        <v>396</v>
      </c>
      <c r="G283">
        <v>574009</v>
      </c>
      <c r="H283">
        <v>542410</v>
      </c>
      <c r="I283">
        <v>407405</v>
      </c>
      <c r="J283">
        <v>793269</v>
      </c>
      <c r="K283">
        <v>460594</v>
      </c>
      <c r="L283">
        <v>688564</v>
      </c>
    </row>
    <row r="284" spans="1:12" x14ac:dyDescent="0.35">
      <c r="A284">
        <v>2024</v>
      </c>
      <c r="B284">
        <v>7</v>
      </c>
      <c r="C284" t="s">
        <v>70</v>
      </c>
      <c r="D284" t="s">
        <v>119</v>
      </c>
      <c r="E284" t="s">
        <v>120</v>
      </c>
      <c r="F284">
        <v>976</v>
      </c>
      <c r="G284">
        <v>493483</v>
      </c>
      <c r="H284">
        <v>472441</v>
      </c>
      <c r="I284">
        <v>407405</v>
      </c>
      <c r="J284">
        <v>788035</v>
      </c>
      <c r="K284">
        <v>440594</v>
      </c>
      <c r="L284">
        <v>519658</v>
      </c>
    </row>
    <row r="285" spans="1:12" x14ac:dyDescent="0.35">
      <c r="A285">
        <v>2024</v>
      </c>
      <c r="B285">
        <v>7</v>
      </c>
      <c r="C285" t="s">
        <v>70</v>
      </c>
      <c r="D285" t="s">
        <v>121</v>
      </c>
      <c r="E285" t="s">
        <v>122</v>
      </c>
      <c r="F285">
        <v>514</v>
      </c>
      <c r="G285">
        <v>450314</v>
      </c>
      <c r="H285">
        <v>445544</v>
      </c>
      <c r="I285">
        <v>308575</v>
      </c>
      <c r="J285">
        <v>672689</v>
      </c>
      <c r="K285">
        <v>397824</v>
      </c>
      <c r="L285">
        <v>502848</v>
      </c>
    </row>
    <row r="286" spans="1:12" x14ac:dyDescent="0.35">
      <c r="A286">
        <v>2024</v>
      </c>
      <c r="B286">
        <v>7</v>
      </c>
      <c r="C286" t="s">
        <v>70</v>
      </c>
      <c r="D286" t="s">
        <v>123</v>
      </c>
      <c r="E286" t="s">
        <v>124</v>
      </c>
      <c r="F286">
        <v>1</v>
      </c>
      <c r="G286">
        <v>318942</v>
      </c>
      <c r="H286">
        <v>318942</v>
      </c>
      <c r="I286">
        <v>318942</v>
      </c>
      <c r="J286">
        <v>318942</v>
      </c>
      <c r="K286">
        <v>318942</v>
      </c>
      <c r="L286">
        <v>318942</v>
      </c>
    </row>
    <row r="287" spans="1:12" x14ac:dyDescent="0.35">
      <c r="A287">
        <v>2024</v>
      </c>
      <c r="B287">
        <v>7</v>
      </c>
      <c r="C287" t="s">
        <v>70</v>
      </c>
      <c r="D287" t="s">
        <v>125</v>
      </c>
      <c r="E287" t="s">
        <v>126</v>
      </c>
      <c r="F287">
        <v>183</v>
      </c>
      <c r="G287">
        <v>410690</v>
      </c>
      <c r="H287">
        <v>353474</v>
      </c>
      <c r="I287">
        <v>325286</v>
      </c>
      <c r="J287">
        <v>688046</v>
      </c>
      <c r="K287">
        <v>342366</v>
      </c>
      <c r="L287">
        <v>458046</v>
      </c>
    </row>
    <row r="288" spans="1:12" x14ac:dyDescent="0.35">
      <c r="A288">
        <v>2024</v>
      </c>
      <c r="B288">
        <v>7</v>
      </c>
      <c r="C288" t="s">
        <v>70</v>
      </c>
      <c r="D288" t="s">
        <v>127</v>
      </c>
      <c r="E288" t="s">
        <v>128</v>
      </c>
      <c r="F288">
        <v>5251</v>
      </c>
      <c r="G288">
        <v>895034</v>
      </c>
      <c r="H288">
        <v>845855</v>
      </c>
      <c r="I288">
        <v>659169</v>
      </c>
      <c r="J288">
        <v>1436081</v>
      </c>
      <c r="K288">
        <v>731520</v>
      </c>
      <c r="L288">
        <v>1036608</v>
      </c>
    </row>
    <row r="289" spans="1:12" x14ac:dyDescent="0.35">
      <c r="A289">
        <v>2024</v>
      </c>
      <c r="B289">
        <v>7</v>
      </c>
      <c r="C289" t="s">
        <v>70</v>
      </c>
      <c r="D289" t="s">
        <v>129</v>
      </c>
      <c r="E289" t="s">
        <v>130</v>
      </c>
      <c r="F289">
        <v>333</v>
      </c>
      <c r="G289">
        <v>499678</v>
      </c>
      <c r="H289">
        <v>508032</v>
      </c>
      <c r="I289">
        <v>342134</v>
      </c>
      <c r="J289">
        <v>725965</v>
      </c>
      <c r="K289">
        <v>404904</v>
      </c>
      <c r="L289">
        <v>579967</v>
      </c>
    </row>
    <row r="290" spans="1:12" x14ac:dyDescent="0.35">
      <c r="A290">
        <v>2024</v>
      </c>
      <c r="B290">
        <v>7</v>
      </c>
      <c r="C290" t="s">
        <v>70</v>
      </c>
      <c r="D290" t="s">
        <v>131</v>
      </c>
      <c r="E290" t="s">
        <v>132</v>
      </c>
      <c r="F290">
        <v>35303</v>
      </c>
      <c r="G290">
        <v>520508</v>
      </c>
      <c r="H290">
        <v>491739</v>
      </c>
      <c r="I290">
        <v>333389</v>
      </c>
      <c r="J290">
        <v>887702</v>
      </c>
      <c r="K290">
        <v>437073</v>
      </c>
      <c r="L290">
        <v>589967</v>
      </c>
    </row>
    <row r="291" spans="1:12" x14ac:dyDescent="0.35">
      <c r="A291">
        <v>2024</v>
      </c>
      <c r="B291">
        <v>7</v>
      </c>
      <c r="C291" t="s">
        <v>70</v>
      </c>
      <c r="D291" t="s">
        <v>133</v>
      </c>
      <c r="E291" t="s">
        <v>134</v>
      </c>
      <c r="F291">
        <v>83667</v>
      </c>
      <c r="G291">
        <v>400201</v>
      </c>
      <c r="H291">
        <v>402540</v>
      </c>
      <c r="I291">
        <v>266776</v>
      </c>
      <c r="J291">
        <v>584648</v>
      </c>
      <c r="K291">
        <v>321676</v>
      </c>
      <c r="L291">
        <v>451936</v>
      </c>
    </row>
    <row r="292" spans="1:12" x14ac:dyDescent="0.35">
      <c r="A292">
        <v>2024</v>
      </c>
      <c r="B292">
        <v>7</v>
      </c>
      <c r="C292" t="s">
        <v>70</v>
      </c>
      <c r="D292" t="s">
        <v>135</v>
      </c>
      <c r="E292" t="s">
        <v>136</v>
      </c>
      <c r="F292">
        <v>20522</v>
      </c>
      <c r="G292">
        <v>705810</v>
      </c>
      <c r="H292">
        <v>689955</v>
      </c>
      <c r="I292">
        <v>406383</v>
      </c>
      <c r="J292">
        <v>1070224</v>
      </c>
      <c r="K292">
        <v>635237</v>
      </c>
      <c r="L292">
        <v>798133</v>
      </c>
    </row>
    <row r="293" spans="1:12" x14ac:dyDescent="0.35">
      <c r="A293">
        <v>2024</v>
      </c>
      <c r="B293">
        <v>7</v>
      </c>
      <c r="C293" t="s">
        <v>70</v>
      </c>
      <c r="D293" t="s">
        <v>137</v>
      </c>
      <c r="E293" t="s">
        <v>138</v>
      </c>
      <c r="F293">
        <v>10849</v>
      </c>
      <c r="G293">
        <v>448874</v>
      </c>
      <c r="H293">
        <v>443044</v>
      </c>
      <c r="I293">
        <v>262563</v>
      </c>
      <c r="J293">
        <v>797766</v>
      </c>
      <c r="K293">
        <v>365926</v>
      </c>
      <c r="L293">
        <v>510903</v>
      </c>
    </row>
    <row r="294" spans="1:12" x14ac:dyDescent="0.35">
      <c r="A294">
        <v>2024</v>
      </c>
      <c r="B294">
        <v>7</v>
      </c>
      <c r="C294" t="s">
        <v>70</v>
      </c>
      <c r="D294" t="s">
        <v>139</v>
      </c>
      <c r="E294" t="s">
        <v>140</v>
      </c>
      <c r="F294">
        <v>33</v>
      </c>
      <c r="G294">
        <v>600580</v>
      </c>
      <c r="H294">
        <v>592467</v>
      </c>
      <c r="I294">
        <v>518403</v>
      </c>
      <c r="J294">
        <v>753687</v>
      </c>
      <c r="K294">
        <v>574967</v>
      </c>
      <c r="L294">
        <v>607467</v>
      </c>
    </row>
    <row r="295" spans="1:12" x14ac:dyDescent="0.35">
      <c r="A295">
        <v>2024</v>
      </c>
      <c r="B295">
        <v>7</v>
      </c>
      <c r="C295" t="s">
        <v>70</v>
      </c>
      <c r="D295" t="s">
        <v>141</v>
      </c>
      <c r="E295" t="s">
        <v>142</v>
      </c>
      <c r="F295">
        <v>790</v>
      </c>
      <c r="G295">
        <v>507314</v>
      </c>
      <c r="H295">
        <v>505903</v>
      </c>
      <c r="I295">
        <v>342134</v>
      </c>
      <c r="J295">
        <v>797043</v>
      </c>
      <c r="K295">
        <v>448833</v>
      </c>
      <c r="L295">
        <v>556222</v>
      </c>
    </row>
    <row r="296" spans="1:12" x14ac:dyDescent="0.35">
      <c r="A296">
        <v>2024</v>
      </c>
      <c r="B296">
        <v>7</v>
      </c>
      <c r="C296" t="s">
        <v>70</v>
      </c>
      <c r="D296" t="s">
        <v>143</v>
      </c>
      <c r="E296" t="s">
        <v>144</v>
      </c>
      <c r="F296">
        <v>4516</v>
      </c>
      <c r="G296">
        <v>287643</v>
      </c>
      <c r="H296">
        <v>280064</v>
      </c>
      <c r="I296">
        <v>229743</v>
      </c>
      <c r="J296">
        <v>438463</v>
      </c>
      <c r="K296">
        <v>262798</v>
      </c>
      <c r="L296">
        <v>305519</v>
      </c>
    </row>
    <row r="297" spans="1:12" x14ac:dyDescent="0.35">
      <c r="A297">
        <v>2024</v>
      </c>
      <c r="B297">
        <v>7</v>
      </c>
      <c r="C297" t="s">
        <v>70</v>
      </c>
      <c r="D297" t="s">
        <v>145</v>
      </c>
      <c r="E297" t="s">
        <v>146</v>
      </c>
      <c r="F297">
        <v>117</v>
      </c>
      <c r="G297">
        <v>445584</v>
      </c>
      <c r="H297">
        <v>446936</v>
      </c>
      <c r="I297">
        <v>330336</v>
      </c>
      <c r="J297">
        <v>598304</v>
      </c>
      <c r="K297">
        <v>422822</v>
      </c>
      <c r="L297">
        <v>470544</v>
      </c>
    </row>
    <row r="298" spans="1:12" x14ac:dyDescent="0.35">
      <c r="A298">
        <v>2024</v>
      </c>
      <c r="B298">
        <v>7</v>
      </c>
      <c r="C298" t="s">
        <v>70</v>
      </c>
      <c r="D298" t="s">
        <v>147</v>
      </c>
      <c r="E298" t="s">
        <v>148</v>
      </c>
      <c r="F298">
        <v>59</v>
      </c>
      <c r="G298">
        <v>351610</v>
      </c>
      <c r="H298">
        <v>328575</v>
      </c>
      <c r="I298">
        <v>297836</v>
      </c>
      <c r="J298">
        <v>473323</v>
      </c>
      <c r="K298">
        <v>302836</v>
      </c>
      <c r="L298">
        <v>406985</v>
      </c>
    </row>
    <row r="299" spans="1:12" x14ac:dyDescent="0.35">
      <c r="A299">
        <v>2024</v>
      </c>
      <c r="B299">
        <v>7</v>
      </c>
      <c r="C299" t="s">
        <v>70</v>
      </c>
      <c r="D299" t="s">
        <v>149</v>
      </c>
      <c r="E299" t="s">
        <v>150</v>
      </c>
      <c r="F299">
        <v>1805</v>
      </c>
      <c r="G299">
        <v>399786</v>
      </c>
      <c r="H299">
        <v>365974</v>
      </c>
      <c r="I299">
        <v>297836</v>
      </c>
      <c r="J299">
        <v>740916</v>
      </c>
      <c r="K299">
        <v>342366</v>
      </c>
      <c r="L299">
        <v>424436</v>
      </c>
    </row>
    <row r="300" spans="1:12" x14ac:dyDescent="0.35">
      <c r="A300">
        <v>2024</v>
      </c>
      <c r="B300">
        <v>7</v>
      </c>
      <c r="C300" t="s">
        <v>70</v>
      </c>
      <c r="D300" t="s">
        <v>151</v>
      </c>
      <c r="E300" t="s">
        <v>152</v>
      </c>
      <c r="F300">
        <v>644</v>
      </c>
      <c r="G300">
        <v>1002063</v>
      </c>
      <c r="H300">
        <v>1044725</v>
      </c>
      <c r="I300">
        <v>690287</v>
      </c>
      <c r="J300">
        <v>1384983</v>
      </c>
      <c r="K300">
        <v>866977</v>
      </c>
      <c r="L300">
        <v>1124208</v>
      </c>
    </row>
    <row r="301" spans="1:12" x14ac:dyDescent="0.35">
      <c r="A301">
        <v>2024</v>
      </c>
      <c r="B301">
        <v>7</v>
      </c>
      <c r="C301" t="s">
        <v>70</v>
      </c>
      <c r="D301" t="s">
        <v>153</v>
      </c>
      <c r="E301" t="s">
        <v>154</v>
      </c>
      <c r="F301">
        <v>125</v>
      </c>
      <c r="G301">
        <v>643778</v>
      </c>
      <c r="H301">
        <v>653895</v>
      </c>
      <c r="I301">
        <v>411061</v>
      </c>
      <c r="J301">
        <v>812667</v>
      </c>
      <c r="K301">
        <v>544980</v>
      </c>
      <c r="L301">
        <v>757630</v>
      </c>
    </row>
    <row r="302" spans="1:12" x14ac:dyDescent="0.35">
      <c r="A302">
        <v>2024</v>
      </c>
      <c r="B302">
        <v>7</v>
      </c>
      <c r="C302" t="s">
        <v>70</v>
      </c>
      <c r="D302" t="s">
        <v>155</v>
      </c>
      <c r="E302" t="s">
        <v>156</v>
      </c>
      <c r="F302">
        <v>997</v>
      </c>
      <c r="G302">
        <v>394557</v>
      </c>
      <c r="H302">
        <v>371295</v>
      </c>
      <c r="I302">
        <v>260064</v>
      </c>
      <c r="J302">
        <v>707824</v>
      </c>
      <c r="K302">
        <v>318942</v>
      </c>
      <c r="L302">
        <v>427540</v>
      </c>
    </row>
    <row r="303" spans="1:12" x14ac:dyDescent="0.35">
      <c r="A303">
        <v>2024</v>
      </c>
      <c r="B303">
        <v>7</v>
      </c>
      <c r="C303" t="s">
        <v>70</v>
      </c>
      <c r="D303" t="s">
        <v>157</v>
      </c>
      <c r="E303" t="s">
        <v>158</v>
      </c>
      <c r="F303">
        <v>167</v>
      </c>
      <c r="G303">
        <v>470391</v>
      </c>
      <c r="H303">
        <v>450544</v>
      </c>
      <c r="I303">
        <v>325286</v>
      </c>
      <c r="J303">
        <v>705140</v>
      </c>
      <c r="K303">
        <v>385322</v>
      </c>
      <c r="L303">
        <v>540582</v>
      </c>
    </row>
    <row r="304" spans="1:12" x14ac:dyDescent="0.35">
      <c r="A304">
        <v>2024</v>
      </c>
      <c r="B304">
        <v>7</v>
      </c>
      <c r="C304" t="s">
        <v>70</v>
      </c>
      <c r="D304" t="s">
        <v>159</v>
      </c>
      <c r="E304" t="s">
        <v>160</v>
      </c>
      <c r="F304">
        <v>386</v>
      </c>
      <c r="G304">
        <v>436053</v>
      </c>
      <c r="H304">
        <v>421986</v>
      </c>
      <c r="I304">
        <v>302836</v>
      </c>
      <c r="J304">
        <v>697640</v>
      </c>
      <c r="K304">
        <v>364700</v>
      </c>
      <c r="L304">
        <v>470544</v>
      </c>
    </row>
    <row r="305" spans="1:12" x14ac:dyDescent="0.35">
      <c r="A305">
        <v>2024</v>
      </c>
      <c r="B305">
        <v>7</v>
      </c>
      <c r="C305" t="s">
        <v>70</v>
      </c>
      <c r="D305" t="s">
        <v>161</v>
      </c>
      <c r="E305" t="s">
        <v>162</v>
      </c>
      <c r="F305">
        <v>125</v>
      </c>
      <c r="G305">
        <v>467174</v>
      </c>
      <c r="H305">
        <v>439436</v>
      </c>
      <c r="I305">
        <v>302836</v>
      </c>
      <c r="J305">
        <v>707824</v>
      </c>
      <c r="K305">
        <v>368290</v>
      </c>
      <c r="L305">
        <v>553304</v>
      </c>
    </row>
    <row r="306" spans="1:12" x14ac:dyDescent="0.35">
      <c r="A306">
        <v>2024</v>
      </c>
      <c r="B306">
        <v>8</v>
      </c>
      <c r="C306" t="s">
        <v>71</v>
      </c>
      <c r="D306" t="s">
        <v>77</v>
      </c>
      <c r="E306" t="s">
        <v>78</v>
      </c>
      <c r="F306">
        <v>5</v>
      </c>
      <c r="G306">
        <v>446378</v>
      </c>
      <c r="H306">
        <v>434436</v>
      </c>
      <c r="I306">
        <v>325655</v>
      </c>
      <c r="J306">
        <v>575572</v>
      </c>
      <c r="K306">
        <v>325655</v>
      </c>
      <c r="L306">
        <v>570570</v>
      </c>
    </row>
    <row r="307" spans="1:12" x14ac:dyDescent="0.35">
      <c r="A307">
        <v>2024</v>
      </c>
      <c r="B307">
        <v>8</v>
      </c>
      <c r="C307" t="s">
        <v>71</v>
      </c>
      <c r="D307" t="s">
        <v>79</v>
      </c>
      <c r="E307" t="s">
        <v>80</v>
      </c>
      <c r="F307">
        <v>174</v>
      </c>
      <c r="G307">
        <v>473684</v>
      </c>
      <c r="H307">
        <v>432540</v>
      </c>
      <c r="I307">
        <v>313573</v>
      </c>
      <c r="J307">
        <v>712640</v>
      </c>
      <c r="K307">
        <v>365974</v>
      </c>
      <c r="L307">
        <v>576038</v>
      </c>
    </row>
    <row r="308" spans="1:12" x14ac:dyDescent="0.35">
      <c r="A308">
        <v>2024</v>
      </c>
      <c r="B308">
        <v>8</v>
      </c>
      <c r="C308" t="s">
        <v>71</v>
      </c>
      <c r="D308" t="s">
        <v>81</v>
      </c>
      <c r="E308" t="s">
        <v>82</v>
      </c>
      <c r="F308">
        <v>9</v>
      </c>
      <c r="G308">
        <v>639240</v>
      </c>
      <c r="H308">
        <v>644868</v>
      </c>
      <c r="I308">
        <v>516185</v>
      </c>
      <c r="J308">
        <v>700879</v>
      </c>
      <c r="K308">
        <v>634868</v>
      </c>
      <c r="L308">
        <v>665879</v>
      </c>
    </row>
    <row r="309" spans="1:12" x14ac:dyDescent="0.35">
      <c r="A309">
        <v>2024</v>
      </c>
      <c r="B309">
        <v>8</v>
      </c>
      <c r="C309" t="s">
        <v>71</v>
      </c>
      <c r="D309" t="s">
        <v>83</v>
      </c>
      <c r="E309" t="s">
        <v>84</v>
      </c>
      <c r="F309">
        <v>50</v>
      </c>
      <c r="G309">
        <v>488293</v>
      </c>
      <c r="H309">
        <v>486604</v>
      </c>
      <c r="I309">
        <v>330286</v>
      </c>
      <c r="J309">
        <v>659955</v>
      </c>
      <c r="K309">
        <v>365322</v>
      </c>
      <c r="L309">
        <v>602418</v>
      </c>
    </row>
    <row r="310" spans="1:12" x14ac:dyDescent="0.35">
      <c r="A310">
        <v>2024</v>
      </c>
      <c r="B310">
        <v>8</v>
      </c>
      <c r="C310" t="s">
        <v>71</v>
      </c>
      <c r="D310" t="s">
        <v>85</v>
      </c>
      <c r="E310" t="s">
        <v>86</v>
      </c>
      <c r="F310">
        <v>999</v>
      </c>
      <c r="G310">
        <v>506513</v>
      </c>
      <c r="H310">
        <v>487995</v>
      </c>
      <c r="I310">
        <v>302836</v>
      </c>
      <c r="J310">
        <v>760916</v>
      </c>
      <c r="K310">
        <v>412822</v>
      </c>
      <c r="L310">
        <v>606038</v>
      </c>
    </row>
    <row r="311" spans="1:12" x14ac:dyDescent="0.35">
      <c r="A311">
        <v>2024</v>
      </c>
      <c r="B311">
        <v>8</v>
      </c>
      <c r="C311" t="s">
        <v>71</v>
      </c>
      <c r="D311" t="s">
        <v>87</v>
      </c>
      <c r="E311" t="s">
        <v>88</v>
      </c>
      <c r="F311">
        <v>4</v>
      </c>
      <c r="G311">
        <v>573406</v>
      </c>
      <c r="H311">
        <v>570410</v>
      </c>
      <c r="I311">
        <v>528403</v>
      </c>
      <c r="J311">
        <v>624400</v>
      </c>
      <c r="K311">
        <v>528403</v>
      </c>
      <c r="L311">
        <v>612418</v>
      </c>
    </row>
    <row r="312" spans="1:12" x14ac:dyDescent="0.35">
      <c r="A312">
        <v>2024</v>
      </c>
      <c r="B312">
        <v>8</v>
      </c>
      <c r="C312" t="s">
        <v>71</v>
      </c>
      <c r="D312" t="s">
        <v>89</v>
      </c>
      <c r="E312" t="s">
        <v>90</v>
      </c>
      <c r="F312">
        <v>830</v>
      </c>
      <c r="G312">
        <v>484433</v>
      </c>
      <c r="H312">
        <v>457995</v>
      </c>
      <c r="I312">
        <v>297836</v>
      </c>
      <c r="J312">
        <v>740918</v>
      </c>
      <c r="K312">
        <v>392822</v>
      </c>
      <c r="L312">
        <v>578304</v>
      </c>
    </row>
    <row r="313" spans="1:12" x14ac:dyDescent="0.35">
      <c r="A313">
        <v>2024</v>
      </c>
      <c r="B313">
        <v>8</v>
      </c>
      <c r="C313" t="s">
        <v>71</v>
      </c>
      <c r="D313" t="s">
        <v>91</v>
      </c>
      <c r="E313" t="s">
        <v>92</v>
      </c>
      <c r="F313">
        <v>126</v>
      </c>
      <c r="G313">
        <v>361379</v>
      </c>
      <c r="H313">
        <v>342366</v>
      </c>
      <c r="I313">
        <v>308573</v>
      </c>
      <c r="J313">
        <v>646900</v>
      </c>
      <c r="K313">
        <v>330286</v>
      </c>
      <c r="L313">
        <v>357366</v>
      </c>
    </row>
    <row r="314" spans="1:12" x14ac:dyDescent="0.35">
      <c r="A314">
        <v>2024</v>
      </c>
      <c r="B314">
        <v>8</v>
      </c>
      <c r="C314" t="s">
        <v>71</v>
      </c>
      <c r="D314" t="s">
        <v>93</v>
      </c>
      <c r="E314" t="s">
        <v>94</v>
      </c>
      <c r="F314">
        <v>25</v>
      </c>
      <c r="G314">
        <v>376701</v>
      </c>
      <c r="H314">
        <v>343292</v>
      </c>
      <c r="I314">
        <v>297836</v>
      </c>
      <c r="J314">
        <v>639956</v>
      </c>
      <c r="K314">
        <v>331075</v>
      </c>
      <c r="L314">
        <v>370322</v>
      </c>
    </row>
    <row r="315" spans="1:12" x14ac:dyDescent="0.35">
      <c r="A315">
        <v>2024</v>
      </c>
      <c r="B315">
        <v>8</v>
      </c>
      <c r="C315" t="s">
        <v>71</v>
      </c>
      <c r="D315" t="s">
        <v>95</v>
      </c>
      <c r="E315" t="s">
        <v>96</v>
      </c>
      <c r="F315">
        <v>15</v>
      </c>
      <c r="G315">
        <v>413888</v>
      </c>
      <c r="H315">
        <v>348155</v>
      </c>
      <c r="I315">
        <v>310336</v>
      </c>
      <c r="J315">
        <v>610939</v>
      </c>
      <c r="K315">
        <v>325655</v>
      </c>
      <c r="L315">
        <v>576038</v>
      </c>
    </row>
    <row r="316" spans="1:12" x14ac:dyDescent="0.35">
      <c r="A316">
        <v>2024</v>
      </c>
      <c r="B316">
        <v>8</v>
      </c>
      <c r="C316" t="s">
        <v>71</v>
      </c>
      <c r="D316" t="s">
        <v>97</v>
      </c>
      <c r="E316" t="s">
        <v>98</v>
      </c>
      <c r="F316">
        <v>262</v>
      </c>
      <c r="G316">
        <v>418106</v>
      </c>
      <c r="H316">
        <v>371477</v>
      </c>
      <c r="I316">
        <v>302836</v>
      </c>
      <c r="J316">
        <v>715879</v>
      </c>
      <c r="K316">
        <v>342366</v>
      </c>
      <c r="L316">
        <v>459279</v>
      </c>
    </row>
    <row r="317" spans="1:12" x14ac:dyDescent="0.35">
      <c r="A317">
        <v>2024</v>
      </c>
      <c r="B317">
        <v>8</v>
      </c>
      <c r="C317" t="s">
        <v>71</v>
      </c>
      <c r="D317" t="s">
        <v>99</v>
      </c>
      <c r="E317" t="s">
        <v>100</v>
      </c>
      <c r="F317">
        <v>443</v>
      </c>
      <c r="G317">
        <v>447326</v>
      </c>
      <c r="H317">
        <v>431936</v>
      </c>
      <c r="I317">
        <v>302836</v>
      </c>
      <c r="J317">
        <v>687590</v>
      </c>
      <c r="K317">
        <v>388290</v>
      </c>
      <c r="L317">
        <v>510348</v>
      </c>
    </row>
    <row r="318" spans="1:12" x14ac:dyDescent="0.35">
      <c r="A318">
        <v>2024</v>
      </c>
      <c r="B318">
        <v>8</v>
      </c>
      <c r="C318" t="s">
        <v>71</v>
      </c>
      <c r="D318" t="s">
        <v>101</v>
      </c>
      <c r="E318" t="s">
        <v>102</v>
      </c>
      <c r="F318">
        <v>11</v>
      </c>
      <c r="G318">
        <v>561317</v>
      </c>
      <c r="H318">
        <v>591038</v>
      </c>
      <c r="I318">
        <v>385324</v>
      </c>
      <c r="J318">
        <v>675324</v>
      </c>
      <c r="K318">
        <v>540584</v>
      </c>
      <c r="L318">
        <v>628944</v>
      </c>
    </row>
    <row r="319" spans="1:12" x14ac:dyDescent="0.35">
      <c r="A319">
        <v>2024</v>
      </c>
      <c r="B319">
        <v>8</v>
      </c>
      <c r="C319" t="s">
        <v>71</v>
      </c>
      <c r="D319" t="s">
        <v>103</v>
      </c>
      <c r="E319" t="s">
        <v>104</v>
      </c>
      <c r="F319">
        <v>9</v>
      </c>
      <c r="G319">
        <v>354088</v>
      </c>
      <c r="H319">
        <v>332786</v>
      </c>
      <c r="I319">
        <v>313573</v>
      </c>
      <c r="J319">
        <v>450495</v>
      </c>
      <c r="K319">
        <v>321073</v>
      </c>
      <c r="L319">
        <v>364866</v>
      </c>
    </row>
    <row r="320" spans="1:12" x14ac:dyDescent="0.35">
      <c r="A320">
        <v>2024</v>
      </c>
      <c r="B320">
        <v>8</v>
      </c>
      <c r="C320" t="s">
        <v>71</v>
      </c>
      <c r="D320" t="s">
        <v>105</v>
      </c>
      <c r="E320" t="s">
        <v>106</v>
      </c>
      <c r="F320">
        <v>37</v>
      </c>
      <c r="G320">
        <v>448627</v>
      </c>
      <c r="H320">
        <v>439436</v>
      </c>
      <c r="I320">
        <v>313573</v>
      </c>
      <c r="J320">
        <v>692824</v>
      </c>
      <c r="K320">
        <v>349866</v>
      </c>
      <c r="L320">
        <v>520903</v>
      </c>
    </row>
    <row r="321" spans="1:12" x14ac:dyDescent="0.35">
      <c r="A321">
        <v>2024</v>
      </c>
      <c r="B321">
        <v>8</v>
      </c>
      <c r="C321" t="s">
        <v>71</v>
      </c>
      <c r="D321" t="s">
        <v>107</v>
      </c>
      <c r="E321" t="s">
        <v>108</v>
      </c>
      <c r="F321">
        <v>2</v>
      </c>
      <c r="G321">
        <v>357920</v>
      </c>
      <c r="H321">
        <v>357920</v>
      </c>
      <c r="I321">
        <v>342366</v>
      </c>
      <c r="J321">
        <v>373474</v>
      </c>
      <c r="K321">
        <v>342366</v>
      </c>
      <c r="L321">
        <v>373474</v>
      </c>
    </row>
    <row r="322" spans="1:12" x14ac:dyDescent="0.35">
      <c r="A322">
        <v>2024</v>
      </c>
      <c r="B322">
        <v>8</v>
      </c>
      <c r="C322" t="s">
        <v>71</v>
      </c>
      <c r="D322" t="s">
        <v>109</v>
      </c>
      <c r="E322" t="s">
        <v>110</v>
      </c>
      <c r="F322">
        <v>4892</v>
      </c>
      <c r="G322">
        <v>551240</v>
      </c>
      <c r="H322">
        <v>517158</v>
      </c>
      <c r="I322">
        <v>407405</v>
      </c>
      <c r="J322">
        <v>808269</v>
      </c>
      <c r="K322">
        <v>448094</v>
      </c>
      <c r="L322">
        <v>663058</v>
      </c>
    </row>
    <row r="323" spans="1:12" x14ac:dyDescent="0.35">
      <c r="A323">
        <v>2024</v>
      </c>
      <c r="B323">
        <v>8</v>
      </c>
      <c r="C323" t="s">
        <v>71</v>
      </c>
      <c r="D323" t="s">
        <v>111</v>
      </c>
      <c r="E323" t="s">
        <v>112</v>
      </c>
      <c r="F323">
        <v>14253</v>
      </c>
      <c r="G323">
        <v>340168</v>
      </c>
      <c r="H323">
        <v>318942</v>
      </c>
      <c r="I323">
        <v>234373</v>
      </c>
      <c r="J323">
        <v>670977</v>
      </c>
      <c r="K323">
        <v>288486</v>
      </c>
      <c r="L323">
        <v>365052</v>
      </c>
    </row>
    <row r="324" spans="1:12" x14ac:dyDescent="0.35">
      <c r="A324">
        <v>2024</v>
      </c>
      <c r="B324">
        <v>8</v>
      </c>
      <c r="C324" t="s">
        <v>71</v>
      </c>
      <c r="D324" t="s">
        <v>113</v>
      </c>
      <c r="E324" t="s">
        <v>114</v>
      </c>
      <c r="F324">
        <v>7899</v>
      </c>
      <c r="G324">
        <v>322179</v>
      </c>
      <c r="H324">
        <v>308942</v>
      </c>
      <c r="I324">
        <v>260064</v>
      </c>
      <c r="J324">
        <v>599026</v>
      </c>
      <c r="K324">
        <v>285752</v>
      </c>
      <c r="L324">
        <v>335052</v>
      </c>
    </row>
    <row r="325" spans="1:12" x14ac:dyDescent="0.35">
      <c r="A325">
        <v>2024</v>
      </c>
      <c r="B325">
        <v>8</v>
      </c>
      <c r="C325" t="s">
        <v>71</v>
      </c>
      <c r="D325" t="s">
        <v>115</v>
      </c>
      <c r="E325" t="s">
        <v>116</v>
      </c>
      <c r="F325">
        <v>87</v>
      </c>
      <c r="G325">
        <v>577153</v>
      </c>
      <c r="H325">
        <v>560298</v>
      </c>
      <c r="I325">
        <v>407405</v>
      </c>
      <c r="J325">
        <v>825535</v>
      </c>
      <c r="K325">
        <v>479941</v>
      </c>
      <c r="L325">
        <v>688564</v>
      </c>
    </row>
    <row r="326" spans="1:12" x14ac:dyDescent="0.35">
      <c r="A326">
        <v>2024</v>
      </c>
      <c r="B326">
        <v>8</v>
      </c>
      <c r="C326" t="s">
        <v>71</v>
      </c>
      <c r="D326" t="s">
        <v>117</v>
      </c>
      <c r="E326" t="s">
        <v>118</v>
      </c>
      <c r="F326">
        <v>397</v>
      </c>
      <c r="G326">
        <v>576207</v>
      </c>
      <c r="H326">
        <v>545163</v>
      </c>
      <c r="I326">
        <v>407405</v>
      </c>
      <c r="J326">
        <v>793269</v>
      </c>
      <c r="K326">
        <v>460594</v>
      </c>
      <c r="L326">
        <v>693058</v>
      </c>
    </row>
    <row r="327" spans="1:12" x14ac:dyDescent="0.35">
      <c r="A327">
        <v>2024</v>
      </c>
      <c r="B327">
        <v>8</v>
      </c>
      <c r="C327" t="s">
        <v>71</v>
      </c>
      <c r="D327" t="s">
        <v>119</v>
      </c>
      <c r="E327" t="s">
        <v>120</v>
      </c>
      <c r="F327">
        <v>976</v>
      </c>
      <c r="G327">
        <v>493486</v>
      </c>
      <c r="H327">
        <v>472441</v>
      </c>
      <c r="I327">
        <v>407405</v>
      </c>
      <c r="J327">
        <v>788035</v>
      </c>
      <c r="K327">
        <v>440594</v>
      </c>
      <c r="L327">
        <v>519658</v>
      </c>
    </row>
    <row r="328" spans="1:12" x14ac:dyDescent="0.35">
      <c r="A328">
        <v>2024</v>
      </c>
      <c r="B328">
        <v>8</v>
      </c>
      <c r="C328" t="s">
        <v>71</v>
      </c>
      <c r="D328" t="s">
        <v>121</v>
      </c>
      <c r="E328" t="s">
        <v>122</v>
      </c>
      <c r="F328">
        <v>520</v>
      </c>
      <c r="G328">
        <v>450984</v>
      </c>
      <c r="H328">
        <v>446936</v>
      </c>
      <c r="I328">
        <v>320655</v>
      </c>
      <c r="J328">
        <v>672689</v>
      </c>
      <c r="K328">
        <v>397824</v>
      </c>
      <c r="L328">
        <v>505348</v>
      </c>
    </row>
    <row r="329" spans="1:12" x14ac:dyDescent="0.35">
      <c r="A329">
        <v>2024</v>
      </c>
      <c r="B329">
        <v>8</v>
      </c>
      <c r="C329" t="s">
        <v>71</v>
      </c>
      <c r="D329" t="s">
        <v>123</v>
      </c>
      <c r="E329" t="s">
        <v>124</v>
      </c>
      <c r="F329">
        <v>1</v>
      </c>
      <c r="G329">
        <v>318942</v>
      </c>
      <c r="H329">
        <v>318942</v>
      </c>
      <c r="I329">
        <v>318942</v>
      </c>
      <c r="J329">
        <v>318942</v>
      </c>
      <c r="K329">
        <v>318942</v>
      </c>
      <c r="L329">
        <v>318942</v>
      </c>
    </row>
    <row r="330" spans="1:12" x14ac:dyDescent="0.35">
      <c r="A330">
        <v>2024</v>
      </c>
      <c r="B330">
        <v>8</v>
      </c>
      <c r="C330" t="s">
        <v>71</v>
      </c>
      <c r="D330" t="s">
        <v>125</v>
      </c>
      <c r="E330" t="s">
        <v>126</v>
      </c>
      <c r="F330">
        <v>186</v>
      </c>
      <c r="G330">
        <v>413406</v>
      </c>
      <c r="H330">
        <v>356116</v>
      </c>
      <c r="I330">
        <v>325286</v>
      </c>
      <c r="J330">
        <v>680189</v>
      </c>
      <c r="K330">
        <v>342366</v>
      </c>
      <c r="L330">
        <v>491605</v>
      </c>
    </row>
    <row r="331" spans="1:12" x14ac:dyDescent="0.35">
      <c r="A331">
        <v>2024</v>
      </c>
      <c r="B331">
        <v>8</v>
      </c>
      <c r="C331" t="s">
        <v>71</v>
      </c>
      <c r="D331" t="s">
        <v>127</v>
      </c>
      <c r="E331" t="s">
        <v>128</v>
      </c>
      <c r="F331">
        <v>5560</v>
      </c>
      <c r="G331">
        <v>905716</v>
      </c>
      <c r="H331">
        <v>853355</v>
      </c>
      <c r="I331">
        <v>659169</v>
      </c>
      <c r="J331">
        <v>1514138</v>
      </c>
      <c r="K331">
        <v>723145</v>
      </c>
      <c r="L331">
        <v>1074108</v>
      </c>
    </row>
    <row r="332" spans="1:12" x14ac:dyDescent="0.35">
      <c r="A332">
        <v>2024</v>
      </c>
      <c r="B332">
        <v>8</v>
      </c>
      <c r="C332" t="s">
        <v>71</v>
      </c>
      <c r="D332" t="s">
        <v>129</v>
      </c>
      <c r="E332" t="s">
        <v>130</v>
      </c>
      <c r="F332">
        <v>333</v>
      </c>
      <c r="G332">
        <v>506293</v>
      </c>
      <c r="H332">
        <v>523722</v>
      </c>
      <c r="I332">
        <v>342134</v>
      </c>
      <c r="J332">
        <v>774982</v>
      </c>
      <c r="K332">
        <v>404904</v>
      </c>
      <c r="L332">
        <v>584967</v>
      </c>
    </row>
    <row r="333" spans="1:12" x14ac:dyDescent="0.35">
      <c r="A333">
        <v>2024</v>
      </c>
      <c r="B333">
        <v>8</v>
      </c>
      <c r="C333" t="s">
        <v>71</v>
      </c>
      <c r="D333" t="s">
        <v>131</v>
      </c>
      <c r="E333" t="s">
        <v>132</v>
      </c>
      <c r="F333">
        <v>35865</v>
      </c>
      <c r="G333">
        <v>519856</v>
      </c>
      <c r="H333">
        <v>489055</v>
      </c>
      <c r="I333">
        <v>333389</v>
      </c>
      <c r="J333">
        <v>887702</v>
      </c>
      <c r="K333">
        <v>437073</v>
      </c>
      <c r="L333">
        <v>590521</v>
      </c>
    </row>
    <row r="334" spans="1:12" x14ac:dyDescent="0.35">
      <c r="A334">
        <v>2024</v>
      </c>
      <c r="B334">
        <v>8</v>
      </c>
      <c r="C334" t="s">
        <v>71</v>
      </c>
      <c r="D334" t="s">
        <v>133</v>
      </c>
      <c r="E334" t="s">
        <v>134</v>
      </c>
      <c r="F334">
        <v>83935</v>
      </c>
      <c r="G334">
        <v>402682</v>
      </c>
      <c r="H334">
        <v>402540</v>
      </c>
      <c r="I334">
        <v>266776</v>
      </c>
      <c r="J334">
        <v>584648</v>
      </c>
      <c r="K334">
        <v>323389</v>
      </c>
      <c r="L334">
        <v>461604</v>
      </c>
    </row>
    <row r="335" spans="1:12" x14ac:dyDescent="0.35">
      <c r="A335">
        <v>2024</v>
      </c>
      <c r="B335">
        <v>8</v>
      </c>
      <c r="C335" t="s">
        <v>71</v>
      </c>
      <c r="D335" t="s">
        <v>135</v>
      </c>
      <c r="E335" t="s">
        <v>136</v>
      </c>
      <c r="F335">
        <v>20588</v>
      </c>
      <c r="G335">
        <v>706020</v>
      </c>
      <c r="H335">
        <v>688933</v>
      </c>
      <c r="I335">
        <v>406383</v>
      </c>
      <c r="J335">
        <v>1065301</v>
      </c>
      <c r="K335">
        <v>635237</v>
      </c>
      <c r="L335">
        <v>798219</v>
      </c>
    </row>
    <row r="336" spans="1:12" x14ac:dyDescent="0.35">
      <c r="A336">
        <v>2024</v>
      </c>
      <c r="B336">
        <v>8</v>
      </c>
      <c r="C336" t="s">
        <v>71</v>
      </c>
      <c r="D336" t="s">
        <v>137</v>
      </c>
      <c r="E336" t="s">
        <v>138</v>
      </c>
      <c r="F336">
        <v>10982</v>
      </c>
      <c r="G336">
        <v>451100</v>
      </c>
      <c r="H336">
        <v>443044</v>
      </c>
      <c r="I336">
        <v>262563</v>
      </c>
      <c r="J336">
        <v>791649</v>
      </c>
      <c r="K336">
        <v>373426</v>
      </c>
      <c r="L336">
        <v>513032</v>
      </c>
    </row>
    <row r="337" spans="1:12" x14ac:dyDescent="0.35">
      <c r="A337">
        <v>2024</v>
      </c>
      <c r="B337">
        <v>8</v>
      </c>
      <c r="C337" t="s">
        <v>71</v>
      </c>
      <c r="D337" t="s">
        <v>139</v>
      </c>
      <c r="E337" t="s">
        <v>140</v>
      </c>
      <c r="F337">
        <v>32</v>
      </c>
      <c r="G337">
        <v>602248</v>
      </c>
      <c r="H337">
        <v>592467</v>
      </c>
      <c r="I337">
        <v>518403</v>
      </c>
      <c r="J337">
        <v>753687</v>
      </c>
      <c r="K337">
        <v>574967</v>
      </c>
      <c r="L337">
        <v>620237</v>
      </c>
    </row>
    <row r="338" spans="1:12" x14ac:dyDescent="0.35">
      <c r="A338">
        <v>2024</v>
      </c>
      <c r="B338">
        <v>8</v>
      </c>
      <c r="C338" t="s">
        <v>71</v>
      </c>
      <c r="D338" t="s">
        <v>141</v>
      </c>
      <c r="E338" t="s">
        <v>142</v>
      </c>
      <c r="F338">
        <v>807</v>
      </c>
      <c r="G338">
        <v>508432</v>
      </c>
      <c r="H338">
        <v>505903</v>
      </c>
      <c r="I338">
        <v>342134</v>
      </c>
      <c r="J338">
        <v>758921</v>
      </c>
      <c r="K338">
        <v>448833</v>
      </c>
      <c r="L338">
        <v>558722</v>
      </c>
    </row>
    <row r="339" spans="1:12" x14ac:dyDescent="0.35">
      <c r="A339">
        <v>2024</v>
      </c>
      <c r="B339">
        <v>8</v>
      </c>
      <c r="C339" t="s">
        <v>71</v>
      </c>
      <c r="D339" t="s">
        <v>143</v>
      </c>
      <c r="E339" t="s">
        <v>144</v>
      </c>
      <c r="F339">
        <v>4575</v>
      </c>
      <c r="G339">
        <v>288836</v>
      </c>
      <c r="H339">
        <v>280752</v>
      </c>
      <c r="I339">
        <v>229743</v>
      </c>
      <c r="J339">
        <v>465696</v>
      </c>
      <c r="K339">
        <v>265064</v>
      </c>
      <c r="L339">
        <v>305519</v>
      </c>
    </row>
    <row r="340" spans="1:12" x14ac:dyDescent="0.35">
      <c r="A340">
        <v>2024</v>
      </c>
      <c r="B340">
        <v>8</v>
      </c>
      <c r="C340" t="s">
        <v>71</v>
      </c>
      <c r="D340" t="s">
        <v>145</v>
      </c>
      <c r="E340" t="s">
        <v>146</v>
      </c>
      <c r="F340">
        <v>116</v>
      </c>
      <c r="G340">
        <v>440312</v>
      </c>
      <c r="H340">
        <v>446936</v>
      </c>
      <c r="I340">
        <v>330336</v>
      </c>
      <c r="J340">
        <v>590804</v>
      </c>
      <c r="K340">
        <v>420322</v>
      </c>
      <c r="L340">
        <v>469436</v>
      </c>
    </row>
    <row r="341" spans="1:12" x14ac:dyDescent="0.35">
      <c r="A341">
        <v>2024</v>
      </c>
      <c r="B341">
        <v>8</v>
      </c>
      <c r="C341" t="s">
        <v>71</v>
      </c>
      <c r="D341" t="s">
        <v>147</v>
      </c>
      <c r="E341" t="s">
        <v>148</v>
      </c>
      <c r="F341">
        <v>61</v>
      </c>
      <c r="G341">
        <v>347959</v>
      </c>
      <c r="H341">
        <v>328573</v>
      </c>
      <c r="I341">
        <v>297836</v>
      </c>
      <c r="J341">
        <v>439436</v>
      </c>
      <c r="K341">
        <v>302836</v>
      </c>
      <c r="L341">
        <v>397822</v>
      </c>
    </row>
    <row r="342" spans="1:12" x14ac:dyDescent="0.35">
      <c r="A342">
        <v>2024</v>
      </c>
      <c r="B342">
        <v>8</v>
      </c>
      <c r="C342" t="s">
        <v>71</v>
      </c>
      <c r="D342" t="s">
        <v>149</v>
      </c>
      <c r="E342" t="s">
        <v>150</v>
      </c>
      <c r="F342">
        <v>1824</v>
      </c>
      <c r="G342">
        <v>400610</v>
      </c>
      <c r="H342">
        <v>365974</v>
      </c>
      <c r="I342">
        <v>297836</v>
      </c>
      <c r="J342">
        <v>740916</v>
      </c>
      <c r="K342">
        <v>342366</v>
      </c>
      <c r="L342">
        <v>424436</v>
      </c>
    </row>
    <row r="343" spans="1:12" x14ac:dyDescent="0.35">
      <c r="A343">
        <v>2024</v>
      </c>
      <c r="B343">
        <v>8</v>
      </c>
      <c r="C343" t="s">
        <v>71</v>
      </c>
      <c r="D343" t="s">
        <v>151</v>
      </c>
      <c r="E343" t="s">
        <v>152</v>
      </c>
      <c r="F343">
        <v>677</v>
      </c>
      <c r="G343">
        <v>999845</v>
      </c>
      <c r="H343">
        <v>1044725</v>
      </c>
      <c r="I343">
        <v>690287</v>
      </c>
      <c r="J343">
        <v>1300957</v>
      </c>
      <c r="K343">
        <v>866977</v>
      </c>
      <c r="L343">
        <v>1166708</v>
      </c>
    </row>
    <row r="344" spans="1:12" x14ac:dyDescent="0.35">
      <c r="A344">
        <v>2024</v>
      </c>
      <c r="B344">
        <v>8</v>
      </c>
      <c r="C344" t="s">
        <v>71</v>
      </c>
      <c r="D344" t="s">
        <v>153</v>
      </c>
      <c r="E344" t="s">
        <v>154</v>
      </c>
      <c r="F344">
        <v>125</v>
      </c>
      <c r="G344">
        <v>643778</v>
      </c>
      <c r="H344">
        <v>653895</v>
      </c>
      <c r="I344">
        <v>411061</v>
      </c>
      <c r="J344">
        <v>812667</v>
      </c>
      <c r="K344">
        <v>544980</v>
      </c>
      <c r="L344">
        <v>757630</v>
      </c>
    </row>
    <row r="345" spans="1:12" x14ac:dyDescent="0.35">
      <c r="A345">
        <v>2024</v>
      </c>
      <c r="B345">
        <v>8</v>
      </c>
      <c r="C345" t="s">
        <v>71</v>
      </c>
      <c r="D345" t="s">
        <v>155</v>
      </c>
      <c r="E345" t="s">
        <v>156</v>
      </c>
      <c r="F345">
        <v>1000</v>
      </c>
      <c r="G345">
        <v>397716</v>
      </c>
      <c r="H345">
        <v>375322</v>
      </c>
      <c r="I345">
        <v>260064</v>
      </c>
      <c r="J345">
        <v>707824</v>
      </c>
      <c r="K345">
        <v>323573</v>
      </c>
      <c r="L345">
        <v>432540</v>
      </c>
    </row>
    <row r="346" spans="1:12" x14ac:dyDescent="0.35">
      <c r="A346">
        <v>2024</v>
      </c>
      <c r="B346">
        <v>8</v>
      </c>
      <c r="C346" t="s">
        <v>71</v>
      </c>
      <c r="D346" t="s">
        <v>157</v>
      </c>
      <c r="E346" t="s">
        <v>158</v>
      </c>
      <c r="F346">
        <v>168</v>
      </c>
      <c r="G346">
        <v>470801</v>
      </c>
      <c r="H346">
        <v>446795</v>
      </c>
      <c r="I346">
        <v>325286</v>
      </c>
      <c r="J346">
        <v>705140</v>
      </c>
      <c r="K346">
        <v>385322</v>
      </c>
      <c r="L346">
        <v>547335</v>
      </c>
    </row>
    <row r="347" spans="1:12" x14ac:dyDescent="0.35">
      <c r="A347">
        <v>2024</v>
      </c>
      <c r="B347">
        <v>8</v>
      </c>
      <c r="C347" t="s">
        <v>71</v>
      </c>
      <c r="D347" t="s">
        <v>159</v>
      </c>
      <c r="E347" t="s">
        <v>160</v>
      </c>
      <c r="F347">
        <v>387</v>
      </c>
      <c r="G347">
        <v>442039</v>
      </c>
      <c r="H347">
        <v>426985</v>
      </c>
      <c r="I347">
        <v>302836</v>
      </c>
      <c r="J347">
        <v>697640</v>
      </c>
      <c r="K347">
        <v>373292</v>
      </c>
      <c r="L347">
        <v>481604</v>
      </c>
    </row>
    <row r="348" spans="1:12" x14ac:dyDescent="0.35">
      <c r="A348">
        <v>2024</v>
      </c>
      <c r="B348">
        <v>8</v>
      </c>
      <c r="C348" t="s">
        <v>71</v>
      </c>
      <c r="D348" t="s">
        <v>161</v>
      </c>
      <c r="E348" t="s">
        <v>162</v>
      </c>
      <c r="F348">
        <v>125</v>
      </c>
      <c r="G348">
        <v>476531</v>
      </c>
      <c r="H348">
        <v>457995</v>
      </c>
      <c r="I348">
        <v>330286</v>
      </c>
      <c r="J348">
        <v>707824</v>
      </c>
      <c r="K348">
        <v>372366</v>
      </c>
      <c r="L348">
        <v>561040</v>
      </c>
    </row>
    <row r="349" spans="1:12" x14ac:dyDescent="0.35">
      <c r="A349">
        <v>2024</v>
      </c>
      <c r="B349">
        <v>9</v>
      </c>
      <c r="C349" t="s">
        <v>72</v>
      </c>
      <c r="D349" t="s">
        <v>77</v>
      </c>
      <c r="E349" t="s">
        <v>78</v>
      </c>
      <c r="F349">
        <v>5</v>
      </c>
      <c r="G349">
        <v>446378</v>
      </c>
      <c r="H349">
        <v>434436</v>
      </c>
      <c r="I349">
        <v>325655</v>
      </c>
      <c r="J349">
        <v>575572</v>
      </c>
      <c r="K349">
        <v>325655</v>
      </c>
      <c r="L349">
        <v>570570</v>
      </c>
    </row>
    <row r="350" spans="1:12" x14ac:dyDescent="0.35">
      <c r="A350">
        <v>2024</v>
      </c>
      <c r="B350">
        <v>9</v>
      </c>
      <c r="C350" t="s">
        <v>72</v>
      </c>
      <c r="D350" t="s">
        <v>79</v>
      </c>
      <c r="E350" t="s">
        <v>80</v>
      </c>
      <c r="F350">
        <v>174</v>
      </c>
      <c r="G350">
        <v>470970</v>
      </c>
      <c r="H350">
        <v>432540</v>
      </c>
      <c r="I350">
        <v>313573</v>
      </c>
      <c r="J350">
        <v>712640</v>
      </c>
      <c r="K350">
        <v>358474</v>
      </c>
      <c r="L350">
        <v>575015</v>
      </c>
    </row>
    <row r="351" spans="1:12" x14ac:dyDescent="0.35">
      <c r="A351">
        <v>2024</v>
      </c>
      <c r="B351">
        <v>9</v>
      </c>
      <c r="C351" t="s">
        <v>72</v>
      </c>
      <c r="D351" t="s">
        <v>81</v>
      </c>
      <c r="E351" t="s">
        <v>82</v>
      </c>
      <c r="F351">
        <v>9</v>
      </c>
      <c r="G351">
        <v>639240</v>
      </c>
      <c r="H351">
        <v>644868</v>
      </c>
      <c r="I351">
        <v>516185</v>
      </c>
      <c r="J351">
        <v>700879</v>
      </c>
      <c r="K351">
        <v>634868</v>
      </c>
      <c r="L351">
        <v>665879</v>
      </c>
    </row>
    <row r="352" spans="1:12" x14ac:dyDescent="0.35">
      <c r="A352">
        <v>2024</v>
      </c>
      <c r="B352">
        <v>9</v>
      </c>
      <c r="C352" t="s">
        <v>72</v>
      </c>
      <c r="D352" t="s">
        <v>83</v>
      </c>
      <c r="E352" t="s">
        <v>84</v>
      </c>
      <c r="F352">
        <v>51</v>
      </c>
      <c r="G352">
        <v>486139</v>
      </c>
      <c r="H352">
        <v>491604</v>
      </c>
      <c r="I352">
        <v>325286</v>
      </c>
      <c r="J352">
        <v>659955</v>
      </c>
      <c r="K352">
        <v>357366</v>
      </c>
      <c r="L352">
        <v>602418</v>
      </c>
    </row>
    <row r="353" spans="1:12" x14ac:dyDescent="0.35">
      <c r="A353">
        <v>2024</v>
      </c>
      <c r="B353">
        <v>9</v>
      </c>
      <c r="C353" t="s">
        <v>72</v>
      </c>
      <c r="D353" t="s">
        <v>85</v>
      </c>
      <c r="E353" t="s">
        <v>86</v>
      </c>
      <c r="F353">
        <v>1008</v>
      </c>
      <c r="G353">
        <v>506304</v>
      </c>
      <c r="H353">
        <v>484572</v>
      </c>
      <c r="I353">
        <v>302836</v>
      </c>
      <c r="J353">
        <v>760916</v>
      </c>
      <c r="K353">
        <v>409485</v>
      </c>
      <c r="L353">
        <v>606038</v>
      </c>
    </row>
    <row r="354" spans="1:12" x14ac:dyDescent="0.35">
      <c r="A354">
        <v>2024</v>
      </c>
      <c r="B354">
        <v>9</v>
      </c>
      <c r="C354" t="s">
        <v>72</v>
      </c>
      <c r="D354" t="s">
        <v>87</v>
      </c>
      <c r="E354" t="s">
        <v>88</v>
      </c>
      <c r="F354">
        <v>4</v>
      </c>
      <c r="G354">
        <v>571531</v>
      </c>
      <c r="H354">
        <v>570410</v>
      </c>
      <c r="I354">
        <v>520903</v>
      </c>
      <c r="J354">
        <v>624400</v>
      </c>
      <c r="K354">
        <v>528403</v>
      </c>
      <c r="L354">
        <v>612418</v>
      </c>
    </row>
    <row r="355" spans="1:12" x14ac:dyDescent="0.35">
      <c r="A355">
        <v>2024</v>
      </c>
      <c r="B355">
        <v>9</v>
      </c>
      <c r="C355" t="s">
        <v>72</v>
      </c>
      <c r="D355" t="s">
        <v>89</v>
      </c>
      <c r="E355" t="s">
        <v>90</v>
      </c>
      <c r="F355">
        <v>831</v>
      </c>
      <c r="G355">
        <v>482671</v>
      </c>
      <c r="H355">
        <v>453044</v>
      </c>
      <c r="I355">
        <v>297836</v>
      </c>
      <c r="J355">
        <v>748416</v>
      </c>
      <c r="K355">
        <v>390324</v>
      </c>
      <c r="L355">
        <v>577418</v>
      </c>
    </row>
    <row r="356" spans="1:12" x14ac:dyDescent="0.35">
      <c r="A356">
        <v>2024</v>
      </c>
      <c r="B356">
        <v>9</v>
      </c>
      <c r="C356" t="s">
        <v>72</v>
      </c>
      <c r="D356" t="s">
        <v>91</v>
      </c>
      <c r="E356" t="s">
        <v>92</v>
      </c>
      <c r="F356">
        <v>131</v>
      </c>
      <c r="G356">
        <v>361457</v>
      </c>
      <c r="H356">
        <v>342366</v>
      </c>
      <c r="I356">
        <v>308573</v>
      </c>
      <c r="J356">
        <v>665572</v>
      </c>
      <c r="K356">
        <v>330286</v>
      </c>
      <c r="L356">
        <v>358474</v>
      </c>
    </row>
    <row r="357" spans="1:12" x14ac:dyDescent="0.35">
      <c r="A357">
        <v>2024</v>
      </c>
      <c r="B357">
        <v>9</v>
      </c>
      <c r="C357" t="s">
        <v>72</v>
      </c>
      <c r="D357" t="s">
        <v>93</v>
      </c>
      <c r="E357" t="s">
        <v>94</v>
      </c>
      <c r="F357">
        <v>27</v>
      </c>
      <c r="G357">
        <v>371812</v>
      </c>
      <c r="H357">
        <v>343155</v>
      </c>
      <c r="I357">
        <v>297834</v>
      </c>
      <c r="J357">
        <v>639956</v>
      </c>
      <c r="K357">
        <v>331075</v>
      </c>
      <c r="L357">
        <v>370322</v>
      </c>
    </row>
    <row r="358" spans="1:12" x14ac:dyDescent="0.35">
      <c r="A358">
        <v>2024</v>
      </c>
      <c r="B358">
        <v>9</v>
      </c>
      <c r="C358" t="s">
        <v>72</v>
      </c>
      <c r="D358" t="s">
        <v>95</v>
      </c>
      <c r="E358" t="s">
        <v>96</v>
      </c>
      <c r="F358">
        <v>15</v>
      </c>
      <c r="G358">
        <v>414388</v>
      </c>
      <c r="H358">
        <v>355655</v>
      </c>
      <c r="I358">
        <v>310336</v>
      </c>
      <c r="J358">
        <v>610939</v>
      </c>
      <c r="K358">
        <v>325655</v>
      </c>
      <c r="L358">
        <v>576038</v>
      </c>
    </row>
    <row r="359" spans="1:12" x14ac:dyDescent="0.35">
      <c r="A359">
        <v>2024</v>
      </c>
      <c r="B359">
        <v>9</v>
      </c>
      <c r="C359" t="s">
        <v>72</v>
      </c>
      <c r="D359" t="s">
        <v>97</v>
      </c>
      <c r="E359" t="s">
        <v>98</v>
      </c>
      <c r="F359">
        <v>266</v>
      </c>
      <c r="G359">
        <v>411696</v>
      </c>
      <c r="H359">
        <v>368290</v>
      </c>
      <c r="I359">
        <v>302836</v>
      </c>
      <c r="J359">
        <v>715879</v>
      </c>
      <c r="K359">
        <v>342366</v>
      </c>
      <c r="L359">
        <v>431936</v>
      </c>
    </row>
    <row r="360" spans="1:12" x14ac:dyDescent="0.35">
      <c r="A360">
        <v>2024</v>
      </c>
      <c r="B360">
        <v>9</v>
      </c>
      <c r="C360" t="s">
        <v>72</v>
      </c>
      <c r="D360" t="s">
        <v>99</v>
      </c>
      <c r="E360" t="s">
        <v>100</v>
      </c>
      <c r="F360">
        <v>444</v>
      </c>
      <c r="G360">
        <v>443972</v>
      </c>
      <c r="H360">
        <v>431936</v>
      </c>
      <c r="I360">
        <v>302836</v>
      </c>
      <c r="J360">
        <v>687590</v>
      </c>
      <c r="K360">
        <v>388290</v>
      </c>
      <c r="L360">
        <v>492848</v>
      </c>
    </row>
    <row r="361" spans="1:12" x14ac:dyDescent="0.35">
      <c r="A361">
        <v>2024</v>
      </c>
      <c r="B361">
        <v>9</v>
      </c>
      <c r="C361" t="s">
        <v>72</v>
      </c>
      <c r="D361" t="s">
        <v>101</v>
      </c>
      <c r="E361" t="s">
        <v>102</v>
      </c>
      <c r="F361">
        <v>11</v>
      </c>
      <c r="G361">
        <v>563135</v>
      </c>
      <c r="H361">
        <v>591038</v>
      </c>
      <c r="I361">
        <v>385324</v>
      </c>
      <c r="J361">
        <v>675324</v>
      </c>
      <c r="K361">
        <v>540584</v>
      </c>
      <c r="L361">
        <v>628944</v>
      </c>
    </row>
    <row r="362" spans="1:12" x14ac:dyDescent="0.35">
      <c r="A362">
        <v>2024</v>
      </c>
      <c r="B362">
        <v>9</v>
      </c>
      <c r="C362" t="s">
        <v>72</v>
      </c>
      <c r="D362" t="s">
        <v>103</v>
      </c>
      <c r="E362" t="s">
        <v>104</v>
      </c>
      <c r="F362">
        <v>9</v>
      </c>
      <c r="G362">
        <v>354088</v>
      </c>
      <c r="H362">
        <v>332786</v>
      </c>
      <c r="I362">
        <v>313573</v>
      </c>
      <c r="J362">
        <v>450495</v>
      </c>
      <c r="K362">
        <v>321073</v>
      </c>
      <c r="L362">
        <v>364866</v>
      </c>
    </row>
    <row r="363" spans="1:12" x14ac:dyDescent="0.35">
      <c r="A363">
        <v>2024</v>
      </c>
      <c r="B363">
        <v>9</v>
      </c>
      <c r="C363" t="s">
        <v>72</v>
      </c>
      <c r="D363" t="s">
        <v>105</v>
      </c>
      <c r="E363" t="s">
        <v>106</v>
      </c>
      <c r="F363">
        <v>37</v>
      </c>
      <c r="G363">
        <v>444430</v>
      </c>
      <c r="H363">
        <v>406985</v>
      </c>
      <c r="I363">
        <v>313573</v>
      </c>
      <c r="J363">
        <v>692824</v>
      </c>
      <c r="K363">
        <v>345286</v>
      </c>
      <c r="L363">
        <v>520903</v>
      </c>
    </row>
    <row r="364" spans="1:12" x14ac:dyDescent="0.35">
      <c r="A364">
        <v>2024</v>
      </c>
      <c r="B364">
        <v>9</v>
      </c>
      <c r="C364" t="s">
        <v>72</v>
      </c>
      <c r="D364" t="s">
        <v>107</v>
      </c>
      <c r="E364" t="s">
        <v>108</v>
      </c>
      <c r="F364">
        <v>2</v>
      </c>
      <c r="G364">
        <v>357920</v>
      </c>
      <c r="H364">
        <v>357920</v>
      </c>
      <c r="I364">
        <v>342366</v>
      </c>
      <c r="J364">
        <v>373474</v>
      </c>
      <c r="K364">
        <v>342366</v>
      </c>
      <c r="L364">
        <v>373474</v>
      </c>
    </row>
    <row r="365" spans="1:12" x14ac:dyDescent="0.35">
      <c r="A365">
        <v>2024</v>
      </c>
      <c r="B365">
        <v>9</v>
      </c>
      <c r="C365" t="s">
        <v>72</v>
      </c>
      <c r="D365" t="s">
        <v>109</v>
      </c>
      <c r="E365" t="s">
        <v>110</v>
      </c>
      <c r="F365">
        <v>4894</v>
      </c>
      <c r="G365">
        <v>551143</v>
      </c>
      <c r="H365">
        <v>517158</v>
      </c>
      <c r="I365">
        <v>407405</v>
      </c>
      <c r="J365">
        <v>808269</v>
      </c>
      <c r="K365">
        <v>448094</v>
      </c>
      <c r="L365">
        <v>663058</v>
      </c>
    </row>
    <row r="366" spans="1:12" x14ac:dyDescent="0.35">
      <c r="A366">
        <v>2024</v>
      </c>
      <c r="B366">
        <v>9</v>
      </c>
      <c r="C366" t="s">
        <v>72</v>
      </c>
      <c r="D366" t="s">
        <v>111</v>
      </c>
      <c r="E366" t="s">
        <v>112</v>
      </c>
      <c r="F366">
        <v>14326</v>
      </c>
      <c r="G366">
        <v>339709</v>
      </c>
      <c r="H366">
        <v>318942</v>
      </c>
      <c r="I366">
        <v>234373</v>
      </c>
      <c r="J366">
        <v>670977</v>
      </c>
      <c r="K366">
        <v>288486</v>
      </c>
      <c r="L366">
        <v>360974</v>
      </c>
    </row>
    <row r="367" spans="1:12" x14ac:dyDescent="0.35">
      <c r="A367">
        <v>2024</v>
      </c>
      <c r="B367">
        <v>9</v>
      </c>
      <c r="C367" t="s">
        <v>72</v>
      </c>
      <c r="D367" t="s">
        <v>113</v>
      </c>
      <c r="E367" t="s">
        <v>114</v>
      </c>
      <c r="F367">
        <v>7911</v>
      </c>
      <c r="G367">
        <v>321201</v>
      </c>
      <c r="H367">
        <v>308942</v>
      </c>
      <c r="I367">
        <v>260064</v>
      </c>
      <c r="J367">
        <v>585804</v>
      </c>
      <c r="K367">
        <v>285752</v>
      </c>
      <c r="L367">
        <v>335052</v>
      </c>
    </row>
    <row r="368" spans="1:12" x14ac:dyDescent="0.35">
      <c r="A368">
        <v>2024</v>
      </c>
      <c r="B368">
        <v>9</v>
      </c>
      <c r="C368" t="s">
        <v>72</v>
      </c>
      <c r="D368" t="s">
        <v>115</v>
      </c>
      <c r="E368" t="s">
        <v>116</v>
      </c>
      <c r="F368">
        <v>88</v>
      </c>
      <c r="G368">
        <v>578079</v>
      </c>
      <c r="H368">
        <v>562750</v>
      </c>
      <c r="I368">
        <v>407405</v>
      </c>
      <c r="J368">
        <v>825535</v>
      </c>
      <c r="K368">
        <v>479941</v>
      </c>
      <c r="L368">
        <v>685558</v>
      </c>
    </row>
    <row r="369" spans="1:12" x14ac:dyDescent="0.35">
      <c r="A369">
        <v>2024</v>
      </c>
      <c r="B369">
        <v>9</v>
      </c>
      <c r="C369" t="s">
        <v>72</v>
      </c>
      <c r="D369" t="s">
        <v>117</v>
      </c>
      <c r="E369" t="s">
        <v>118</v>
      </c>
      <c r="F369">
        <v>396</v>
      </c>
      <c r="G369">
        <v>575261</v>
      </c>
      <c r="H369">
        <v>545230</v>
      </c>
      <c r="I369">
        <v>407405</v>
      </c>
      <c r="J369">
        <v>808035</v>
      </c>
      <c r="K369">
        <v>460594</v>
      </c>
      <c r="L369">
        <v>688564</v>
      </c>
    </row>
    <row r="370" spans="1:12" x14ac:dyDescent="0.35">
      <c r="A370">
        <v>2024</v>
      </c>
      <c r="B370">
        <v>9</v>
      </c>
      <c r="C370" t="s">
        <v>72</v>
      </c>
      <c r="D370" t="s">
        <v>119</v>
      </c>
      <c r="E370" t="s">
        <v>120</v>
      </c>
      <c r="F370">
        <v>979</v>
      </c>
      <c r="G370">
        <v>493615</v>
      </c>
      <c r="H370">
        <v>472441</v>
      </c>
      <c r="I370">
        <v>407405</v>
      </c>
      <c r="J370">
        <v>788035</v>
      </c>
      <c r="K370">
        <v>439485</v>
      </c>
      <c r="L370">
        <v>524658</v>
      </c>
    </row>
    <row r="371" spans="1:12" x14ac:dyDescent="0.35">
      <c r="A371">
        <v>2024</v>
      </c>
      <c r="B371">
        <v>9</v>
      </c>
      <c r="C371" t="s">
        <v>72</v>
      </c>
      <c r="D371" t="s">
        <v>121</v>
      </c>
      <c r="E371" t="s">
        <v>122</v>
      </c>
      <c r="F371">
        <v>530</v>
      </c>
      <c r="G371">
        <v>450829</v>
      </c>
      <c r="H371">
        <v>443764</v>
      </c>
      <c r="I371">
        <v>320655</v>
      </c>
      <c r="J371">
        <v>672689</v>
      </c>
      <c r="K371">
        <v>397822</v>
      </c>
      <c r="L371">
        <v>510348</v>
      </c>
    </row>
    <row r="372" spans="1:12" x14ac:dyDescent="0.35">
      <c r="A372">
        <v>2024</v>
      </c>
      <c r="B372">
        <v>9</v>
      </c>
      <c r="C372" t="s">
        <v>72</v>
      </c>
      <c r="D372" t="s">
        <v>123</v>
      </c>
      <c r="E372" t="s">
        <v>124</v>
      </c>
      <c r="F372">
        <v>1</v>
      </c>
      <c r="G372">
        <v>318942</v>
      </c>
      <c r="H372">
        <v>318942</v>
      </c>
      <c r="I372">
        <v>318942</v>
      </c>
      <c r="J372">
        <v>318942</v>
      </c>
      <c r="K372">
        <v>318942</v>
      </c>
      <c r="L372">
        <v>318942</v>
      </c>
    </row>
    <row r="373" spans="1:12" x14ac:dyDescent="0.35">
      <c r="A373">
        <v>2024</v>
      </c>
      <c r="B373">
        <v>9</v>
      </c>
      <c r="C373" t="s">
        <v>72</v>
      </c>
      <c r="D373" t="s">
        <v>125</v>
      </c>
      <c r="E373" t="s">
        <v>126</v>
      </c>
      <c r="F373">
        <v>186</v>
      </c>
      <c r="G373">
        <v>411679</v>
      </c>
      <c r="H373">
        <v>353474</v>
      </c>
      <c r="I373">
        <v>325286</v>
      </c>
      <c r="J373">
        <v>680189</v>
      </c>
      <c r="K373">
        <v>342366</v>
      </c>
      <c r="L373">
        <v>476605</v>
      </c>
    </row>
    <row r="374" spans="1:12" x14ac:dyDescent="0.35">
      <c r="A374">
        <v>2024</v>
      </c>
      <c r="B374">
        <v>9</v>
      </c>
      <c r="C374" t="s">
        <v>72</v>
      </c>
      <c r="D374" t="s">
        <v>127</v>
      </c>
      <c r="E374" t="s">
        <v>128</v>
      </c>
      <c r="F374">
        <v>5677</v>
      </c>
      <c r="G374">
        <v>884680</v>
      </c>
      <c r="H374">
        <v>833355</v>
      </c>
      <c r="I374">
        <v>659169</v>
      </c>
      <c r="J374">
        <v>1436081</v>
      </c>
      <c r="K374">
        <v>718145</v>
      </c>
      <c r="L374">
        <v>990043</v>
      </c>
    </row>
    <row r="375" spans="1:12" x14ac:dyDescent="0.35">
      <c r="A375">
        <v>2024</v>
      </c>
      <c r="B375">
        <v>9</v>
      </c>
      <c r="C375" t="s">
        <v>72</v>
      </c>
      <c r="D375" t="s">
        <v>129</v>
      </c>
      <c r="E375" t="s">
        <v>130</v>
      </c>
      <c r="F375">
        <v>334</v>
      </c>
      <c r="G375">
        <v>506645</v>
      </c>
      <c r="H375">
        <v>506782</v>
      </c>
      <c r="I375">
        <v>342134</v>
      </c>
      <c r="J375">
        <v>751470</v>
      </c>
      <c r="K375">
        <v>407540</v>
      </c>
      <c r="L375">
        <v>605237</v>
      </c>
    </row>
    <row r="376" spans="1:12" x14ac:dyDescent="0.35">
      <c r="A376">
        <v>2024</v>
      </c>
      <c r="B376">
        <v>9</v>
      </c>
      <c r="C376" t="s">
        <v>72</v>
      </c>
      <c r="D376" t="s">
        <v>131</v>
      </c>
      <c r="E376" t="s">
        <v>132</v>
      </c>
      <c r="F376">
        <v>36114</v>
      </c>
      <c r="G376">
        <v>519368</v>
      </c>
      <c r="H376">
        <v>486739</v>
      </c>
      <c r="I376">
        <v>333389</v>
      </c>
      <c r="J376">
        <v>887702</v>
      </c>
      <c r="K376">
        <v>437073</v>
      </c>
      <c r="L376">
        <v>593021</v>
      </c>
    </row>
    <row r="377" spans="1:12" x14ac:dyDescent="0.35">
      <c r="A377">
        <v>2024</v>
      </c>
      <c r="B377">
        <v>9</v>
      </c>
      <c r="C377" t="s">
        <v>72</v>
      </c>
      <c r="D377" t="s">
        <v>133</v>
      </c>
      <c r="E377" t="s">
        <v>134</v>
      </c>
      <c r="F377">
        <v>84461</v>
      </c>
      <c r="G377">
        <v>399781</v>
      </c>
      <c r="H377">
        <v>402540</v>
      </c>
      <c r="I377">
        <v>266776</v>
      </c>
      <c r="J377">
        <v>584648</v>
      </c>
      <c r="K377">
        <v>321258</v>
      </c>
      <c r="L377">
        <v>453044</v>
      </c>
    </row>
    <row r="378" spans="1:12" x14ac:dyDescent="0.35">
      <c r="A378">
        <v>2024</v>
      </c>
      <c r="B378">
        <v>9</v>
      </c>
      <c r="C378" t="s">
        <v>72</v>
      </c>
      <c r="D378" t="s">
        <v>135</v>
      </c>
      <c r="E378" t="s">
        <v>136</v>
      </c>
      <c r="F378">
        <v>20669</v>
      </c>
      <c r="G378">
        <v>705676</v>
      </c>
      <c r="H378">
        <v>688933</v>
      </c>
      <c r="I378">
        <v>398883</v>
      </c>
      <c r="J378">
        <v>1012078</v>
      </c>
      <c r="K378">
        <v>635237</v>
      </c>
      <c r="L378">
        <v>798133</v>
      </c>
    </row>
    <row r="379" spans="1:12" x14ac:dyDescent="0.35">
      <c r="A379">
        <v>2024</v>
      </c>
      <c r="B379">
        <v>9</v>
      </c>
      <c r="C379" t="s">
        <v>72</v>
      </c>
      <c r="D379" t="s">
        <v>137</v>
      </c>
      <c r="E379" t="s">
        <v>138</v>
      </c>
      <c r="F379">
        <v>11031</v>
      </c>
      <c r="G379">
        <v>450392</v>
      </c>
      <c r="H379">
        <v>441838</v>
      </c>
      <c r="I379">
        <v>262563</v>
      </c>
      <c r="J379">
        <v>781187</v>
      </c>
      <c r="K379">
        <v>368426</v>
      </c>
      <c r="L379">
        <v>509055</v>
      </c>
    </row>
    <row r="380" spans="1:12" x14ac:dyDescent="0.35">
      <c r="A380">
        <v>2024</v>
      </c>
      <c r="B380">
        <v>9</v>
      </c>
      <c r="C380" t="s">
        <v>72</v>
      </c>
      <c r="D380" t="s">
        <v>139</v>
      </c>
      <c r="E380" t="s">
        <v>140</v>
      </c>
      <c r="F380">
        <v>32</v>
      </c>
      <c r="G380">
        <v>620968</v>
      </c>
      <c r="H380">
        <v>623987</v>
      </c>
      <c r="I380">
        <v>518403</v>
      </c>
      <c r="J380">
        <v>753687</v>
      </c>
      <c r="K380">
        <v>605237</v>
      </c>
      <c r="L380">
        <v>632737</v>
      </c>
    </row>
    <row r="381" spans="1:12" x14ac:dyDescent="0.35">
      <c r="A381">
        <v>2024</v>
      </c>
      <c r="B381">
        <v>9</v>
      </c>
      <c r="C381" t="s">
        <v>72</v>
      </c>
      <c r="D381" t="s">
        <v>141</v>
      </c>
      <c r="E381" t="s">
        <v>142</v>
      </c>
      <c r="F381">
        <v>813</v>
      </c>
      <c r="G381">
        <v>507969</v>
      </c>
      <c r="H381">
        <v>501555</v>
      </c>
      <c r="I381">
        <v>342134</v>
      </c>
      <c r="J381">
        <v>758921</v>
      </c>
      <c r="K381">
        <v>449338</v>
      </c>
      <c r="L381">
        <v>556222</v>
      </c>
    </row>
    <row r="382" spans="1:12" x14ac:dyDescent="0.35">
      <c r="A382">
        <v>2024</v>
      </c>
      <c r="B382">
        <v>9</v>
      </c>
      <c r="C382" t="s">
        <v>72</v>
      </c>
      <c r="D382" t="s">
        <v>143</v>
      </c>
      <c r="E382" t="s">
        <v>144</v>
      </c>
      <c r="F382">
        <v>4677</v>
      </c>
      <c r="G382">
        <v>287082</v>
      </c>
      <c r="H382">
        <v>278486</v>
      </c>
      <c r="I382">
        <v>229743</v>
      </c>
      <c r="J382">
        <v>438463</v>
      </c>
      <c r="K382">
        <v>262564</v>
      </c>
      <c r="L382">
        <v>304176</v>
      </c>
    </row>
    <row r="383" spans="1:12" x14ac:dyDescent="0.35">
      <c r="A383">
        <v>2024</v>
      </c>
      <c r="B383">
        <v>9</v>
      </c>
      <c r="C383" t="s">
        <v>72</v>
      </c>
      <c r="D383" t="s">
        <v>145</v>
      </c>
      <c r="E383" t="s">
        <v>146</v>
      </c>
      <c r="F383">
        <v>117</v>
      </c>
      <c r="G383">
        <v>443060</v>
      </c>
      <c r="H383">
        <v>446985</v>
      </c>
      <c r="I383">
        <v>330336</v>
      </c>
      <c r="J383">
        <v>590804</v>
      </c>
      <c r="K383">
        <v>427824</v>
      </c>
      <c r="L383">
        <v>470544</v>
      </c>
    </row>
    <row r="384" spans="1:12" x14ac:dyDescent="0.35">
      <c r="A384">
        <v>2024</v>
      </c>
      <c r="B384">
        <v>9</v>
      </c>
      <c r="C384" t="s">
        <v>72</v>
      </c>
      <c r="D384" t="s">
        <v>147</v>
      </c>
      <c r="E384" t="s">
        <v>148</v>
      </c>
      <c r="F384">
        <v>73</v>
      </c>
      <c r="G384">
        <v>341688</v>
      </c>
      <c r="H384">
        <v>325655</v>
      </c>
      <c r="I384">
        <v>297836</v>
      </c>
      <c r="J384">
        <v>439436</v>
      </c>
      <c r="K384">
        <v>302836</v>
      </c>
      <c r="L384">
        <v>375324</v>
      </c>
    </row>
    <row r="385" spans="1:12" x14ac:dyDescent="0.35">
      <c r="A385">
        <v>2024</v>
      </c>
      <c r="B385">
        <v>9</v>
      </c>
      <c r="C385" t="s">
        <v>72</v>
      </c>
      <c r="D385" t="s">
        <v>149</v>
      </c>
      <c r="E385" t="s">
        <v>150</v>
      </c>
      <c r="F385">
        <v>1852</v>
      </c>
      <c r="G385">
        <v>398723</v>
      </c>
      <c r="H385">
        <v>365974</v>
      </c>
      <c r="I385">
        <v>297836</v>
      </c>
      <c r="J385">
        <v>740916</v>
      </c>
      <c r="K385">
        <v>342366</v>
      </c>
      <c r="L385">
        <v>421985</v>
      </c>
    </row>
    <row r="386" spans="1:12" x14ac:dyDescent="0.35">
      <c r="A386">
        <v>2024</v>
      </c>
      <c r="B386">
        <v>9</v>
      </c>
      <c r="C386" t="s">
        <v>72</v>
      </c>
      <c r="D386" t="s">
        <v>151</v>
      </c>
      <c r="E386" t="s">
        <v>152</v>
      </c>
      <c r="F386">
        <v>678</v>
      </c>
      <c r="G386">
        <v>994483</v>
      </c>
      <c r="H386">
        <v>1044725</v>
      </c>
      <c r="I386">
        <v>690287</v>
      </c>
      <c r="J386">
        <v>1300957</v>
      </c>
      <c r="K386">
        <v>864477</v>
      </c>
      <c r="L386">
        <v>1124208</v>
      </c>
    </row>
    <row r="387" spans="1:12" x14ac:dyDescent="0.35">
      <c r="A387">
        <v>2024</v>
      </c>
      <c r="B387">
        <v>9</v>
      </c>
      <c r="C387" t="s">
        <v>72</v>
      </c>
      <c r="D387" t="s">
        <v>153</v>
      </c>
      <c r="E387" t="s">
        <v>154</v>
      </c>
      <c r="F387">
        <v>125</v>
      </c>
      <c r="G387">
        <v>643838</v>
      </c>
      <c r="H387">
        <v>653895</v>
      </c>
      <c r="I387">
        <v>411061</v>
      </c>
      <c r="J387">
        <v>812667</v>
      </c>
      <c r="K387">
        <v>544980</v>
      </c>
      <c r="L387">
        <v>757630</v>
      </c>
    </row>
    <row r="388" spans="1:12" x14ac:dyDescent="0.35">
      <c r="A388">
        <v>2024</v>
      </c>
      <c r="B388">
        <v>9</v>
      </c>
      <c r="C388" t="s">
        <v>72</v>
      </c>
      <c r="D388" t="s">
        <v>155</v>
      </c>
      <c r="E388" t="s">
        <v>156</v>
      </c>
      <c r="F388">
        <v>1001</v>
      </c>
      <c r="G388">
        <v>395576</v>
      </c>
      <c r="H388">
        <v>371295</v>
      </c>
      <c r="I388">
        <v>260064</v>
      </c>
      <c r="J388">
        <v>707824</v>
      </c>
      <c r="K388">
        <v>320655</v>
      </c>
      <c r="L388">
        <v>431936</v>
      </c>
    </row>
    <row r="389" spans="1:12" x14ac:dyDescent="0.35">
      <c r="A389">
        <v>2024</v>
      </c>
      <c r="B389">
        <v>9</v>
      </c>
      <c r="C389" t="s">
        <v>72</v>
      </c>
      <c r="D389" t="s">
        <v>157</v>
      </c>
      <c r="E389" t="s">
        <v>158</v>
      </c>
      <c r="F389">
        <v>168</v>
      </c>
      <c r="G389">
        <v>470531</v>
      </c>
      <c r="H389">
        <v>446795</v>
      </c>
      <c r="I389">
        <v>330286</v>
      </c>
      <c r="J389">
        <v>705140</v>
      </c>
      <c r="K389">
        <v>385322</v>
      </c>
      <c r="L389">
        <v>540582</v>
      </c>
    </row>
    <row r="390" spans="1:12" x14ac:dyDescent="0.35">
      <c r="A390">
        <v>2024</v>
      </c>
      <c r="B390">
        <v>9</v>
      </c>
      <c r="C390" t="s">
        <v>72</v>
      </c>
      <c r="D390" t="s">
        <v>159</v>
      </c>
      <c r="E390" t="s">
        <v>160</v>
      </c>
      <c r="F390">
        <v>387</v>
      </c>
      <c r="G390">
        <v>438781</v>
      </c>
      <c r="H390">
        <v>423044</v>
      </c>
      <c r="I390">
        <v>302836</v>
      </c>
      <c r="J390">
        <v>697640</v>
      </c>
      <c r="K390">
        <v>375322</v>
      </c>
      <c r="L390">
        <v>480495</v>
      </c>
    </row>
    <row r="391" spans="1:12" x14ac:dyDescent="0.35">
      <c r="A391">
        <v>2024</v>
      </c>
      <c r="B391">
        <v>9</v>
      </c>
      <c r="C391" t="s">
        <v>72</v>
      </c>
      <c r="D391" t="s">
        <v>161</v>
      </c>
      <c r="E391" t="s">
        <v>162</v>
      </c>
      <c r="F391">
        <v>126</v>
      </c>
      <c r="G391">
        <v>470391</v>
      </c>
      <c r="H391">
        <v>439738</v>
      </c>
      <c r="I391">
        <v>313573</v>
      </c>
      <c r="J391">
        <v>700324</v>
      </c>
      <c r="K391">
        <v>368290</v>
      </c>
      <c r="L391">
        <v>553304</v>
      </c>
    </row>
    <row r="392" spans="1:12" x14ac:dyDescent="0.35">
      <c r="A392">
        <v>2024</v>
      </c>
      <c r="B392">
        <v>10</v>
      </c>
      <c r="C392" t="s">
        <v>73</v>
      </c>
      <c r="D392" t="s">
        <v>77</v>
      </c>
      <c r="E392" t="s">
        <v>78</v>
      </c>
      <c r="F392">
        <v>5</v>
      </c>
      <c r="G392">
        <v>446378</v>
      </c>
      <c r="H392">
        <v>434436</v>
      </c>
      <c r="I392">
        <v>325655</v>
      </c>
      <c r="J392">
        <v>575572</v>
      </c>
      <c r="K392">
        <v>325655</v>
      </c>
      <c r="L392">
        <v>570570</v>
      </c>
    </row>
    <row r="393" spans="1:12" x14ac:dyDescent="0.35">
      <c r="A393">
        <v>2024</v>
      </c>
      <c r="B393">
        <v>10</v>
      </c>
      <c r="C393" t="s">
        <v>73</v>
      </c>
      <c r="D393" t="s">
        <v>79</v>
      </c>
      <c r="E393" t="s">
        <v>80</v>
      </c>
      <c r="F393">
        <v>173</v>
      </c>
      <c r="G393">
        <v>472169</v>
      </c>
      <c r="H393">
        <v>432540</v>
      </c>
      <c r="I393">
        <v>313573</v>
      </c>
      <c r="J393">
        <v>712640</v>
      </c>
      <c r="K393">
        <v>365974</v>
      </c>
      <c r="L393">
        <v>575015</v>
      </c>
    </row>
    <row r="394" spans="1:12" x14ac:dyDescent="0.35">
      <c r="A394">
        <v>2024</v>
      </c>
      <c r="B394">
        <v>10</v>
      </c>
      <c r="C394" t="s">
        <v>73</v>
      </c>
      <c r="D394" t="s">
        <v>81</v>
      </c>
      <c r="E394" t="s">
        <v>82</v>
      </c>
      <c r="F394">
        <v>9</v>
      </c>
      <c r="G394">
        <v>639240</v>
      </c>
      <c r="H394">
        <v>644868</v>
      </c>
      <c r="I394">
        <v>516185</v>
      </c>
      <c r="J394">
        <v>700879</v>
      </c>
      <c r="K394">
        <v>634868</v>
      </c>
      <c r="L394">
        <v>665879</v>
      </c>
    </row>
    <row r="395" spans="1:12" x14ac:dyDescent="0.35">
      <c r="A395">
        <v>2024</v>
      </c>
      <c r="B395">
        <v>10</v>
      </c>
      <c r="C395" t="s">
        <v>73</v>
      </c>
      <c r="D395" t="s">
        <v>83</v>
      </c>
      <c r="E395" t="s">
        <v>84</v>
      </c>
      <c r="F395">
        <v>52</v>
      </c>
      <c r="G395">
        <v>486865</v>
      </c>
      <c r="H395">
        <v>486604</v>
      </c>
      <c r="I395">
        <v>330286</v>
      </c>
      <c r="J395">
        <v>659955</v>
      </c>
      <c r="K395">
        <v>358474</v>
      </c>
      <c r="L395">
        <v>602418</v>
      </c>
    </row>
    <row r="396" spans="1:12" x14ac:dyDescent="0.35">
      <c r="A396">
        <v>2024</v>
      </c>
      <c r="B396">
        <v>10</v>
      </c>
      <c r="C396" t="s">
        <v>73</v>
      </c>
      <c r="D396" t="s">
        <v>85</v>
      </c>
      <c r="E396" t="s">
        <v>86</v>
      </c>
      <c r="F396">
        <v>1053</v>
      </c>
      <c r="G396">
        <v>501777</v>
      </c>
      <c r="H396">
        <v>479436</v>
      </c>
      <c r="I396">
        <v>302836</v>
      </c>
      <c r="J396">
        <v>760916</v>
      </c>
      <c r="K396">
        <v>405324</v>
      </c>
      <c r="L396">
        <v>598439</v>
      </c>
    </row>
    <row r="397" spans="1:12" x14ac:dyDescent="0.35">
      <c r="A397">
        <v>2024</v>
      </c>
      <c r="B397">
        <v>10</v>
      </c>
      <c r="C397" t="s">
        <v>73</v>
      </c>
      <c r="D397" t="s">
        <v>87</v>
      </c>
      <c r="E397" t="s">
        <v>88</v>
      </c>
      <c r="F397">
        <v>4</v>
      </c>
      <c r="G397">
        <v>571531</v>
      </c>
      <c r="H397">
        <v>570410</v>
      </c>
      <c r="I397">
        <v>520903</v>
      </c>
      <c r="J397">
        <v>624400</v>
      </c>
      <c r="K397">
        <v>528403</v>
      </c>
      <c r="L397">
        <v>612418</v>
      </c>
    </row>
    <row r="398" spans="1:12" x14ac:dyDescent="0.35">
      <c r="A398">
        <v>2024</v>
      </c>
      <c r="B398">
        <v>10</v>
      </c>
      <c r="C398" t="s">
        <v>73</v>
      </c>
      <c r="D398" t="s">
        <v>89</v>
      </c>
      <c r="E398" t="s">
        <v>90</v>
      </c>
      <c r="F398">
        <v>838</v>
      </c>
      <c r="G398">
        <v>481641</v>
      </c>
      <c r="H398">
        <v>449966</v>
      </c>
      <c r="I398">
        <v>297836</v>
      </c>
      <c r="J398">
        <v>748416</v>
      </c>
      <c r="K398">
        <v>385324</v>
      </c>
      <c r="L398">
        <v>578070</v>
      </c>
    </row>
    <row r="399" spans="1:12" x14ac:dyDescent="0.35">
      <c r="A399">
        <v>2024</v>
      </c>
      <c r="B399">
        <v>10</v>
      </c>
      <c r="C399" t="s">
        <v>73</v>
      </c>
      <c r="D399" t="s">
        <v>91</v>
      </c>
      <c r="E399" t="s">
        <v>92</v>
      </c>
      <c r="F399">
        <v>133</v>
      </c>
      <c r="G399">
        <v>361206</v>
      </c>
      <c r="H399">
        <v>342366</v>
      </c>
      <c r="I399">
        <v>302836</v>
      </c>
      <c r="J399">
        <v>646900</v>
      </c>
      <c r="K399">
        <v>330286</v>
      </c>
      <c r="L399">
        <v>358474</v>
      </c>
    </row>
    <row r="400" spans="1:12" x14ac:dyDescent="0.35">
      <c r="A400">
        <v>2024</v>
      </c>
      <c r="B400">
        <v>10</v>
      </c>
      <c r="C400" t="s">
        <v>73</v>
      </c>
      <c r="D400" t="s">
        <v>93</v>
      </c>
      <c r="E400" t="s">
        <v>94</v>
      </c>
      <c r="F400">
        <v>27</v>
      </c>
      <c r="G400">
        <v>372657</v>
      </c>
      <c r="H400">
        <v>343155</v>
      </c>
      <c r="I400">
        <v>297836</v>
      </c>
      <c r="J400">
        <v>639956</v>
      </c>
      <c r="K400">
        <v>331075</v>
      </c>
      <c r="L400">
        <v>370322</v>
      </c>
    </row>
    <row r="401" spans="1:12" x14ac:dyDescent="0.35">
      <c r="A401">
        <v>2024</v>
      </c>
      <c r="B401">
        <v>10</v>
      </c>
      <c r="C401" t="s">
        <v>73</v>
      </c>
      <c r="D401" t="s">
        <v>95</v>
      </c>
      <c r="E401" t="s">
        <v>96</v>
      </c>
      <c r="F401">
        <v>15</v>
      </c>
      <c r="G401">
        <v>414388</v>
      </c>
      <c r="H401">
        <v>355655</v>
      </c>
      <c r="I401">
        <v>310336</v>
      </c>
      <c r="J401">
        <v>610939</v>
      </c>
      <c r="K401">
        <v>325655</v>
      </c>
      <c r="L401">
        <v>576038</v>
      </c>
    </row>
    <row r="402" spans="1:12" x14ac:dyDescent="0.35">
      <c r="A402">
        <v>2024</v>
      </c>
      <c r="B402">
        <v>10</v>
      </c>
      <c r="C402" t="s">
        <v>73</v>
      </c>
      <c r="D402" t="s">
        <v>97</v>
      </c>
      <c r="E402" t="s">
        <v>98</v>
      </c>
      <c r="F402">
        <v>260</v>
      </c>
      <c r="G402">
        <v>410964</v>
      </c>
      <c r="H402">
        <v>365974</v>
      </c>
      <c r="I402">
        <v>302836</v>
      </c>
      <c r="J402">
        <v>715879</v>
      </c>
      <c r="K402">
        <v>342366</v>
      </c>
      <c r="L402">
        <v>433044</v>
      </c>
    </row>
    <row r="403" spans="1:12" x14ac:dyDescent="0.35">
      <c r="A403">
        <v>2024</v>
      </c>
      <c r="B403">
        <v>10</v>
      </c>
      <c r="C403" t="s">
        <v>73</v>
      </c>
      <c r="D403" t="s">
        <v>99</v>
      </c>
      <c r="E403" t="s">
        <v>100</v>
      </c>
      <c r="F403">
        <v>446</v>
      </c>
      <c r="G403">
        <v>443286</v>
      </c>
      <c r="H403">
        <v>431240</v>
      </c>
      <c r="I403">
        <v>302836</v>
      </c>
      <c r="J403">
        <v>687590</v>
      </c>
      <c r="K403">
        <v>387824</v>
      </c>
      <c r="L403">
        <v>491604</v>
      </c>
    </row>
    <row r="404" spans="1:12" x14ac:dyDescent="0.35">
      <c r="A404">
        <v>2024</v>
      </c>
      <c r="B404">
        <v>10</v>
      </c>
      <c r="C404" t="s">
        <v>73</v>
      </c>
      <c r="D404" t="s">
        <v>101</v>
      </c>
      <c r="E404" t="s">
        <v>102</v>
      </c>
      <c r="F404">
        <v>12</v>
      </c>
      <c r="G404">
        <v>543731</v>
      </c>
      <c r="H404">
        <v>588538</v>
      </c>
      <c r="I404">
        <v>330286</v>
      </c>
      <c r="J404">
        <v>675324</v>
      </c>
      <c r="K404">
        <v>513082</v>
      </c>
      <c r="L404">
        <v>625939</v>
      </c>
    </row>
    <row r="405" spans="1:12" x14ac:dyDescent="0.35">
      <c r="A405">
        <v>2024</v>
      </c>
      <c r="B405">
        <v>10</v>
      </c>
      <c r="C405" t="s">
        <v>73</v>
      </c>
      <c r="D405" t="s">
        <v>103</v>
      </c>
      <c r="E405" t="s">
        <v>104</v>
      </c>
      <c r="F405">
        <v>9</v>
      </c>
      <c r="G405">
        <v>354088</v>
      </c>
      <c r="H405">
        <v>332786</v>
      </c>
      <c r="I405">
        <v>313573</v>
      </c>
      <c r="J405">
        <v>450495</v>
      </c>
      <c r="K405">
        <v>321073</v>
      </c>
      <c r="L405">
        <v>364866</v>
      </c>
    </row>
    <row r="406" spans="1:12" x14ac:dyDescent="0.35">
      <c r="A406">
        <v>2024</v>
      </c>
      <c r="B406">
        <v>10</v>
      </c>
      <c r="C406" t="s">
        <v>73</v>
      </c>
      <c r="D406" t="s">
        <v>105</v>
      </c>
      <c r="E406" t="s">
        <v>106</v>
      </c>
      <c r="F406">
        <v>38</v>
      </c>
      <c r="G406">
        <v>441623</v>
      </c>
      <c r="H406">
        <v>403235</v>
      </c>
      <c r="I406">
        <v>313573</v>
      </c>
      <c r="J406">
        <v>692824</v>
      </c>
      <c r="K406">
        <v>342368</v>
      </c>
      <c r="L406">
        <v>520903</v>
      </c>
    </row>
    <row r="407" spans="1:12" x14ac:dyDescent="0.35">
      <c r="A407">
        <v>2024</v>
      </c>
      <c r="B407">
        <v>10</v>
      </c>
      <c r="C407" t="s">
        <v>73</v>
      </c>
      <c r="D407" t="s">
        <v>107</v>
      </c>
      <c r="E407" t="s">
        <v>108</v>
      </c>
      <c r="F407">
        <v>3</v>
      </c>
      <c r="G407">
        <v>355235</v>
      </c>
      <c r="H407">
        <v>349866</v>
      </c>
      <c r="I407">
        <v>342366</v>
      </c>
      <c r="J407">
        <v>373474</v>
      </c>
      <c r="K407">
        <v>349866</v>
      </c>
      <c r="L407">
        <v>373474</v>
      </c>
    </row>
    <row r="408" spans="1:12" x14ac:dyDescent="0.35">
      <c r="A408">
        <v>2024</v>
      </c>
      <c r="B408">
        <v>10</v>
      </c>
      <c r="C408" t="s">
        <v>73</v>
      </c>
      <c r="D408" t="s">
        <v>109</v>
      </c>
      <c r="E408" t="s">
        <v>110</v>
      </c>
      <c r="F408">
        <v>4971</v>
      </c>
      <c r="G408">
        <v>549292</v>
      </c>
      <c r="H408">
        <v>514658</v>
      </c>
      <c r="I408">
        <v>407405</v>
      </c>
      <c r="J408">
        <v>808269</v>
      </c>
      <c r="K408">
        <v>445594</v>
      </c>
      <c r="L408">
        <v>663058</v>
      </c>
    </row>
    <row r="409" spans="1:12" x14ac:dyDescent="0.35">
      <c r="A409">
        <v>2024</v>
      </c>
      <c r="B409">
        <v>10</v>
      </c>
      <c r="C409" t="s">
        <v>73</v>
      </c>
      <c r="D409" t="s">
        <v>111</v>
      </c>
      <c r="E409" t="s">
        <v>112</v>
      </c>
      <c r="F409">
        <v>14358</v>
      </c>
      <c r="G409">
        <v>339844</v>
      </c>
      <c r="H409">
        <v>318942</v>
      </c>
      <c r="I409">
        <v>234373</v>
      </c>
      <c r="J409">
        <v>670977</v>
      </c>
      <c r="K409">
        <v>288486</v>
      </c>
      <c r="L409">
        <v>360974</v>
      </c>
    </row>
    <row r="410" spans="1:12" x14ac:dyDescent="0.35">
      <c r="A410">
        <v>2024</v>
      </c>
      <c r="B410">
        <v>10</v>
      </c>
      <c r="C410" t="s">
        <v>73</v>
      </c>
      <c r="D410" t="s">
        <v>113</v>
      </c>
      <c r="E410" t="s">
        <v>114</v>
      </c>
      <c r="F410">
        <v>7927</v>
      </c>
      <c r="G410">
        <v>321291</v>
      </c>
      <c r="H410">
        <v>308942</v>
      </c>
      <c r="I410">
        <v>260064</v>
      </c>
      <c r="J410">
        <v>585804</v>
      </c>
      <c r="K410">
        <v>285752</v>
      </c>
      <c r="L410">
        <v>335052</v>
      </c>
    </row>
    <row r="411" spans="1:12" x14ac:dyDescent="0.35">
      <c r="A411">
        <v>2024</v>
      </c>
      <c r="B411">
        <v>10</v>
      </c>
      <c r="C411" t="s">
        <v>73</v>
      </c>
      <c r="D411" t="s">
        <v>115</v>
      </c>
      <c r="E411" t="s">
        <v>116</v>
      </c>
      <c r="F411">
        <v>88</v>
      </c>
      <c r="G411">
        <v>579059</v>
      </c>
      <c r="H411">
        <v>562750</v>
      </c>
      <c r="I411">
        <v>407405</v>
      </c>
      <c r="J411">
        <v>825535</v>
      </c>
      <c r="K411">
        <v>479941</v>
      </c>
      <c r="L411">
        <v>685558</v>
      </c>
    </row>
    <row r="412" spans="1:12" x14ac:dyDescent="0.35">
      <c r="A412">
        <v>2024</v>
      </c>
      <c r="B412">
        <v>10</v>
      </c>
      <c r="C412" t="s">
        <v>73</v>
      </c>
      <c r="D412" t="s">
        <v>117</v>
      </c>
      <c r="E412" t="s">
        <v>118</v>
      </c>
      <c r="F412">
        <v>395</v>
      </c>
      <c r="G412">
        <v>575732</v>
      </c>
      <c r="H412">
        <v>545298</v>
      </c>
      <c r="I412">
        <v>407405</v>
      </c>
      <c r="J412">
        <v>808035</v>
      </c>
      <c r="K412">
        <v>460594</v>
      </c>
      <c r="L412">
        <v>690558</v>
      </c>
    </row>
    <row r="413" spans="1:12" x14ac:dyDescent="0.35">
      <c r="A413">
        <v>2024</v>
      </c>
      <c r="B413">
        <v>10</v>
      </c>
      <c r="C413" t="s">
        <v>73</v>
      </c>
      <c r="D413" t="s">
        <v>119</v>
      </c>
      <c r="E413" t="s">
        <v>120</v>
      </c>
      <c r="F413">
        <v>981</v>
      </c>
      <c r="G413">
        <v>493877</v>
      </c>
      <c r="H413">
        <v>472441</v>
      </c>
      <c r="I413">
        <v>407405</v>
      </c>
      <c r="J413">
        <v>788035</v>
      </c>
      <c r="K413">
        <v>439485</v>
      </c>
      <c r="L413">
        <v>524658</v>
      </c>
    </row>
    <row r="414" spans="1:12" x14ac:dyDescent="0.35">
      <c r="A414">
        <v>2024</v>
      </c>
      <c r="B414">
        <v>10</v>
      </c>
      <c r="C414" t="s">
        <v>73</v>
      </c>
      <c r="D414" t="s">
        <v>121</v>
      </c>
      <c r="E414" t="s">
        <v>122</v>
      </c>
      <c r="F414">
        <v>534</v>
      </c>
      <c r="G414">
        <v>451874</v>
      </c>
      <c r="H414">
        <v>445544</v>
      </c>
      <c r="I414">
        <v>320655</v>
      </c>
      <c r="J414">
        <v>672689</v>
      </c>
      <c r="K414">
        <v>397824</v>
      </c>
      <c r="L414">
        <v>510348</v>
      </c>
    </row>
    <row r="415" spans="1:12" x14ac:dyDescent="0.35">
      <c r="A415">
        <v>2024</v>
      </c>
      <c r="B415">
        <v>10</v>
      </c>
      <c r="C415" t="s">
        <v>73</v>
      </c>
      <c r="D415" t="s">
        <v>123</v>
      </c>
      <c r="E415" t="s">
        <v>124</v>
      </c>
      <c r="F415">
        <v>1</v>
      </c>
      <c r="G415">
        <v>318942</v>
      </c>
      <c r="H415">
        <v>318942</v>
      </c>
      <c r="I415">
        <v>318942</v>
      </c>
      <c r="J415">
        <v>318942</v>
      </c>
      <c r="K415">
        <v>318942</v>
      </c>
      <c r="L415">
        <v>318942</v>
      </c>
    </row>
    <row r="416" spans="1:12" x14ac:dyDescent="0.35">
      <c r="A416">
        <v>2024</v>
      </c>
      <c r="B416">
        <v>10</v>
      </c>
      <c r="C416" t="s">
        <v>73</v>
      </c>
      <c r="D416" t="s">
        <v>125</v>
      </c>
      <c r="E416" t="s">
        <v>126</v>
      </c>
      <c r="F416">
        <v>187</v>
      </c>
      <c r="G416">
        <v>414756</v>
      </c>
      <c r="H416">
        <v>358474</v>
      </c>
      <c r="I416">
        <v>325286</v>
      </c>
      <c r="J416">
        <v>680189</v>
      </c>
      <c r="K416">
        <v>342366</v>
      </c>
      <c r="L416">
        <v>491604</v>
      </c>
    </row>
    <row r="417" spans="1:12" x14ac:dyDescent="0.35">
      <c r="A417">
        <v>2024</v>
      </c>
      <c r="B417">
        <v>10</v>
      </c>
      <c r="C417" t="s">
        <v>73</v>
      </c>
      <c r="D417" t="s">
        <v>127</v>
      </c>
      <c r="E417" t="s">
        <v>128</v>
      </c>
      <c r="F417">
        <v>5712</v>
      </c>
      <c r="G417">
        <v>884585</v>
      </c>
      <c r="H417">
        <v>833355</v>
      </c>
      <c r="I417">
        <v>656669</v>
      </c>
      <c r="J417">
        <v>1436081</v>
      </c>
      <c r="K417">
        <v>716669</v>
      </c>
      <c r="L417">
        <v>990646</v>
      </c>
    </row>
    <row r="418" spans="1:12" x14ac:dyDescent="0.35">
      <c r="A418">
        <v>2024</v>
      </c>
      <c r="B418">
        <v>10</v>
      </c>
      <c r="C418" t="s">
        <v>73</v>
      </c>
      <c r="D418" t="s">
        <v>129</v>
      </c>
      <c r="E418" t="s">
        <v>130</v>
      </c>
      <c r="F418">
        <v>331</v>
      </c>
      <c r="G418">
        <v>506315</v>
      </c>
      <c r="H418">
        <v>504239</v>
      </c>
      <c r="I418">
        <v>342134</v>
      </c>
      <c r="J418">
        <v>750448</v>
      </c>
      <c r="K418">
        <v>407404</v>
      </c>
      <c r="L418">
        <v>607467</v>
      </c>
    </row>
    <row r="419" spans="1:12" x14ac:dyDescent="0.35">
      <c r="A419">
        <v>2024</v>
      </c>
      <c r="B419">
        <v>10</v>
      </c>
      <c r="C419" t="s">
        <v>73</v>
      </c>
      <c r="D419" t="s">
        <v>131</v>
      </c>
      <c r="E419" t="s">
        <v>132</v>
      </c>
      <c r="F419">
        <v>36013</v>
      </c>
      <c r="G419">
        <v>519225</v>
      </c>
      <c r="H419">
        <v>489055</v>
      </c>
      <c r="I419">
        <v>333389</v>
      </c>
      <c r="J419">
        <v>887702</v>
      </c>
      <c r="K419">
        <v>437073</v>
      </c>
      <c r="L419">
        <v>592467</v>
      </c>
    </row>
    <row r="420" spans="1:12" x14ac:dyDescent="0.35">
      <c r="A420">
        <v>2024</v>
      </c>
      <c r="B420">
        <v>10</v>
      </c>
      <c r="C420" t="s">
        <v>73</v>
      </c>
      <c r="D420" t="s">
        <v>133</v>
      </c>
      <c r="E420" t="s">
        <v>134</v>
      </c>
      <c r="F420">
        <v>86401</v>
      </c>
      <c r="G420">
        <v>398891</v>
      </c>
      <c r="H420">
        <v>405040</v>
      </c>
      <c r="I420">
        <v>266776</v>
      </c>
      <c r="J420">
        <v>584648</v>
      </c>
      <c r="K420">
        <v>315889</v>
      </c>
      <c r="L420">
        <v>451936</v>
      </c>
    </row>
    <row r="421" spans="1:12" x14ac:dyDescent="0.35">
      <c r="A421">
        <v>2024</v>
      </c>
      <c r="B421">
        <v>10</v>
      </c>
      <c r="C421" t="s">
        <v>73</v>
      </c>
      <c r="D421" t="s">
        <v>135</v>
      </c>
      <c r="E421" t="s">
        <v>136</v>
      </c>
      <c r="F421">
        <v>21304</v>
      </c>
      <c r="G421">
        <v>700053</v>
      </c>
      <c r="H421">
        <v>687455</v>
      </c>
      <c r="I421">
        <v>398882</v>
      </c>
      <c r="J421">
        <v>1012078</v>
      </c>
      <c r="K421">
        <v>628292</v>
      </c>
      <c r="L421">
        <v>793133</v>
      </c>
    </row>
    <row r="422" spans="1:12" x14ac:dyDescent="0.35">
      <c r="A422">
        <v>2024</v>
      </c>
      <c r="B422">
        <v>10</v>
      </c>
      <c r="C422" t="s">
        <v>73</v>
      </c>
      <c r="D422" t="s">
        <v>137</v>
      </c>
      <c r="E422" t="s">
        <v>138</v>
      </c>
      <c r="F422">
        <v>11011</v>
      </c>
      <c r="G422">
        <v>450776</v>
      </c>
      <c r="H422">
        <v>441838</v>
      </c>
      <c r="I422">
        <v>262563</v>
      </c>
      <c r="J422">
        <v>781187</v>
      </c>
      <c r="K422">
        <v>368426</v>
      </c>
      <c r="L422">
        <v>509239</v>
      </c>
    </row>
    <row r="423" spans="1:12" x14ac:dyDescent="0.35">
      <c r="A423">
        <v>2024</v>
      </c>
      <c r="B423">
        <v>10</v>
      </c>
      <c r="C423" t="s">
        <v>73</v>
      </c>
      <c r="D423" t="s">
        <v>139</v>
      </c>
      <c r="E423" t="s">
        <v>140</v>
      </c>
      <c r="F423">
        <v>31</v>
      </c>
      <c r="G423">
        <v>623460</v>
      </c>
      <c r="H423">
        <v>625237</v>
      </c>
      <c r="I423">
        <v>518403</v>
      </c>
      <c r="J423">
        <v>753687</v>
      </c>
      <c r="K423">
        <v>605237</v>
      </c>
      <c r="L423">
        <v>635237</v>
      </c>
    </row>
    <row r="424" spans="1:12" x14ac:dyDescent="0.35">
      <c r="A424">
        <v>2024</v>
      </c>
      <c r="B424">
        <v>10</v>
      </c>
      <c r="C424" t="s">
        <v>73</v>
      </c>
      <c r="D424" t="s">
        <v>141</v>
      </c>
      <c r="E424" t="s">
        <v>142</v>
      </c>
      <c r="F424">
        <v>807</v>
      </c>
      <c r="G424">
        <v>507482</v>
      </c>
      <c r="H424">
        <v>500903</v>
      </c>
      <c r="I424">
        <v>342134</v>
      </c>
      <c r="J424">
        <v>758921</v>
      </c>
      <c r="K424">
        <v>448835</v>
      </c>
      <c r="L424">
        <v>556222</v>
      </c>
    </row>
    <row r="425" spans="1:12" x14ac:dyDescent="0.35">
      <c r="A425">
        <v>2024</v>
      </c>
      <c r="B425">
        <v>10</v>
      </c>
      <c r="C425" t="s">
        <v>73</v>
      </c>
      <c r="D425" t="s">
        <v>143</v>
      </c>
      <c r="E425" t="s">
        <v>144</v>
      </c>
      <c r="F425">
        <v>4717</v>
      </c>
      <c r="G425">
        <v>286952</v>
      </c>
      <c r="H425">
        <v>278486</v>
      </c>
      <c r="I425">
        <v>229743</v>
      </c>
      <c r="J425">
        <v>438463</v>
      </c>
      <c r="K425">
        <v>262564</v>
      </c>
      <c r="L425">
        <v>303807</v>
      </c>
    </row>
    <row r="426" spans="1:12" x14ac:dyDescent="0.35">
      <c r="A426">
        <v>2024</v>
      </c>
      <c r="B426">
        <v>10</v>
      </c>
      <c r="C426" t="s">
        <v>73</v>
      </c>
      <c r="D426" t="s">
        <v>145</v>
      </c>
      <c r="E426" t="s">
        <v>146</v>
      </c>
      <c r="F426">
        <v>117</v>
      </c>
      <c r="G426">
        <v>440256</v>
      </c>
      <c r="H426">
        <v>446936</v>
      </c>
      <c r="I426">
        <v>330336</v>
      </c>
      <c r="J426">
        <v>590804</v>
      </c>
      <c r="K426">
        <v>421985</v>
      </c>
      <c r="L426">
        <v>469436</v>
      </c>
    </row>
    <row r="427" spans="1:12" x14ac:dyDescent="0.35">
      <c r="A427">
        <v>2024</v>
      </c>
      <c r="B427">
        <v>10</v>
      </c>
      <c r="C427" t="s">
        <v>73</v>
      </c>
      <c r="D427" t="s">
        <v>147</v>
      </c>
      <c r="E427" t="s">
        <v>148</v>
      </c>
      <c r="F427">
        <v>77</v>
      </c>
      <c r="G427">
        <v>340231</v>
      </c>
      <c r="H427">
        <v>321073</v>
      </c>
      <c r="I427">
        <v>297836</v>
      </c>
      <c r="J427">
        <v>439436</v>
      </c>
      <c r="K427">
        <v>302836</v>
      </c>
      <c r="L427">
        <v>375324</v>
      </c>
    </row>
    <row r="428" spans="1:12" x14ac:dyDescent="0.35">
      <c r="A428">
        <v>2024</v>
      </c>
      <c r="B428">
        <v>10</v>
      </c>
      <c r="C428" t="s">
        <v>73</v>
      </c>
      <c r="D428" t="s">
        <v>149</v>
      </c>
      <c r="E428" t="s">
        <v>150</v>
      </c>
      <c r="F428">
        <v>1863</v>
      </c>
      <c r="G428">
        <v>398476</v>
      </c>
      <c r="H428">
        <v>365974</v>
      </c>
      <c r="I428">
        <v>297836</v>
      </c>
      <c r="J428">
        <v>740916</v>
      </c>
      <c r="K428">
        <v>342366</v>
      </c>
      <c r="L428">
        <v>421985</v>
      </c>
    </row>
    <row r="429" spans="1:12" x14ac:dyDescent="0.35">
      <c r="A429">
        <v>2024</v>
      </c>
      <c r="B429">
        <v>10</v>
      </c>
      <c r="C429" t="s">
        <v>73</v>
      </c>
      <c r="D429" t="s">
        <v>151</v>
      </c>
      <c r="E429" t="s">
        <v>152</v>
      </c>
      <c r="F429">
        <v>678</v>
      </c>
      <c r="G429">
        <v>995804</v>
      </c>
      <c r="H429">
        <v>1044725</v>
      </c>
      <c r="I429">
        <v>690287</v>
      </c>
      <c r="J429">
        <v>1453912</v>
      </c>
      <c r="K429">
        <v>859477</v>
      </c>
      <c r="L429">
        <v>1124208</v>
      </c>
    </row>
    <row r="430" spans="1:12" x14ac:dyDescent="0.35">
      <c r="A430">
        <v>2024</v>
      </c>
      <c r="B430">
        <v>10</v>
      </c>
      <c r="C430" t="s">
        <v>73</v>
      </c>
      <c r="D430" t="s">
        <v>153</v>
      </c>
      <c r="E430" t="s">
        <v>154</v>
      </c>
      <c r="F430">
        <v>133</v>
      </c>
      <c r="G430">
        <v>646920</v>
      </c>
      <c r="H430">
        <v>660743</v>
      </c>
      <c r="I430">
        <v>411061</v>
      </c>
      <c r="J430">
        <v>812667</v>
      </c>
      <c r="K430">
        <v>549980</v>
      </c>
      <c r="L430">
        <v>750130</v>
      </c>
    </row>
    <row r="431" spans="1:12" x14ac:dyDescent="0.35">
      <c r="A431">
        <v>2024</v>
      </c>
      <c r="B431">
        <v>10</v>
      </c>
      <c r="C431" t="s">
        <v>73</v>
      </c>
      <c r="D431" t="s">
        <v>155</v>
      </c>
      <c r="E431" t="s">
        <v>156</v>
      </c>
      <c r="F431">
        <v>1002</v>
      </c>
      <c r="G431">
        <v>396057</v>
      </c>
      <c r="H431">
        <v>372459</v>
      </c>
      <c r="I431">
        <v>260064</v>
      </c>
      <c r="J431">
        <v>707824</v>
      </c>
      <c r="K431">
        <v>321073</v>
      </c>
      <c r="L431">
        <v>430963</v>
      </c>
    </row>
    <row r="432" spans="1:12" x14ac:dyDescent="0.35">
      <c r="A432">
        <v>2024</v>
      </c>
      <c r="B432">
        <v>10</v>
      </c>
      <c r="C432" t="s">
        <v>73</v>
      </c>
      <c r="D432" t="s">
        <v>157</v>
      </c>
      <c r="E432" t="s">
        <v>158</v>
      </c>
      <c r="F432">
        <v>172</v>
      </c>
      <c r="G432">
        <v>469724</v>
      </c>
      <c r="H432">
        <v>443046</v>
      </c>
      <c r="I432">
        <v>330286</v>
      </c>
      <c r="J432">
        <v>705140</v>
      </c>
      <c r="K432">
        <v>385322</v>
      </c>
      <c r="L432">
        <v>540582</v>
      </c>
    </row>
    <row r="433" spans="1:12" x14ac:dyDescent="0.35">
      <c r="A433">
        <v>2024</v>
      </c>
      <c r="B433">
        <v>10</v>
      </c>
      <c r="C433" t="s">
        <v>73</v>
      </c>
      <c r="D433" t="s">
        <v>159</v>
      </c>
      <c r="E433" t="s">
        <v>160</v>
      </c>
      <c r="F433">
        <v>390</v>
      </c>
      <c r="G433">
        <v>438376</v>
      </c>
      <c r="H433">
        <v>421985</v>
      </c>
      <c r="I433">
        <v>302836</v>
      </c>
      <c r="J433">
        <v>697640</v>
      </c>
      <c r="K433">
        <v>375322</v>
      </c>
      <c r="L433">
        <v>480495</v>
      </c>
    </row>
    <row r="434" spans="1:12" x14ac:dyDescent="0.35">
      <c r="A434">
        <v>2024</v>
      </c>
      <c r="B434">
        <v>10</v>
      </c>
      <c r="C434" t="s">
        <v>73</v>
      </c>
      <c r="D434" t="s">
        <v>161</v>
      </c>
      <c r="E434" t="s">
        <v>162</v>
      </c>
      <c r="F434">
        <v>126</v>
      </c>
      <c r="G434">
        <v>471674</v>
      </c>
      <c r="H434">
        <v>440292</v>
      </c>
      <c r="I434">
        <v>313573</v>
      </c>
      <c r="J434">
        <v>700324</v>
      </c>
      <c r="K434">
        <v>368290</v>
      </c>
      <c r="L434">
        <v>553304</v>
      </c>
    </row>
    <row r="435" spans="1:12" x14ac:dyDescent="0.35">
      <c r="A435">
        <v>2024</v>
      </c>
      <c r="B435">
        <v>11</v>
      </c>
      <c r="C435" t="s">
        <v>74</v>
      </c>
      <c r="D435" t="s">
        <v>77</v>
      </c>
      <c r="E435" t="s">
        <v>78</v>
      </c>
      <c r="F435">
        <v>4</v>
      </c>
      <c r="G435">
        <v>414079</v>
      </c>
      <c r="H435">
        <v>380046</v>
      </c>
      <c r="I435">
        <v>325655</v>
      </c>
      <c r="J435">
        <v>570570</v>
      </c>
      <c r="K435">
        <v>325655</v>
      </c>
      <c r="L435">
        <v>434436</v>
      </c>
    </row>
    <row r="436" spans="1:12" x14ac:dyDescent="0.35">
      <c r="A436">
        <v>2024</v>
      </c>
      <c r="B436">
        <v>11</v>
      </c>
      <c r="C436" t="s">
        <v>74</v>
      </c>
      <c r="D436" t="s">
        <v>79</v>
      </c>
      <c r="E436" t="s">
        <v>80</v>
      </c>
      <c r="F436">
        <v>172</v>
      </c>
      <c r="G436">
        <v>470930</v>
      </c>
      <c r="H436">
        <v>432540</v>
      </c>
      <c r="I436">
        <v>313573</v>
      </c>
      <c r="J436">
        <v>712640</v>
      </c>
      <c r="K436">
        <v>365974</v>
      </c>
      <c r="L436">
        <v>568538</v>
      </c>
    </row>
    <row r="437" spans="1:12" x14ac:dyDescent="0.35">
      <c r="A437">
        <v>2024</v>
      </c>
      <c r="B437">
        <v>11</v>
      </c>
      <c r="C437" t="s">
        <v>74</v>
      </c>
      <c r="D437" t="s">
        <v>81</v>
      </c>
      <c r="E437" t="s">
        <v>82</v>
      </c>
      <c r="F437">
        <v>9</v>
      </c>
      <c r="G437">
        <v>639240</v>
      </c>
      <c r="H437">
        <v>644868</v>
      </c>
      <c r="I437">
        <v>516185</v>
      </c>
      <c r="J437">
        <v>700879</v>
      </c>
      <c r="K437">
        <v>634868</v>
      </c>
      <c r="L437">
        <v>665879</v>
      </c>
    </row>
    <row r="438" spans="1:12" x14ac:dyDescent="0.35">
      <c r="A438">
        <v>2024</v>
      </c>
      <c r="B438">
        <v>11</v>
      </c>
      <c r="C438" t="s">
        <v>74</v>
      </c>
      <c r="D438" t="s">
        <v>83</v>
      </c>
      <c r="E438" t="s">
        <v>84</v>
      </c>
      <c r="F438">
        <v>52</v>
      </c>
      <c r="G438">
        <v>488517</v>
      </c>
      <c r="H438">
        <v>492854</v>
      </c>
      <c r="I438">
        <v>330286</v>
      </c>
      <c r="J438">
        <v>659955</v>
      </c>
      <c r="K438">
        <v>358474</v>
      </c>
      <c r="L438">
        <v>614918</v>
      </c>
    </row>
    <row r="439" spans="1:12" x14ac:dyDescent="0.35">
      <c r="A439">
        <v>2024</v>
      </c>
      <c r="B439">
        <v>11</v>
      </c>
      <c r="C439" t="s">
        <v>74</v>
      </c>
      <c r="D439" t="s">
        <v>85</v>
      </c>
      <c r="E439" t="s">
        <v>86</v>
      </c>
      <c r="F439">
        <v>1065</v>
      </c>
      <c r="G439">
        <v>501215</v>
      </c>
      <c r="H439">
        <v>478180</v>
      </c>
      <c r="I439">
        <v>302836</v>
      </c>
      <c r="J439">
        <v>760916</v>
      </c>
      <c r="K439">
        <v>405322</v>
      </c>
      <c r="L439">
        <v>598439</v>
      </c>
    </row>
    <row r="440" spans="1:12" x14ac:dyDescent="0.35">
      <c r="A440">
        <v>2024</v>
      </c>
      <c r="B440">
        <v>11</v>
      </c>
      <c r="C440" t="s">
        <v>74</v>
      </c>
      <c r="D440" t="s">
        <v>87</v>
      </c>
      <c r="E440" t="s">
        <v>88</v>
      </c>
      <c r="F440">
        <v>4</v>
      </c>
      <c r="G440">
        <v>571531</v>
      </c>
      <c r="H440">
        <v>570410</v>
      </c>
      <c r="I440">
        <v>520903</v>
      </c>
      <c r="J440">
        <v>624400</v>
      </c>
      <c r="K440">
        <v>528403</v>
      </c>
      <c r="L440">
        <v>612418</v>
      </c>
    </row>
    <row r="441" spans="1:12" x14ac:dyDescent="0.35">
      <c r="A441">
        <v>2024</v>
      </c>
      <c r="B441">
        <v>11</v>
      </c>
      <c r="C441" t="s">
        <v>74</v>
      </c>
      <c r="D441" t="s">
        <v>89</v>
      </c>
      <c r="E441" t="s">
        <v>90</v>
      </c>
      <c r="F441">
        <v>842</v>
      </c>
      <c r="G441">
        <v>482132</v>
      </c>
      <c r="H441">
        <v>451240</v>
      </c>
      <c r="I441">
        <v>297836</v>
      </c>
      <c r="J441">
        <v>748416</v>
      </c>
      <c r="K441">
        <v>389485</v>
      </c>
      <c r="L441">
        <v>578070</v>
      </c>
    </row>
    <row r="442" spans="1:12" x14ac:dyDescent="0.35">
      <c r="A442">
        <v>2024</v>
      </c>
      <c r="B442">
        <v>11</v>
      </c>
      <c r="C442" t="s">
        <v>74</v>
      </c>
      <c r="D442" t="s">
        <v>91</v>
      </c>
      <c r="E442" t="s">
        <v>92</v>
      </c>
      <c r="F442">
        <v>135</v>
      </c>
      <c r="G442">
        <v>361945</v>
      </c>
      <c r="H442">
        <v>342366</v>
      </c>
      <c r="I442">
        <v>302836</v>
      </c>
      <c r="J442">
        <v>646900</v>
      </c>
      <c r="K442">
        <v>330286</v>
      </c>
      <c r="L442">
        <v>358474</v>
      </c>
    </row>
    <row r="443" spans="1:12" x14ac:dyDescent="0.35">
      <c r="A443">
        <v>2024</v>
      </c>
      <c r="B443">
        <v>11</v>
      </c>
      <c r="C443" t="s">
        <v>74</v>
      </c>
      <c r="D443" t="s">
        <v>93</v>
      </c>
      <c r="E443" t="s">
        <v>94</v>
      </c>
      <c r="F443">
        <v>29</v>
      </c>
      <c r="G443">
        <v>370150</v>
      </c>
      <c r="H443">
        <v>343155</v>
      </c>
      <c r="I443">
        <v>297836</v>
      </c>
      <c r="J443">
        <v>639956</v>
      </c>
      <c r="K443">
        <v>331075</v>
      </c>
      <c r="L443">
        <v>365792</v>
      </c>
    </row>
    <row r="444" spans="1:12" x14ac:dyDescent="0.35">
      <c r="A444">
        <v>2024</v>
      </c>
      <c r="B444">
        <v>11</v>
      </c>
      <c r="C444" t="s">
        <v>74</v>
      </c>
      <c r="D444" t="s">
        <v>95</v>
      </c>
      <c r="E444" t="s">
        <v>96</v>
      </c>
      <c r="F444">
        <v>16</v>
      </c>
      <c r="G444">
        <v>422672</v>
      </c>
      <c r="H444">
        <v>372988</v>
      </c>
      <c r="I444">
        <v>310336</v>
      </c>
      <c r="J444">
        <v>610939</v>
      </c>
      <c r="K444">
        <v>325655</v>
      </c>
      <c r="L444">
        <v>546939</v>
      </c>
    </row>
    <row r="445" spans="1:12" x14ac:dyDescent="0.35">
      <c r="A445">
        <v>2024</v>
      </c>
      <c r="B445">
        <v>11</v>
      </c>
      <c r="C445" t="s">
        <v>74</v>
      </c>
      <c r="D445" t="s">
        <v>97</v>
      </c>
      <c r="E445" t="s">
        <v>98</v>
      </c>
      <c r="F445">
        <v>261</v>
      </c>
      <c r="G445">
        <v>411446</v>
      </c>
      <c r="H445">
        <v>365974</v>
      </c>
      <c r="I445">
        <v>302836</v>
      </c>
      <c r="J445">
        <v>715879</v>
      </c>
      <c r="K445">
        <v>342366</v>
      </c>
      <c r="L445">
        <v>440040</v>
      </c>
    </row>
    <row r="446" spans="1:12" x14ac:dyDescent="0.35">
      <c r="A446">
        <v>2024</v>
      </c>
      <c r="B446">
        <v>11</v>
      </c>
      <c r="C446" t="s">
        <v>74</v>
      </c>
      <c r="D446" t="s">
        <v>99</v>
      </c>
      <c r="E446" t="s">
        <v>100</v>
      </c>
      <c r="F446">
        <v>444</v>
      </c>
      <c r="G446">
        <v>444506</v>
      </c>
      <c r="H446">
        <v>431936</v>
      </c>
      <c r="I446">
        <v>302836</v>
      </c>
      <c r="J446">
        <v>687590</v>
      </c>
      <c r="K446">
        <v>388290</v>
      </c>
      <c r="L446">
        <v>495495</v>
      </c>
    </row>
    <row r="447" spans="1:12" x14ac:dyDescent="0.35">
      <c r="A447">
        <v>2024</v>
      </c>
      <c r="B447">
        <v>11</v>
      </c>
      <c r="C447" t="s">
        <v>74</v>
      </c>
      <c r="D447" t="s">
        <v>101</v>
      </c>
      <c r="E447" t="s">
        <v>102</v>
      </c>
      <c r="F447">
        <v>12</v>
      </c>
      <c r="G447">
        <v>543731</v>
      </c>
      <c r="H447">
        <v>588538</v>
      </c>
      <c r="I447">
        <v>330286</v>
      </c>
      <c r="J447">
        <v>675324</v>
      </c>
      <c r="K447">
        <v>513082</v>
      </c>
      <c r="L447">
        <v>625939</v>
      </c>
    </row>
    <row r="448" spans="1:12" x14ac:dyDescent="0.35">
      <c r="A448">
        <v>2024</v>
      </c>
      <c r="B448">
        <v>11</v>
      </c>
      <c r="C448" t="s">
        <v>74</v>
      </c>
      <c r="D448" t="s">
        <v>103</v>
      </c>
      <c r="E448" t="s">
        <v>104</v>
      </c>
      <c r="F448">
        <v>9</v>
      </c>
      <c r="G448">
        <v>354366</v>
      </c>
      <c r="H448">
        <v>332786</v>
      </c>
      <c r="I448">
        <v>313573</v>
      </c>
      <c r="J448">
        <v>450495</v>
      </c>
      <c r="K448">
        <v>321073</v>
      </c>
      <c r="L448">
        <v>364866</v>
      </c>
    </row>
    <row r="449" spans="1:12" x14ac:dyDescent="0.35">
      <c r="A449">
        <v>2024</v>
      </c>
      <c r="B449">
        <v>11</v>
      </c>
      <c r="C449" t="s">
        <v>74</v>
      </c>
      <c r="D449" t="s">
        <v>105</v>
      </c>
      <c r="E449" t="s">
        <v>106</v>
      </c>
      <c r="F449">
        <v>38</v>
      </c>
      <c r="G449">
        <v>442542</v>
      </c>
      <c r="H449">
        <v>403235</v>
      </c>
      <c r="I449">
        <v>313573</v>
      </c>
      <c r="J449">
        <v>692824</v>
      </c>
      <c r="K449">
        <v>342368</v>
      </c>
      <c r="L449">
        <v>535903</v>
      </c>
    </row>
    <row r="450" spans="1:12" x14ac:dyDescent="0.35">
      <c r="A450">
        <v>2024</v>
      </c>
      <c r="B450">
        <v>11</v>
      </c>
      <c r="C450" t="s">
        <v>74</v>
      </c>
      <c r="D450" t="s">
        <v>107</v>
      </c>
      <c r="E450" t="s">
        <v>108</v>
      </c>
      <c r="F450">
        <v>3</v>
      </c>
      <c r="G450">
        <v>355235</v>
      </c>
      <c r="H450">
        <v>349866</v>
      </c>
      <c r="I450">
        <v>342366</v>
      </c>
      <c r="J450">
        <v>373474</v>
      </c>
      <c r="K450">
        <v>349866</v>
      </c>
      <c r="L450">
        <v>373474</v>
      </c>
    </row>
    <row r="451" spans="1:12" x14ac:dyDescent="0.35">
      <c r="A451">
        <v>2024</v>
      </c>
      <c r="B451">
        <v>11</v>
      </c>
      <c r="C451" t="s">
        <v>74</v>
      </c>
      <c r="D451" t="s">
        <v>109</v>
      </c>
      <c r="E451" t="s">
        <v>110</v>
      </c>
      <c r="F451">
        <v>4925</v>
      </c>
      <c r="G451">
        <v>551152</v>
      </c>
      <c r="H451">
        <v>517158</v>
      </c>
      <c r="I451">
        <v>407405</v>
      </c>
      <c r="J451">
        <v>808269</v>
      </c>
      <c r="K451">
        <v>445595</v>
      </c>
      <c r="L451">
        <v>665423</v>
      </c>
    </row>
    <row r="452" spans="1:12" x14ac:dyDescent="0.35">
      <c r="A452">
        <v>2024</v>
      </c>
      <c r="B452">
        <v>11</v>
      </c>
      <c r="C452" t="s">
        <v>74</v>
      </c>
      <c r="D452" t="s">
        <v>111</v>
      </c>
      <c r="E452" t="s">
        <v>112</v>
      </c>
      <c r="F452">
        <v>14360</v>
      </c>
      <c r="G452">
        <v>339979</v>
      </c>
      <c r="H452">
        <v>318942</v>
      </c>
      <c r="I452">
        <v>234373</v>
      </c>
      <c r="J452">
        <v>670977</v>
      </c>
      <c r="K452">
        <v>288486</v>
      </c>
      <c r="L452">
        <v>360974</v>
      </c>
    </row>
    <row r="453" spans="1:12" x14ac:dyDescent="0.35">
      <c r="A453">
        <v>2024</v>
      </c>
      <c r="B453">
        <v>11</v>
      </c>
      <c r="C453" t="s">
        <v>74</v>
      </c>
      <c r="D453" t="s">
        <v>113</v>
      </c>
      <c r="E453" t="s">
        <v>114</v>
      </c>
      <c r="F453">
        <v>7923</v>
      </c>
      <c r="G453">
        <v>321312</v>
      </c>
      <c r="H453">
        <v>308942</v>
      </c>
      <c r="I453">
        <v>260064</v>
      </c>
      <c r="J453">
        <v>585804</v>
      </c>
      <c r="K453">
        <v>285752</v>
      </c>
      <c r="L453">
        <v>335052</v>
      </c>
    </row>
    <row r="454" spans="1:12" x14ac:dyDescent="0.35">
      <c r="A454">
        <v>2024</v>
      </c>
      <c r="B454">
        <v>11</v>
      </c>
      <c r="C454" t="s">
        <v>74</v>
      </c>
      <c r="D454" t="s">
        <v>115</v>
      </c>
      <c r="E454" t="s">
        <v>116</v>
      </c>
      <c r="F454">
        <v>86</v>
      </c>
      <c r="G454">
        <v>583285</v>
      </c>
      <c r="H454">
        <v>565250</v>
      </c>
      <c r="I454">
        <v>417405</v>
      </c>
      <c r="J454">
        <v>825535</v>
      </c>
      <c r="K454">
        <v>487441</v>
      </c>
      <c r="L454">
        <v>688564</v>
      </c>
    </row>
    <row r="455" spans="1:12" x14ac:dyDescent="0.35">
      <c r="A455">
        <v>2024</v>
      </c>
      <c r="B455">
        <v>11</v>
      </c>
      <c r="C455" t="s">
        <v>74</v>
      </c>
      <c r="D455" t="s">
        <v>117</v>
      </c>
      <c r="E455" t="s">
        <v>118</v>
      </c>
      <c r="F455">
        <v>396</v>
      </c>
      <c r="G455">
        <v>576177</v>
      </c>
      <c r="H455">
        <v>546480</v>
      </c>
      <c r="I455">
        <v>407405</v>
      </c>
      <c r="J455">
        <v>808035</v>
      </c>
      <c r="K455">
        <v>460594</v>
      </c>
      <c r="L455">
        <v>693058</v>
      </c>
    </row>
    <row r="456" spans="1:12" x14ac:dyDescent="0.35">
      <c r="A456">
        <v>2024</v>
      </c>
      <c r="B456">
        <v>11</v>
      </c>
      <c r="C456" t="s">
        <v>74</v>
      </c>
      <c r="D456" t="s">
        <v>119</v>
      </c>
      <c r="E456" t="s">
        <v>120</v>
      </c>
      <c r="F456">
        <v>980</v>
      </c>
      <c r="G456">
        <v>494659</v>
      </c>
      <c r="H456">
        <v>472441</v>
      </c>
      <c r="I456">
        <v>407405</v>
      </c>
      <c r="J456">
        <v>788035</v>
      </c>
      <c r="K456">
        <v>439485</v>
      </c>
      <c r="L456">
        <v>524658</v>
      </c>
    </row>
    <row r="457" spans="1:12" x14ac:dyDescent="0.35">
      <c r="A457">
        <v>2024</v>
      </c>
      <c r="B457">
        <v>11</v>
      </c>
      <c r="C457" t="s">
        <v>74</v>
      </c>
      <c r="D457" t="s">
        <v>121</v>
      </c>
      <c r="E457" t="s">
        <v>122</v>
      </c>
      <c r="F457">
        <v>537</v>
      </c>
      <c r="G457">
        <v>451146</v>
      </c>
      <c r="H457">
        <v>445495</v>
      </c>
      <c r="I457">
        <v>320655</v>
      </c>
      <c r="J457">
        <v>672689</v>
      </c>
      <c r="K457">
        <v>397824</v>
      </c>
      <c r="L457">
        <v>510348</v>
      </c>
    </row>
    <row r="458" spans="1:12" x14ac:dyDescent="0.35">
      <c r="A458">
        <v>2024</v>
      </c>
      <c r="B458">
        <v>11</v>
      </c>
      <c r="C458" t="s">
        <v>74</v>
      </c>
      <c r="D458" t="s">
        <v>123</v>
      </c>
      <c r="E458" t="s">
        <v>124</v>
      </c>
      <c r="F458">
        <v>1</v>
      </c>
      <c r="G458">
        <v>318942</v>
      </c>
      <c r="H458">
        <v>318942</v>
      </c>
      <c r="I458">
        <v>318942</v>
      </c>
      <c r="J458">
        <v>318942</v>
      </c>
      <c r="K458">
        <v>318942</v>
      </c>
      <c r="L458">
        <v>318942</v>
      </c>
    </row>
    <row r="459" spans="1:12" x14ac:dyDescent="0.35">
      <c r="A459">
        <v>2024</v>
      </c>
      <c r="B459">
        <v>11</v>
      </c>
      <c r="C459" t="s">
        <v>74</v>
      </c>
      <c r="D459" t="s">
        <v>125</v>
      </c>
      <c r="E459" t="s">
        <v>126</v>
      </c>
      <c r="F459">
        <v>187</v>
      </c>
      <c r="G459">
        <v>421694</v>
      </c>
      <c r="H459">
        <v>365974</v>
      </c>
      <c r="I459">
        <v>325286</v>
      </c>
      <c r="J459">
        <v>680189</v>
      </c>
      <c r="K459">
        <v>353474</v>
      </c>
      <c r="L459">
        <v>518082</v>
      </c>
    </row>
    <row r="460" spans="1:12" x14ac:dyDescent="0.35">
      <c r="A460">
        <v>2024</v>
      </c>
      <c r="B460">
        <v>11</v>
      </c>
      <c r="C460" t="s">
        <v>74</v>
      </c>
      <c r="D460" t="s">
        <v>127</v>
      </c>
      <c r="E460" t="s">
        <v>128</v>
      </c>
      <c r="F460">
        <v>5700</v>
      </c>
      <c r="G460">
        <v>886038</v>
      </c>
      <c r="H460">
        <v>833355</v>
      </c>
      <c r="I460">
        <v>656667</v>
      </c>
      <c r="J460">
        <v>1436081</v>
      </c>
      <c r="K460">
        <v>718145</v>
      </c>
      <c r="L460">
        <v>990646</v>
      </c>
    </row>
    <row r="461" spans="1:12" x14ac:dyDescent="0.35">
      <c r="A461">
        <v>2024</v>
      </c>
      <c r="B461">
        <v>11</v>
      </c>
      <c r="C461" t="s">
        <v>74</v>
      </c>
      <c r="D461" t="s">
        <v>129</v>
      </c>
      <c r="E461" t="s">
        <v>130</v>
      </c>
      <c r="F461">
        <v>330</v>
      </c>
      <c r="G461">
        <v>505573</v>
      </c>
      <c r="H461">
        <v>505532</v>
      </c>
      <c r="I461">
        <v>342134</v>
      </c>
      <c r="J461">
        <v>750448</v>
      </c>
      <c r="K461">
        <v>407404</v>
      </c>
      <c r="L461">
        <v>605237</v>
      </c>
    </row>
    <row r="462" spans="1:12" x14ac:dyDescent="0.35">
      <c r="A462">
        <v>2024</v>
      </c>
      <c r="B462">
        <v>11</v>
      </c>
      <c r="C462" t="s">
        <v>74</v>
      </c>
      <c r="D462" t="s">
        <v>131</v>
      </c>
      <c r="E462" t="s">
        <v>132</v>
      </c>
      <c r="F462">
        <v>35910</v>
      </c>
      <c r="G462">
        <v>521655</v>
      </c>
      <c r="H462">
        <v>491555</v>
      </c>
      <c r="I462">
        <v>333389</v>
      </c>
      <c r="J462">
        <v>887702</v>
      </c>
      <c r="K462">
        <v>438833</v>
      </c>
      <c r="L462">
        <v>590521</v>
      </c>
    </row>
    <row r="463" spans="1:12" x14ac:dyDescent="0.35">
      <c r="A463">
        <v>2024</v>
      </c>
      <c r="B463">
        <v>11</v>
      </c>
      <c r="C463" t="s">
        <v>74</v>
      </c>
      <c r="D463" t="s">
        <v>133</v>
      </c>
      <c r="E463" t="s">
        <v>134</v>
      </c>
      <c r="F463">
        <v>88102</v>
      </c>
      <c r="G463">
        <v>396286</v>
      </c>
      <c r="H463">
        <v>405040</v>
      </c>
      <c r="I463">
        <v>266776</v>
      </c>
      <c r="J463">
        <v>584647</v>
      </c>
      <c r="K463">
        <v>311172</v>
      </c>
      <c r="L463">
        <v>448044</v>
      </c>
    </row>
    <row r="464" spans="1:12" x14ac:dyDescent="0.35">
      <c r="A464">
        <v>2024</v>
      </c>
      <c r="B464">
        <v>11</v>
      </c>
      <c r="C464" t="s">
        <v>74</v>
      </c>
      <c r="D464" t="s">
        <v>135</v>
      </c>
      <c r="E464" t="s">
        <v>136</v>
      </c>
      <c r="F464">
        <v>21868</v>
      </c>
      <c r="G464">
        <v>695805</v>
      </c>
      <c r="H464">
        <v>683564</v>
      </c>
      <c r="I464">
        <v>398882</v>
      </c>
      <c r="J464">
        <v>1066667</v>
      </c>
      <c r="K464">
        <v>623294</v>
      </c>
      <c r="L464">
        <v>790633</v>
      </c>
    </row>
    <row r="465" spans="1:12" x14ac:dyDescent="0.35">
      <c r="A465">
        <v>2024</v>
      </c>
      <c r="B465">
        <v>11</v>
      </c>
      <c r="C465" t="s">
        <v>74</v>
      </c>
      <c r="D465" t="s">
        <v>137</v>
      </c>
      <c r="E465" t="s">
        <v>138</v>
      </c>
      <c r="F465">
        <v>11020</v>
      </c>
      <c r="G465">
        <v>450899</v>
      </c>
      <c r="H465">
        <v>441838</v>
      </c>
      <c r="I465">
        <v>262563</v>
      </c>
      <c r="J465">
        <v>797766</v>
      </c>
      <c r="K465">
        <v>368426</v>
      </c>
      <c r="L465">
        <v>510903</v>
      </c>
    </row>
    <row r="466" spans="1:12" x14ac:dyDescent="0.35">
      <c r="A466">
        <v>2024</v>
      </c>
      <c r="B466">
        <v>11</v>
      </c>
      <c r="C466" t="s">
        <v>74</v>
      </c>
      <c r="D466" t="s">
        <v>139</v>
      </c>
      <c r="E466" t="s">
        <v>140</v>
      </c>
      <c r="F466">
        <v>31</v>
      </c>
      <c r="G466">
        <v>624958</v>
      </c>
      <c r="H466">
        <v>625237</v>
      </c>
      <c r="I466">
        <v>518403</v>
      </c>
      <c r="J466">
        <v>753687</v>
      </c>
      <c r="K466">
        <v>605237</v>
      </c>
      <c r="L466">
        <v>642737</v>
      </c>
    </row>
    <row r="467" spans="1:12" x14ac:dyDescent="0.35">
      <c r="A467">
        <v>2024</v>
      </c>
      <c r="B467">
        <v>11</v>
      </c>
      <c r="C467" t="s">
        <v>74</v>
      </c>
      <c r="D467" t="s">
        <v>141</v>
      </c>
      <c r="E467" t="s">
        <v>142</v>
      </c>
      <c r="F467">
        <v>818</v>
      </c>
      <c r="G467">
        <v>507938</v>
      </c>
      <c r="H467">
        <v>499055</v>
      </c>
      <c r="I467">
        <v>342134</v>
      </c>
      <c r="J467">
        <v>758921</v>
      </c>
      <c r="K467">
        <v>450544</v>
      </c>
      <c r="L467">
        <v>548722</v>
      </c>
    </row>
    <row r="468" spans="1:12" x14ac:dyDescent="0.35">
      <c r="A468">
        <v>2024</v>
      </c>
      <c r="B468">
        <v>11</v>
      </c>
      <c r="C468" t="s">
        <v>74</v>
      </c>
      <c r="D468" t="s">
        <v>143</v>
      </c>
      <c r="E468" t="s">
        <v>144</v>
      </c>
      <c r="F468">
        <v>4725</v>
      </c>
      <c r="G468">
        <v>286652</v>
      </c>
      <c r="H468">
        <v>278486</v>
      </c>
      <c r="I468">
        <v>229743</v>
      </c>
      <c r="J468">
        <v>438463</v>
      </c>
      <c r="K468">
        <v>262797</v>
      </c>
      <c r="L468">
        <v>301307</v>
      </c>
    </row>
    <row r="469" spans="1:12" x14ac:dyDescent="0.35">
      <c r="A469">
        <v>2024</v>
      </c>
      <c r="B469">
        <v>11</v>
      </c>
      <c r="C469" t="s">
        <v>74</v>
      </c>
      <c r="D469" t="s">
        <v>145</v>
      </c>
      <c r="E469" t="s">
        <v>146</v>
      </c>
      <c r="F469">
        <v>117</v>
      </c>
      <c r="G469">
        <v>439184</v>
      </c>
      <c r="H469">
        <v>446936</v>
      </c>
      <c r="I469">
        <v>330336</v>
      </c>
      <c r="J469">
        <v>590804</v>
      </c>
      <c r="K469">
        <v>420322</v>
      </c>
      <c r="L469">
        <v>470544</v>
      </c>
    </row>
    <row r="470" spans="1:12" x14ac:dyDescent="0.35">
      <c r="A470">
        <v>2024</v>
      </c>
      <c r="B470">
        <v>11</v>
      </c>
      <c r="C470" t="s">
        <v>74</v>
      </c>
      <c r="D470" t="s">
        <v>147</v>
      </c>
      <c r="E470" t="s">
        <v>148</v>
      </c>
      <c r="F470">
        <v>74</v>
      </c>
      <c r="G470">
        <v>342153</v>
      </c>
      <c r="H470">
        <v>325655</v>
      </c>
      <c r="I470">
        <v>297836</v>
      </c>
      <c r="J470">
        <v>439436</v>
      </c>
      <c r="K470">
        <v>302836</v>
      </c>
      <c r="L470">
        <v>375324</v>
      </c>
    </row>
    <row r="471" spans="1:12" x14ac:dyDescent="0.35">
      <c r="A471">
        <v>2024</v>
      </c>
      <c r="B471">
        <v>11</v>
      </c>
      <c r="C471" t="s">
        <v>74</v>
      </c>
      <c r="D471" t="s">
        <v>149</v>
      </c>
      <c r="E471" t="s">
        <v>150</v>
      </c>
      <c r="F471">
        <v>1872</v>
      </c>
      <c r="G471">
        <v>398737</v>
      </c>
      <c r="H471">
        <v>365974</v>
      </c>
      <c r="I471">
        <v>297836</v>
      </c>
      <c r="J471">
        <v>740916</v>
      </c>
      <c r="K471">
        <v>342366</v>
      </c>
      <c r="L471">
        <v>421985</v>
      </c>
    </row>
    <row r="472" spans="1:12" x14ac:dyDescent="0.35">
      <c r="A472">
        <v>2024</v>
      </c>
      <c r="B472">
        <v>11</v>
      </c>
      <c r="C472" t="s">
        <v>74</v>
      </c>
      <c r="D472" t="s">
        <v>151</v>
      </c>
      <c r="E472" t="s">
        <v>152</v>
      </c>
      <c r="F472">
        <v>678</v>
      </c>
      <c r="G472">
        <v>992688</v>
      </c>
      <c r="H472">
        <v>1044725</v>
      </c>
      <c r="I472">
        <v>690287</v>
      </c>
      <c r="J472">
        <v>1300957</v>
      </c>
      <c r="K472">
        <v>859477</v>
      </c>
      <c r="L472">
        <v>1116708</v>
      </c>
    </row>
    <row r="473" spans="1:12" x14ac:dyDescent="0.35">
      <c r="A473">
        <v>2024</v>
      </c>
      <c r="B473">
        <v>11</v>
      </c>
      <c r="C473" t="s">
        <v>74</v>
      </c>
      <c r="D473" t="s">
        <v>153</v>
      </c>
      <c r="E473" t="s">
        <v>154</v>
      </c>
      <c r="F473">
        <v>134</v>
      </c>
      <c r="G473">
        <v>645813</v>
      </c>
      <c r="H473">
        <v>657319</v>
      </c>
      <c r="I473">
        <v>411061</v>
      </c>
      <c r="J473">
        <v>812667</v>
      </c>
      <c r="K473">
        <v>549980</v>
      </c>
      <c r="L473">
        <v>750130</v>
      </c>
    </row>
    <row r="474" spans="1:12" x14ac:dyDescent="0.35">
      <c r="A474">
        <v>2024</v>
      </c>
      <c r="B474">
        <v>11</v>
      </c>
      <c r="C474" t="s">
        <v>74</v>
      </c>
      <c r="D474" t="s">
        <v>155</v>
      </c>
      <c r="E474" t="s">
        <v>156</v>
      </c>
      <c r="F474">
        <v>998</v>
      </c>
      <c r="G474">
        <v>396333</v>
      </c>
      <c r="H474">
        <v>373634</v>
      </c>
      <c r="I474">
        <v>262564</v>
      </c>
      <c r="J474">
        <v>707824</v>
      </c>
      <c r="K474">
        <v>321073</v>
      </c>
      <c r="L474">
        <v>431936</v>
      </c>
    </row>
    <row r="475" spans="1:12" x14ac:dyDescent="0.35">
      <c r="A475">
        <v>2024</v>
      </c>
      <c r="B475">
        <v>11</v>
      </c>
      <c r="C475" t="s">
        <v>74</v>
      </c>
      <c r="D475" t="s">
        <v>157</v>
      </c>
      <c r="E475" t="s">
        <v>158</v>
      </c>
      <c r="F475">
        <v>173</v>
      </c>
      <c r="G475">
        <v>471262</v>
      </c>
      <c r="H475">
        <v>450544</v>
      </c>
      <c r="I475">
        <v>330286</v>
      </c>
      <c r="J475">
        <v>705140</v>
      </c>
      <c r="K475">
        <v>385322</v>
      </c>
      <c r="L475">
        <v>543403</v>
      </c>
    </row>
    <row r="476" spans="1:12" x14ac:dyDescent="0.35">
      <c r="A476">
        <v>2024</v>
      </c>
      <c r="B476">
        <v>11</v>
      </c>
      <c r="C476" t="s">
        <v>74</v>
      </c>
      <c r="D476" t="s">
        <v>159</v>
      </c>
      <c r="E476" t="s">
        <v>160</v>
      </c>
      <c r="F476">
        <v>392</v>
      </c>
      <c r="G476">
        <v>437882</v>
      </c>
      <c r="H476">
        <v>423740</v>
      </c>
      <c r="I476">
        <v>302836</v>
      </c>
      <c r="J476">
        <v>697640</v>
      </c>
      <c r="K476">
        <v>373292</v>
      </c>
      <c r="L476">
        <v>476604</v>
      </c>
    </row>
    <row r="477" spans="1:12" x14ac:dyDescent="0.35">
      <c r="A477">
        <v>2024</v>
      </c>
      <c r="B477">
        <v>11</v>
      </c>
      <c r="C477" t="s">
        <v>74</v>
      </c>
      <c r="D477" t="s">
        <v>161</v>
      </c>
      <c r="E477" t="s">
        <v>162</v>
      </c>
      <c r="F477">
        <v>126</v>
      </c>
      <c r="G477">
        <v>472237</v>
      </c>
      <c r="H477">
        <v>440292</v>
      </c>
      <c r="I477">
        <v>313573</v>
      </c>
      <c r="J477">
        <v>700324</v>
      </c>
      <c r="K477">
        <v>365974</v>
      </c>
      <c r="L477">
        <v>555804</v>
      </c>
    </row>
    <row r="478" spans="1:12" x14ac:dyDescent="0.35">
      <c r="A478">
        <v>2024</v>
      </c>
      <c r="B478">
        <v>12</v>
      </c>
      <c r="C478" t="s">
        <v>75</v>
      </c>
      <c r="D478" t="s">
        <v>77</v>
      </c>
      <c r="E478" t="s">
        <v>78</v>
      </c>
      <c r="F478">
        <v>4</v>
      </c>
      <c r="G478">
        <v>414079</v>
      </c>
      <c r="H478">
        <v>380046</v>
      </c>
      <c r="I478">
        <v>325655</v>
      </c>
      <c r="J478">
        <v>570570</v>
      </c>
      <c r="K478">
        <v>325655</v>
      </c>
      <c r="L478">
        <v>434436</v>
      </c>
    </row>
    <row r="479" spans="1:12" x14ac:dyDescent="0.35">
      <c r="A479">
        <v>2024</v>
      </c>
      <c r="B479">
        <v>12</v>
      </c>
      <c r="C479" t="s">
        <v>75</v>
      </c>
      <c r="D479" t="s">
        <v>79</v>
      </c>
      <c r="E479" t="s">
        <v>80</v>
      </c>
      <c r="F479">
        <v>172</v>
      </c>
      <c r="G479">
        <v>471017</v>
      </c>
      <c r="H479">
        <v>432540</v>
      </c>
      <c r="I479">
        <v>313573</v>
      </c>
      <c r="J479">
        <v>712640</v>
      </c>
      <c r="K479">
        <v>365974</v>
      </c>
      <c r="L479">
        <v>568538</v>
      </c>
    </row>
    <row r="480" spans="1:12" x14ac:dyDescent="0.35">
      <c r="A480">
        <v>2024</v>
      </c>
      <c r="B480">
        <v>12</v>
      </c>
      <c r="C480" t="s">
        <v>75</v>
      </c>
      <c r="D480" t="s">
        <v>81</v>
      </c>
      <c r="E480" t="s">
        <v>82</v>
      </c>
      <c r="F480">
        <v>9</v>
      </c>
      <c r="G480">
        <v>639240</v>
      </c>
      <c r="H480">
        <v>644868</v>
      </c>
      <c r="I480">
        <v>516185</v>
      </c>
      <c r="J480">
        <v>700879</v>
      </c>
      <c r="K480">
        <v>634868</v>
      </c>
      <c r="L480">
        <v>665879</v>
      </c>
    </row>
    <row r="481" spans="1:12" x14ac:dyDescent="0.35">
      <c r="A481">
        <v>2024</v>
      </c>
      <c r="B481">
        <v>12</v>
      </c>
      <c r="C481" t="s">
        <v>75</v>
      </c>
      <c r="D481" t="s">
        <v>83</v>
      </c>
      <c r="E481" t="s">
        <v>84</v>
      </c>
      <c r="F481">
        <v>52</v>
      </c>
      <c r="G481">
        <v>488517</v>
      </c>
      <c r="H481">
        <v>492854</v>
      </c>
      <c r="I481">
        <v>330286</v>
      </c>
      <c r="J481">
        <v>659955</v>
      </c>
      <c r="K481">
        <v>358474</v>
      </c>
      <c r="L481">
        <v>614918</v>
      </c>
    </row>
    <row r="482" spans="1:12" x14ac:dyDescent="0.35">
      <c r="A482">
        <v>2024</v>
      </c>
      <c r="B482">
        <v>12</v>
      </c>
      <c r="C482" t="s">
        <v>75</v>
      </c>
      <c r="D482" t="s">
        <v>85</v>
      </c>
      <c r="E482" t="s">
        <v>86</v>
      </c>
      <c r="F482">
        <v>1066</v>
      </c>
      <c r="G482">
        <v>501109</v>
      </c>
      <c r="H482">
        <v>478112</v>
      </c>
      <c r="I482">
        <v>302836</v>
      </c>
      <c r="J482">
        <v>760916</v>
      </c>
      <c r="K482">
        <v>405322</v>
      </c>
      <c r="L482">
        <v>598439</v>
      </c>
    </row>
    <row r="483" spans="1:12" x14ac:dyDescent="0.35">
      <c r="A483">
        <v>2024</v>
      </c>
      <c r="B483">
        <v>12</v>
      </c>
      <c r="C483" t="s">
        <v>75</v>
      </c>
      <c r="D483" t="s">
        <v>87</v>
      </c>
      <c r="E483" t="s">
        <v>88</v>
      </c>
      <c r="F483">
        <v>4</v>
      </c>
      <c r="G483">
        <v>571531</v>
      </c>
      <c r="H483">
        <v>570410</v>
      </c>
      <c r="I483">
        <v>520903</v>
      </c>
      <c r="J483">
        <v>624400</v>
      </c>
      <c r="K483">
        <v>528403</v>
      </c>
      <c r="L483">
        <v>612418</v>
      </c>
    </row>
    <row r="484" spans="1:12" x14ac:dyDescent="0.35">
      <c r="A484">
        <v>2024</v>
      </c>
      <c r="B484">
        <v>12</v>
      </c>
      <c r="C484" t="s">
        <v>75</v>
      </c>
      <c r="D484" t="s">
        <v>89</v>
      </c>
      <c r="E484" t="s">
        <v>90</v>
      </c>
      <c r="F484">
        <v>844</v>
      </c>
      <c r="G484">
        <v>481864</v>
      </c>
      <c r="H484">
        <v>450544</v>
      </c>
      <c r="I484">
        <v>297836</v>
      </c>
      <c r="J484">
        <v>748416</v>
      </c>
      <c r="K484">
        <v>388474</v>
      </c>
      <c r="L484">
        <v>577515</v>
      </c>
    </row>
    <row r="485" spans="1:12" x14ac:dyDescent="0.35">
      <c r="A485">
        <v>2024</v>
      </c>
      <c r="B485">
        <v>12</v>
      </c>
      <c r="C485" t="s">
        <v>75</v>
      </c>
      <c r="D485" t="s">
        <v>91</v>
      </c>
      <c r="E485" t="s">
        <v>92</v>
      </c>
      <c r="F485">
        <v>135</v>
      </c>
      <c r="G485">
        <v>361945</v>
      </c>
      <c r="H485">
        <v>342366</v>
      </c>
      <c r="I485">
        <v>302836</v>
      </c>
      <c r="J485">
        <v>646900</v>
      </c>
      <c r="K485">
        <v>330286</v>
      </c>
      <c r="L485">
        <v>358474</v>
      </c>
    </row>
    <row r="486" spans="1:12" x14ac:dyDescent="0.35">
      <c r="A486">
        <v>2024</v>
      </c>
      <c r="B486">
        <v>12</v>
      </c>
      <c r="C486" t="s">
        <v>75</v>
      </c>
      <c r="D486" t="s">
        <v>93</v>
      </c>
      <c r="E486" t="s">
        <v>94</v>
      </c>
      <c r="F486">
        <v>29</v>
      </c>
      <c r="G486">
        <v>370150</v>
      </c>
      <c r="H486">
        <v>343155</v>
      </c>
      <c r="I486">
        <v>297836</v>
      </c>
      <c r="J486">
        <v>639956</v>
      </c>
      <c r="K486">
        <v>331075</v>
      </c>
      <c r="L486">
        <v>365792</v>
      </c>
    </row>
    <row r="487" spans="1:12" x14ac:dyDescent="0.35">
      <c r="A487">
        <v>2024</v>
      </c>
      <c r="B487">
        <v>12</v>
      </c>
      <c r="C487" t="s">
        <v>75</v>
      </c>
      <c r="D487" t="s">
        <v>95</v>
      </c>
      <c r="E487" t="s">
        <v>96</v>
      </c>
      <c r="F487">
        <v>17</v>
      </c>
      <c r="G487">
        <v>410674</v>
      </c>
      <c r="H487">
        <v>382824</v>
      </c>
      <c r="I487">
        <v>310336</v>
      </c>
      <c r="J487">
        <v>610939</v>
      </c>
      <c r="K487">
        <v>325655</v>
      </c>
      <c r="L487">
        <v>429485</v>
      </c>
    </row>
    <row r="488" spans="1:12" x14ac:dyDescent="0.35">
      <c r="A488">
        <v>2024</v>
      </c>
      <c r="B488">
        <v>12</v>
      </c>
      <c r="C488" t="s">
        <v>75</v>
      </c>
      <c r="D488" t="s">
        <v>97</v>
      </c>
      <c r="E488" t="s">
        <v>98</v>
      </c>
      <c r="F488">
        <v>261</v>
      </c>
      <c r="G488">
        <v>411475</v>
      </c>
      <c r="H488">
        <v>365974</v>
      </c>
      <c r="I488">
        <v>302836</v>
      </c>
      <c r="J488">
        <v>715879</v>
      </c>
      <c r="K488">
        <v>342366</v>
      </c>
      <c r="L488">
        <v>440040</v>
      </c>
    </row>
    <row r="489" spans="1:12" x14ac:dyDescent="0.35">
      <c r="A489">
        <v>2024</v>
      </c>
      <c r="B489">
        <v>12</v>
      </c>
      <c r="C489" t="s">
        <v>75</v>
      </c>
      <c r="D489" t="s">
        <v>99</v>
      </c>
      <c r="E489" t="s">
        <v>100</v>
      </c>
      <c r="F489">
        <v>444</v>
      </c>
      <c r="G489">
        <v>445155</v>
      </c>
      <c r="H489">
        <v>431937</v>
      </c>
      <c r="I489">
        <v>302836</v>
      </c>
      <c r="J489">
        <v>687590</v>
      </c>
      <c r="K489">
        <v>388290</v>
      </c>
      <c r="L489">
        <v>499104</v>
      </c>
    </row>
    <row r="490" spans="1:12" x14ac:dyDescent="0.35">
      <c r="A490">
        <v>2024</v>
      </c>
      <c r="B490">
        <v>12</v>
      </c>
      <c r="C490" t="s">
        <v>75</v>
      </c>
      <c r="D490" t="s">
        <v>101</v>
      </c>
      <c r="E490" t="s">
        <v>102</v>
      </c>
      <c r="F490">
        <v>12</v>
      </c>
      <c r="G490">
        <v>543731</v>
      </c>
      <c r="H490">
        <v>588538</v>
      </c>
      <c r="I490">
        <v>330286</v>
      </c>
      <c r="J490">
        <v>675324</v>
      </c>
      <c r="K490">
        <v>513082</v>
      </c>
      <c r="L490">
        <v>625939</v>
      </c>
    </row>
    <row r="491" spans="1:12" x14ac:dyDescent="0.35">
      <c r="A491">
        <v>2024</v>
      </c>
      <c r="B491">
        <v>12</v>
      </c>
      <c r="C491" t="s">
        <v>75</v>
      </c>
      <c r="D491" t="s">
        <v>103</v>
      </c>
      <c r="E491" t="s">
        <v>104</v>
      </c>
      <c r="F491">
        <v>9</v>
      </c>
      <c r="G491">
        <v>354366</v>
      </c>
      <c r="H491">
        <v>332786</v>
      </c>
      <c r="I491">
        <v>313573</v>
      </c>
      <c r="J491">
        <v>450495</v>
      </c>
      <c r="K491">
        <v>321073</v>
      </c>
      <c r="L491">
        <v>364866</v>
      </c>
    </row>
    <row r="492" spans="1:12" x14ac:dyDescent="0.35">
      <c r="A492">
        <v>2024</v>
      </c>
      <c r="B492">
        <v>12</v>
      </c>
      <c r="C492" t="s">
        <v>75</v>
      </c>
      <c r="D492" t="s">
        <v>105</v>
      </c>
      <c r="E492" t="s">
        <v>106</v>
      </c>
      <c r="F492">
        <v>38</v>
      </c>
      <c r="G492">
        <v>442542</v>
      </c>
      <c r="H492">
        <v>403235</v>
      </c>
      <c r="I492">
        <v>313573</v>
      </c>
      <c r="J492">
        <v>692824</v>
      </c>
      <c r="K492">
        <v>342368</v>
      </c>
      <c r="L492">
        <v>535903</v>
      </c>
    </row>
    <row r="493" spans="1:12" x14ac:dyDescent="0.35">
      <c r="A493">
        <v>2024</v>
      </c>
      <c r="B493">
        <v>12</v>
      </c>
      <c r="C493" t="s">
        <v>75</v>
      </c>
      <c r="D493" t="s">
        <v>107</v>
      </c>
      <c r="E493" t="s">
        <v>108</v>
      </c>
      <c r="F493">
        <v>3</v>
      </c>
      <c r="G493">
        <v>355235</v>
      </c>
      <c r="H493">
        <v>349866</v>
      </c>
      <c r="I493">
        <v>342366</v>
      </c>
      <c r="J493">
        <v>373474</v>
      </c>
      <c r="K493">
        <v>349866</v>
      </c>
      <c r="L493">
        <v>373474</v>
      </c>
    </row>
    <row r="494" spans="1:12" x14ac:dyDescent="0.35">
      <c r="A494">
        <v>2024</v>
      </c>
      <c r="B494">
        <v>12</v>
      </c>
      <c r="C494" t="s">
        <v>75</v>
      </c>
      <c r="D494" t="s">
        <v>109</v>
      </c>
      <c r="E494" t="s">
        <v>110</v>
      </c>
      <c r="F494">
        <v>4931</v>
      </c>
      <c r="G494">
        <v>550923</v>
      </c>
      <c r="H494">
        <v>517158</v>
      </c>
      <c r="I494">
        <v>407405</v>
      </c>
      <c r="J494">
        <v>808269</v>
      </c>
      <c r="K494">
        <v>445594</v>
      </c>
      <c r="L494">
        <v>664538</v>
      </c>
    </row>
    <row r="495" spans="1:12" x14ac:dyDescent="0.35">
      <c r="A495">
        <v>2024</v>
      </c>
      <c r="B495">
        <v>12</v>
      </c>
      <c r="C495" t="s">
        <v>75</v>
      </c>
      <c r="D495" t="s">
        <v>111</v>
      </c>
      <c r="E495" t="s">
        <v>112</v>
      </c>
      <c r="F495">
        <v>14386</v>
      </c>
      <c r="G495">
        <v>339840</v>
      </c>
      <c r="H495">
        <v>318942</v>
      </c>
      <c r="I495">
        <v>234373</v>
      </c>
      <c r="J495">
        <v>670977</v>
      </c>
      <c r="K495">
        <v>288486</v>
      </c>
      <c r="L495">
        <v>360974</v>
      </c>
    </row>
    <row r="496" spans="1:12" x14ac:dyDescent="0.35">
      <c r="A496">
        <v>2024</v>
      </c>
      <c r="B496">
        <v>12</v>
      </c>
      <c r="C496" t="s">
        <v>75</v>
      </c>
      <c r="D496" t="s">
        <v>113</v>
      </c>
      <c r="E496" t="s">
        <v>114</v>
      </c>
      <c r="F496">
        <v>7934</v>
      </c>
      <c r="G496">
        <v>321230</v>
      </c>
      <c r="H496">
        <v>308942</v>
      </c>
      <c r="I496">
        <v>260064</v>
      </c>
      <c r="J496">
        <v>585804</v>
      </c>
      <c r="K496">
        <v>285752</v>
      </c>
      <c r="L496">
        <v>335052</v>
      </c>
    </row>
    <row r="497" spans="1:12" x14ac:dyDescent="0.35">
      <c r="A497">
        <v>2024</v>
      </c>
      <c r="B497">
        <v>12</v>
      </c>
      <c r="C497" t="s">
        <v>75</v>
      </c>
      <c r="D497" t="s">
        <v>115</v>
      </c>
      <c r="E497" t="s">
        <v>116</v>
      </c>
      <c r="F497">
        <v>87</v>
      </c>
      <c r="G497">
        <v>581263</v>
      </c>
      <c r="H497">
        <v>565201</v>
      </c>
      <c r="I497">
        <v>407405</v>
      </c>
      <c r="J497">
        <v>825535</v>
      </c>
      <c r="K497">
        <v>487441</v>
      </c>
      <c r="L497">
        <v>688564</v>
      </c>
    </row>
    <row r="498" spans="1:12" x14ac:dyDescent="0.35">
      <c r="A498">
        <v>2024</v>
      </c>
      <c r="B498">
        <v>12</v>
      </c>
      <c r="C498" t="s">
        <v>75</v>
      </c>
      <c r="D498" t="s">
        <v>117</v>
      </c>
      <c r="E498" t="s">
        <v>118</v>
      </c>
      <c r="F498">
        <v>396</v>
      </c>
      <c r="G498">
        <v>576169</v>
      </c>
      <c r="H498">
        <v>546480</v>
      </c>
      <c r="I498">
        <v>407405</v>
      </c>
      <c r="J498">
        <v>808035</v>
      </c>
      <c r="K498">
        <v>460594</v>
      </c>
      <c r="L498">
        <v>693058</v>
      </c>
    </row>
    <row r="499" spans="1:12" x14ac:dyDescent="0.35">
      <c r="A499">
        <v>2024</v>
      </c>
      <c r="B499">
        <v>12</v>
      </c>
      <c r="C499" t="s">
        <v>75</v>
      </c>
      <c r="D499" t="s">
        <v>119</v>
      </c>
      <c r="E499" t="s">
        <v>120</v>
      </c>
      <c r="F499">
        <v>981</v>
      </c>
      <c r="G499">
        <v>494787</v>
      </c>
      <c r="H499">
        <v>472441</v>
      </c>
      <c r="I499">
        <v>407405</v>
      </c>
      <c r="J499">
        <v>788035</v>
      </c>
      <c r="K499">
        <v>439485</v>
      </c>
      <c r="L499">
        <v>524658</v>
      </c>
    </row>
    <row r="500" spans="1:12" x14ac:dyDescent="0.35">
      <c r="A500">
        <v>2024</v>
      </c>
      <c r="B500">
        <v>12</v>
      </c>
      <c r="C500" t="s">
        <v>75</v>
      </c>
      <c r="D500" t="s">
        <v>121</v>
      </c>
      <c r="E500" t="s">
        <v>122</v>
      </c>
      <c r="F500">
        <v>538</v>
      </c>
      <c r="G500">
        <v>450945</v>
      </c>
      <c r="H500">
        <v>444990</v>
      </c>
      <c r="I500">
        <v>320655</v>
      </c>
      <c r="J500">
        <v>672689</v>
      </c>
      <c r="K500">
        <v>397824</v>
      </c>
      <c r="L500">
        <v>510348</v>
      </c>
    </row>
    <row r="501" spans="1:12" x14ac:dyDescent="0.35">
      <c r="A501">
        <v>2024</v>
      </c>
      <c r="B501">
        <v>12</v>
      </c>
      <c r="C501" t="s">
        <v>75</v>
      </c>
      <c r="D501" t="s">
        <v>123</v>
      </c>
      <c r="E501" t="s">
        <v>124</v>
      </c>
      <c r="F501">
        <v>1</v>
      </c>
      <c r="G501">
        <v>318942</v>
      </c>
      <c r="H501">
        <v>318942</v>
      </c>
      <c r="I501">
        <v>318942</v>
      </c>
      <c r="J501">
        <v>318942</v>
      </c>
      <c r="K501">
        <v>318942</v>
      </c>
      <c r="L501">
        <v>318942</v>
      </c>
    </row>
    <row r="502" spans="1:12" x14ac:dyDescent="0.35">
      <c r="A502">
        <v>2024</v>
      </c>
      <c r="B502">
        <v>12</v>
      </c>
      <c r="C502" t="s">
        <v>75</v>
      </c>
      <c r="D502" t="s">
        <v>125</v>
      </c>
      <c r="E502" t="s">
        <v>126</v>
      </c>
      <c r="F502">
        <v>187</v>
      </c>
      <c r="G502">
        <v>421346</v>
      </c>
      <c r="H502">
        <v>365974</v>
      </c>
      <c r="I502">
        <v>325286</v>
      </c>
      <c r="J502">
        <v>680189</v>
      </c>
      <c r="K502">
        <v>353474</v>
      </c>
      <c r="L502">
        <v>518082</v>
      </c>
    </row>
    <row r="503" spans="1:12" x14ac:dyDescent="0.35">
      <c r="A503">
        <v>2024</v>
      </c>
      <c r="B503">
        <v>12</v>
      </c>
      <c r="C503" t="s">
        <v>75</v>
      </c>
      <c r="D503" t="s">
        <v>127</v>
      </c>
      <c r="E503" t="s">
        <v>128</v>
      </c>
      <c r="F503">
        <v>5674</v>
      </c>
      <c r="G503">
        <v>886490</v>
      </c>
      <c r="H503">
        <v>833221</v>
      </c>
      <c r="I503">
        <v>656667</v>
      </c>
      <c r="J503">
        <v>1436081</v>
      </c>
      <c r="K503">
        <v>718145</v>
      </c>
      <c r="L503">
        <v>998146</v>
      </c>
    </row>
    <row r="504" spans="1:12" x14ac:dyDescent="0.35">
      <c r="A504">
        <v>2024</v>
      </c>
      <c r="B504">
        <v>12</v>
      </c>
      <c r="C504" t="s">
        <v>75</v>
      </c>
      <c r="D504" t="s">
        <v>129</v>
      </c>
      <c r="E504" t="s">
        <v>130</v>
      </c>
      <c r="F504">
        <v>330</v>
      </c>
      <c r="G504">
        <v>504765</v>
      </c>
      <c r="H504">
        <v>505532</v>
      </c>
      <c r="I504">
        <v>342134</v>
      </c>
      <c r="J504">
        <v>750448</v>
      </c>
      <c r="K504">
        <v>407404</v>
      </c>
      <c r="L504">
        <v>605237</v>
      </c>
    </row>
    <row r="505" spans="1:12" x14ac:dyDescent="0.35">
      <c r="A505">
        <v>2024</v>
      </c>
      <c r="B505">
        <v>12</v>
      </c>
      <c r="C505" t="s">
        <v>75</v>
      </c>
      <c r="D505" t="s">
        <v>131</v>
      </c>
      <c r="E505" t="s">
        <v>132</v>
      </c>
      <c r="F505">
        <v>35875</v>
      </c>
      <c r="G505">
        <v>521388</v>
      </c>
      <c r="H505">
        <v>491555</v>
      </c>
      <c r="I505">
        <v>333389</v>
      </c>
      <c r="J505">
        <v>887702</v>
      </c>
      <c r="K505">
        <v>438833</v>
      </c>
      <c r="L505">
        <v>590521</v>
      </c>
    </row>
    <row r="506" spans="1:12" x14ac:dyDescent="0.35">
      <c r="A506">
        <v>2024</v>
      </c>
      <c r="B506">
        <v>12</v>
      </c>
      <c r="C506" t="s">
        <v>75</v>
      </c>
      <c r="D506" t="s">
        <v>133</v>
      </c>
      <c r="E506" t="s">
        <v>134</v>
      </c>
      <c r="F506">
        <v>88190</v>
      </c>
      <c r="G506">
        <v>396101</v>
      </c>
      <c r="H506">
        <v>405040</v>
      </c>
      <c r="I506">
        <v>266776</v>
      </c>
      <c r="J506">
        <v>584647</v>
      </c>
      <c r="K506">
        <v>309276</v>
      </c>
      <c r="L506">
        <v>448044</v>
      </c>
    </row>
    <row r="507" spans="1:12" x14ac:dyDescent="0.35">
      <c r="A507">
        <v>2024</v>
      </c>
      <c r="B507">
        <v>12</v>
      </c>
      <c r="C507" t="s">
        <v>75</v>
      </c>
      <c r="D507" t="s">
        <v>135</v>
      </c>
      <c r="E507" t="s">
        <v>136</v>
      </c>
      <c r="F507">
        <v>21897</v>
      </c>
      <c r="G507">
        <v>695112</v>
      </c>
      <c r="H507">
        <v>682455</v>
      </c>
      <c r="I507">
        <v>398882</v>
      </c>
      <c r="J507">
        <v>1057997</v>
      </c>
      <c r="K507">
        <v>623292</v>
      </c>
      <c r="L507">
        <v>788638</v>
      </c>
    </row>
    <row r="508" spans="1:12" x14ac:dyDescent="0.35">
      <c r="A508">
        <v>2024</v>
      </c>
      <c r="B508">
        <v>12</v>
      </c>
      <c r="C508" t="s">
        <v>75</v>
      </c>
      <c r="D508" t="s">
        <v>137</v>
      </c>
      <c r="E508" t="s">
        <v>138</v>
      </c>
      <c r="F508">
        <v>11035</v>
      </c>
      <c r="G508">
        <v>450929</v>
      </c>
      <c r="H508">
        <v>441838</v>
      </c>
      <c r="I508">
        <v>262563</v>
      </c>
      <c r="J508">
        <v>781187</v>
      </c>
      <c r="K508">
        <v>368426</v>
      </c>
      <c r="L508">
        <v>509239</v>
      </c>
    </row>
    <row r="509" spans="1:12" x14ac:dyDescent="0.35">
      <c r="A509">
        <v>2024</v>
      </c>
      <c r="B509">
        <v>12</v>
      </c>
      <c r="C509" t="s">
        <v>75</v>
      </c>
      <c r="D509" t="s">
        <v>139</v>
      </c>
      <c r="E509" t="s">
        <v>140</v>
      </c>
      <c r="F509">
        <v>31</v>
      </c>
      <c r="G509">
        <v>624474</v>
      </c>
      <c r="H509">
        <v>625237</v>
      </c>
      <c r="I509">
        <v>518403</v>
      </c>
      <c r="J509">
        <v>753687</v>
      </c>
      <c r="K509">
        <v>605237</v>
      </c>
      <c r="L509">
        <v>642737</v>
      </c>
    </row>
    <row r="510" spans="1:12" x14ac:dyDescent="0.35">
      <c r="A510">
        <v>2024</v>
      </c>
      <c r="B510">
        <v>12</v>
      </c>
      <c r="C510" t="s">
        <v>75</v>
      </c>
      <c r="D510" t="s">
        <v>141</v>
      </c>
      <c r="E510" t="s">
        <v>142</v>
      </c>
      <c r="F510">
        <v>821</v>
      </c>
      <c r="G510">
        <v>507617</v>
      </c>
      <c r="H510">
        <v>499055</v>
      </c>
      <c r="I510">
        <v>342134</v>
      </c>
      <c r="J510">
        <v>758921</v>
      </c>
      <c r="K510">
        <v>450544</v>
      </c>
      <c r="L510">
        <v>548722</v>
      </c>
    </row>
    <row r="511" spans="1:12" x14ac:dyDescent="0.35">
      <c r="A511">
        <v>2024</v>
      </c>
      <c r="B511">
        <v>12</v>
      </c>
      <c r="C511" t="s">
        <v>75</v>
      </c>
      <c r="D511" t="s">
        <v>143</v>
      </c>
      <c r="E511" t="s">
        <v>144</v>
      </c>
      <c r="F511">
        <v>4725</v>
      </c>
      <c r="G511">
        <v>286609</v>
      </c>
      <c r="H511">
        <v>278486</v>
      </c>
      <c r="I511">
        <v>229743</v>
      </c>
      <c r="J511">
        <v>438463</v>
      </c>
      <c r="K511">
        <v>262797</v>
      </c>
      <c r="L511">
        <v>301307</v>
      </c>
    </row>
    <row r="512" spans="1:12" x14ac:dyDescent="0.35">
      <c r="A512">
        <v>2024</v>
      </c>
      <c r="B512">
        <v>12</v>
      </c>
      <c r="C512" t="s">
        <v>75</v>
      </c>
      <c r="D512" t="s">
        <v>145</v>
      </c>
      <c r="E512" t="s">
        <v>146</v>
      </c>
      <c r="F512">
        <v>117</v>
      </c>
      <c r="G512">
        <v>438992</v>
      </c>
      <c r="H512">
        <v>446936</v>
      </c>
      <c r="I512">
        <v>330336</v>
      </c>
      <c r="J512">
        <v>590804</v>
      </c>
      <c r="K512">
        <v>420322</v>
      </c>
      <c r="L512">
        <v>470544</v>
      </c>
    </row>
    <row r="513" spans="1:12" x14ac:dyDescent="0.35">
      <c r="A513">
        <v>2024</v>
      </c>
      <c r="B513">
        <v>12</v>
      </c>
      <c r="C513" t="s">
        <v>75</v>
      </c>
      <c r="D513" t="s">
        <v>147</v>
      </c>
      <c r="E513" t="s">
        <v>148</v>
      </c>
      <c r="F513">
        <v>77</v>
      </c>
      <c r="G513">
        <v>342544</v>
      </c>
      <c r="H513">
        <v>325655</v>
      </c>
      <c r="I513">
        <v>297836</v>
      </c>
      <c r="J513">
        <v>439436</v>
      </c>
      <c r="K513">
        <v>302836</v>
      </c>
      <c r="L513">
        <v>375324</v>
      </c>
    </row>
    <row r="514" spans="1:12" x14ac:dyDescent="0.35">
      <c r="A514">
        <v>2024</v>
      </c>
      <c r="B514">
        <v>12</v>
      </c>
      <c r="C514" t="s">
        <v>75</v>
      </c>
      <c r="D514" t="s">
        <v>149</v>
      </c>
      <c r="E514" t="s">
        <v>150</v>
      </c>
      <c r="F514">
        <v>1872</v>
      </c>
      <c r="G514">
        <v>398802</v>
      </c>
      <c r="H514">
        <v>365974</v>
      </c>
      <c r="I514">
        <v>297836</v>
      </c>
      <c r="J514">
        <v>740916</v>
      </c>
      <c r="K514">
        <v>342366</v>
      </c>
      <c r="L514">
        <v>421985</v>
      </c>
    </row>
    <row r="515" spans="1:12" x14ac:dyDescent="0.35">
      <c r="A515">
        <v>2024</v>
      </c>
      <c r="B515">
        <v>12</v>
      </c>
      <c r="C515" t="s">
        <v>75</v>
      </c>
      <c r="D515" t="s">
        <v>151</v>
      </c>
      <c r="E515" t="s">
        <v>152</v>
      </c>
      <c r="F515">
        <v>676</v>
      </c>
      <c r="G515">
        <v>992573</v>
      </c>
      <c r="H515">
        <v>1044725</v>
      </c>
      <c r="I515">
        <v>690287</v>
      </c>
      <c r="J515">
        <v>1300957</v>
      </c>
      <c r="K515">
        <v>864477</v>
      </c>
      <c r="L515">
        <v>1116708</v>
      </c>
    </row>
    <row r="516" spans="1:12" x14ac:dyDescent="0.35">
      <c r="A516">
        <v>2024</v>
      </c>
      <c r="B516">
        <v>12</v>
      </c>
      <c r="C516" t="s">
        <v>75</v>
      </c>
      <c r="D516" t="s">
        <v>153</v>
      </c>
      <c r="E516" t="s">
        <v>154</v>
      </c>
      <c r="F516">
        <v>139</v>
      </c>
      <c r="G516">
        <v>637387</v>
      </c>
      <c r="H516">
        <v>653895</v>
      </c>
      <c r="I516">
        <v>411061</v>
      </c>
      <c r="J516">
        <v>812667</v>
      </c>
      <c r="K516">
        <v>544980</v>
      </c>
      <c r="L516">
        <v>747628</v>
      </c>
    </row>
    <row r="517" spans="1:12" x14ac:dyDescent="0.35">
      <c r="A517">
        <v>2024</v>
      </c>
      <c r="B517">
        <v>12</v>
      </c>
      <c r="C517" t="s">
        <v>75</v>
      </c>
      <c r="D517" t="s">
        <v>155</v>
      </c>
      <c r="E517" t="s">
        <v>156</v>
      </c>
      <c r="F517">
        <v>999</v>
      </c>
      <c r="G517">
        <v>396258</v>
      </c>
      <c r="H517">
        <v>373474</v>
      </c>
      <c r="I517">
        <v>262564</v>
      </c>
      <c r="J517">
        <v>707824</v>
      </c>
      <c r="K517">
        <v>321073</v>
      </c>
      <c r="L517">
        <v>431936</v>
      </c>
    </row>
    <row r="518" spans="1:12" x14ac:dyDescent="0.35">
      <c r="A518">
        <v>2024</v>
      </c>
      <c r="B518">
        <v>12</v>
      </c>
      <c r="C518" t="s">
        <v>75</v>
      </c>
      <c r="D518" t="s">
        <v>157</v>
      </c>
      <c r="E518" t="s">
        <v>158</v>
      </c>
      <c r="F518">
        <v>174</v>
      </c>
      <c r="G518">
        <v>469559</v>
      </c>
      <c r="H518">
        <v>443045</v>
      </c>
      <c r="I518">
        <v>330286</v>
      </c>
      <c r="J518">
        <v>705140</v>
      </c>
      <c r="K518">
        <v>385322</v>
      </c>
      <c r="L518">
        <v>540582</v>
      </c>
    </row>
    <row r="519" spans="1:12" x14ac:dyDescent="0.35">
      <c r="A519">
        <v>2024</v>
      </c>
      <c r="B519">
        <v>12</v>
      </c>
      <c r="C519" t="s">
        <v>75</v>
      </c>
      <c r="D519" t="s">
        <v>159</v>
      </c>
      <c r="E519" t="s">
        <v>160</v>
      </c>
      <c r="F519">
        <v>393</v>
      </c>
      <c r="G519">
        <v>437322</v>
      </c>
      <c r="H519">
        <v>421985</v>
      </c>
      <c r="I519">
        <v>302836</v>
      </c>
      <c r="J519">
        <v>697640</v>
      </c>
      <c r="K519">
        <v>368290</v>
      </c>
      <c r="L519">
        <v>476604</v>
      </c>
    </row>
    <row r="520" spans="1:12" x14ac:dyDescent="0.35">
      <c r="A520">
        <v>2024</v>
      </c>
      <c r="B520">
        <v>12</v>
      </c>
      <c r="C520" t="s">
        <v>75</v>
      </c>
      <c r="D520" t="s">
        <v>161</v>
      </c>
      <c r="E520" t="s">
        <v>162</v>
      </c>
      <c r="F520">
        <v>126</v>
      </c>
      <c r="G520">
        <v>472177</v>
      </c>
      <c r="H520">
        <v>440292</v>
      </c>
      <c r="I520">
        <v>313573</v>
      </c>
      <c r="J520">
        <v>700324</v>
      </c>
      <c r="K520">
        <v>365974</v>
      </c>
      <c r="L520">
        <v>555804</v>
      </c>
    </row>
    <row r="521" spans="1:12" x14ac:dyDescent="0.35">
      <c r="A521">
        <v>2025</v>
      </c>
      <c r="B521">
        <v>1</v>
      </c>
      <c r="C521" t="s">
        <v>42</v>
      </c>
      <c r="D521" t="s">
        <v>77</v>
      </c>
      <c r="E521" t="s">
        <v>78</v>
      </c>
      <c r="F521">
        <v>4</v>
      </c>
      <c r="G521">
        <v>414079</v>
      </c>
      <c r="H521">
        <v>380046</v>
      </c>
      <c r="I521">
        <v>325655</v>
      </c>
      <c r="J521">
        <v>570570</v>
      </c>
      <c r="K521">
        <v>325655</v>
      </c>
      <c r="L521">
        <v>434436</v>
      </c>
    </row>
    <row r="522" spans="1:12" x14ac:dyDescent="0.35">
      <c r="A522">
        <v>2025</v>
      </c>
      <c r="B522">
        <v>1</v>
      </c>
      <c r="C522" t="s">
        <v>42</v>
      </c>
      <c r="D522" t="s">
        <v>79</v>
      </c>
      <c r="E522" t="s">
        <v>80</v>
      </c>
      <c r="F522">
        <v>160</v>
      </c>
      <c r="G522">
        <v>466850</v>
      </c>
      <c r="H522">
        <v>427262</v>
      </c>
      <c r="I522">
        <v>313573</v>
      </c>
      <c r="J522">
        <v>760432</v>
      </c>
      <c r="K522">
        <v>358474</v>
      </c>
      <c r="L522">
        <v>568538</v>
      </c>
    </row>
    <row r="523" spans="1:12" x14ac:dyDescent="0.35">
      <c r="A523">
        <v>2025</v>
      </c>
      <c r="B523">
        <v>1</v>
      </c>
      <c r="C523" t="s">
        <v>42</v>
      </c>
      <c r="D523" t="s">
        <v>81</v>
      </c>
      <c r="E523" t="s">
        <v>82</v>
      </c>
      <c r="F523">
        <v>12</v>
      </c>
      <c r="G523">
        <v>639479</v>
      </c>
      <c r="H523">
        <v>645990</v>
      </c>
      <c r="I523">
        <v>516185</v>
      </c>
      <c r="J523">
        <v>700879</v>
      </c>
      <c r="K523">
        <v>634868</v>
      </c>
      <c r="L523">
        <v>665879</v>
      </c>
    </row>
    <row r="524" spans="1:12" x14ac:dyDescent="0.35">
      <c r="A524">
        <v>2025</v>
      </c>
      <c r="B524">
        <v>1</v>
      </c>
      <c r="C524" t="s">
        <v>42</v>
      </c>
      <c r="D524" t="s">
        <v>83</v>
      </c>
      <c r="E524" t="s">
        <v>84</v>
      </c>
      <c r="F524">
        <v>51</v>
      </c>
      <c r="G524">
        <v>488640</v>
      </c>
      <c r="H524">
        <v>491604</v>
      </c>
      <c r="I524">
        <v>330286</v>
      </c>
      <c r="J524">
        <v>659955</v>
      </c>
      <c r="K524">
        <v>365974</v>
      </c>
      <c r="L524">
        <v>619918</v>
      </c>
    </row>
    <row r="525" spans="1:12" x14ac:dyDescent="0.35">
      <c r="A525">
        <v>2025</v>
      </c>
      <c r="B525">
        <v>1</v>
      </c>
      <c r="C525" t="s">
        <v>42</v>
      </c>
      <c r="D525" t="s">
        <v>85</v>
      </c>
      <c r="E525" t="s">
        <v>86</v>
      </c>
      <c r="F525">
        <v>1020</v>
      </c>
      <c r="G525">
        <v>501555</v>
      </c>
      <c r="H525">
        <v>480520</v>
      </c>
      <c r="I525">
        <v>302836</v>
      </c>
      <c r="J525">
        <v>786542</v>
      </c>
      <c r="K525">
        <v>410322</v>
      </c>
      <c r="L525">
        <v>598304</v>
      </c>
    </row>
    <row r="526" spans="1:12" x14ac:dyDescent="0.35">
      <c r="A526">
        <v>2025</v>
      </c>
      <c r="B526">
        <v>1</v>
      </c>
      <c r="C526" t="s">
        <v>42</v>
      </c>
      <c r="D526" t="s">
        <v>87</v>
      </c>
      <c r="E526" t="s">
        <v>88</v>
      </c>
      <c r="F526">
        <v>4</v>
      </c>
      <c r="G526">
        <v>571531</v>
      </c>
      <c r="H526">
        <v>570410</v>
      </c>
      <c r="I526">
        <v>520903</v>
      </c>
      <c r="J526">
        <v>624400</v>
      </c>
      <c r="K526">
        <v>528403</v>
      </c>
      <c r="L526">
        <v>612418</v>
      </c>
    </row>
    <row r="527" spans="1:12" x14ac:dyDescent="0.35">
      <c r="A527">
        <v>2025</v>
      </c>
      <c r="B527">
        <v>1</v>
      </c>
      <c r="C527" t="s">
        <v>42</v>
      </c>
      <c r="D527" t="s">
        <v>89</v>
      </c>
      <c r="E527" t="s">
        <v>90</v>
      </c>
      <c r="F527">
        <v>795</v>
      </c>
      <c r="G527">
        <v>479635</v>
      </c>
      <c r="H527">
        <v>447995</v>
      </c>
      <c r="I527">
        <v>302836</v>
      </c>
      <c r="J527">
        <v>767908</v>
      </c>
      <c r="K527">
        <v>387822</v>
      </c>
      <c r="L527">
        <v>577418</v>
      </c>
    </row>
    <row r="528" spans="1:12" x14ac:dyDescent="0.35">
      <c r="A528">
        <v>2025</v>
      </c>
      <c r="B528">
        <v>1</v>
      </c>
      <c r="C528" t="s">
        <v>42</v>
      </c>
      <c r="D528" t="s">
        <v>91</v>
      </c>
      <c r="E528" t="s">
        <v>92</v>
      </c>
      <c r="F528">
        <v>135</v>
      </c>
      <c r="G528">
        <v>363697</v>
      </c>
      <c r="H528">
        <v>342366</v>
      </c>
      <c r="I528">
        <v>302836</v>
      </c>
      <c r="J528">
        <v>646900</v>
      </c>
      <c r="K528">
        <v>330286</v>
      </c>
      <c r="L528">
        <v>360286</v>
      </c>
    </row>
    <row r="529" spans="1:12" x14ac:dyDescent="0.35">
      <c r="A529">
        <v>2025</v>
      </c>
      <c r="B529">
        <v>1</v>
      </c>
      <c r="C529" t="s">
        <v>42</v>
      </c>
      <c r="D529" t="s">
        <v>93</v>
      </c>
      <c r="E529" t="s">
        <v>94</v>
      </c>
      <c r="F529">
        <v>28</v>
      </c>
      <c r="G529">
        <v>371758</v>
      </c>
      <c r="H529">
        <v>363182</v>
      </c>
      <c r="I529">
        <v>297836</v>
      </c>
      <c r="J529">
        <v>632456</v>
      </c>
      <c r="K529">
        <v>335655</v>
      </c>
      <c r="L529">
        <v>375324</v>
      </c>
    </row>
    <row r="530" spans="1:12" x14ac:dyDescent="0.35">
      <c r="A530">
        <v>2025</v>
      </c>
      <c r="B530">
        <v>1</v>
      </c>
      <c r="C530" t="s">
        <v>42</v>
      </c>
      <c r="D530" t="s">
        <v>95</v>
      </c>
      <c r="E530" t="s">
        <v>96</v>
      </c>
      <c r="F530">
        <v>17</v>
      </c>
      <c r="G530">
        <v>410674</v>
      </c>
      <c r="H530">
        <v>382824</v>
      </c>
      <c r="I530">
        <v>310336</v>
      </c>
      <c r="J530">
        <v>610939</v>
      </c>
      <c r="K530">
        <v>325655</v>
      </c>
      <c r="L530">
        <v>429485</v>
      </c>
    </row>
    <row r="531" spans="1:12" x14ac:dyDescent="0.35">
      <c r="A531">
        <v>2025</v>
      </c>
      <c r="B531">
        <v>1</v>
      </c>
      <c r="C531" t="s">
        <v>42</v>
      </c>
      <c r="D531" t="s">
        <v>97</v>
      </c>
      <c r="E531" t="s">
        <v>98</v>
      </c>
      <c r="F531">
        <v>254</v>
      </c>
      <c r="G531">
        <v>409070</v>
      </c>
      <c r="H531">
        <v>365974</v>
      </c>
      <c r="I531">
        <v>302836</v>
      </c>
      <c r="J531">
        <v>709219</v>
      </c>
      <c r="K531">
        <v>342366</v>
      </c>
      <c r="L531">
        <v>425040</v>
      </c>
    </row>
    <row r="532" spans="1:12" x14ac:dyDescent="0.35">
      <c r="A532">
        <v>2025</v>
      </c>
      <c r="B532">
        <v>1</v>
      </c>
      <c r="C532" t="s">
        <v>42</v>
      </c>
      <c r="D532" t="s">
        <v>99</v>
      </c>
      <c r="E532" t="s">
        <v>100</v>
      </c>
      <c r="F532">
        <v>425</v>
      </c>
      <c r="G532">
        <v>444915</v>
      </c>
      <c r="H532">
        <v>431936</v>
      </c>
      <c r="I532">
        <v>302836</v>
      </c>
      <c r="J532">
        <v>687590</v>
      </c>
      <c r="K532">
        <v>389487</v>
      </c>
      <c r="L532">
        <v>491257</v>
      </c>
    </row>
    <row r="533" spans="1:12" x14ac:dyDescent="0.35">
      <c r="A533">
        <v>2025</v>
      </c>
      <c r="B533">
        <v>1</v>
      </c>
      <c r="C533" t="s">
        <v>42</v>
      </c>
      <c r="D533" t="s">
        <v>101</v>
      </c>
      <c r="E533" t="s">
        <v>102</v>
      </c>
      <c r="F533">
        <v>12</v>
      </c>
      <c r="G533">
        <v>548234</v>
      </c>
      <c r="H533">
        <v>597491</v>
      </c>
      <c r="I533">
        <v>330286</v>
      </c>
      <c r="J533">
        <v>675324</v>
      </c>
      <c r="K533">
        <v>513082</v>
      </c>
      <c r="L533">
        <v>628944</v>
      </c>
    </row>
    <row r="534" spans="1:12" x14ac:dyDescent="0.35">
      <c r="A534">
        <v>2025</v>
      </c>
      <c r="B534">
        <v>1</v>
      </c>
      <c r="C534" t="s">
        <v>42</v>
      </c>
      <c r="D534" t="s">
        <v>103</v>
      </c>
      <c r="E534" t="s">
        <v>104</v>
      </c>
      <c r="F534">
        <v>9</v>
      </c>
      <c r="G534">
        <v>355199</v>
      </c>
      <c r="H534">
        <v>332786</v>
      </c>
      <c r="I534">
        <v>313573</v>
      </c>
      <c r="J534">
        <v>450495</v>
      </c>
      <c r="K534">
        <v>321073</v>
      </c>
      <c r="L534">
        <v>372366</v>
      </c>
    </row>
    <row r="535" spans="1:12" x14ac:dyDescent="0.35">
      <c r="A535">
        <v>2025</v>
      </c>
      <c r="B535">
        <v>1</v>
      </c>
      <c r="C535" t="s">
        <v>42</v>
      </c>
      <c r="D535" t="s">
        <v>105</v>
      </c>
      <c r="E535" t="s">
        <v>106</v>
      </c>
      <c r="F535">
        <v>38</v>
      </c>
      <c r="G535">
        <v>448645</v>
      </c>
      <c r="H535">
        <v>403235</v>
      </c>
      <c r="I535">
        <v>313573</v>
      </c>
      <c r="J535">
        <v>700066</v>
      </c>
      <c r="K535">
        <v>342368</v>
      </c>
      <c r="L535">
        <v>556038</v>
      </c>
    </row>
    <row r="536" spans="1:12" x14ac:dyDescent="0.35">
      <c r="A536">
        <v>2025</v>
      </c>
      <c r="B536">
        <v>1</v>
      </c>
      <c r="C536" t="s">
        <v>42</v>
      </c>
      <c r="D536" t="s">
        <v>107</v>
      </c>
      <c r="E536" t="s">
        <v>108</v>
      </c>
      <c r="F536">
        <v>3</v>
      </c>
      <c r="G536">
        <v>357834</v>
      </c>
      <c r="H536">
        <v>357661</v>
      </c>
      <c r="I536">
        <v>342366</v>
      </c>
      <c r="J536">
        <v>373474</v>
      </c>
      <c r="K536">
        <v>357661</v>
      </c>
      <c r="L536">
        <v>373474</v>
      </c>
    </row>
    <row r="537" spans="1:12" x14ac:dyDescent="0.35">
      <c r="A537">
        <v>2025</v>
      </c>
      <c r="B537">
        <v>1</v>
      </c>
      <c r="C537" t="s">
        <v>42</v>
      </c>
      <c r="D537" t="s">
        <v>109</v>
      </c>
      <c r="E537" t="s">
        <v>110</v>
      </c>
      <c r="F537">
        <v>4870</v>
      </c>
      <c r="G537">
        <v>549647</v>
      </c>
      <c r="H537">
        <v>514658</v>
      </c>
      <c r="I537">
        <v>407405</v>
      </c>
      <c r="J537">
        <v>850677</v>
      </c>
      <c r="K537">
        <v>445594</v>
      </c>
      <c r="L537">
        <v>663058</v>
      </c>
    </row>
    <row r="538" spans="1:12" x14ac:dyDescent="0.35">
      <c r="A538">
        <v>2025</v>
      </c>
      <c r="B538">
        <v>1</v>
      </c>
      <c r="C538" t="s">
        <v>42</v>
      </c>
      <c r="D538" t="s">
        <v>111</v>
      </c>
      <c r="E538" t="s">
        <v>112</v>
      </c>
      <c r="F538">
        <v>14159</v>
      </c>
      <c r="G538">
        <v>337975</v>
      </c>
      <c r="H538">
        <v>318942</v>
      </c>
      <c r="I538">
        <v>234373</v>
      </c>
      <c r="J538">
        <v>670977</v>
      </c>
      <c r="K538">
        <v>288252</v>
      </c>
      <c r="L538">
        <v>357552</v>
      </c>
    </row>
    <row r="539" spans="1:12" x14ac:dyDescent="0.35">
      <c r="A539">
        <v>2025</v>
      </c>
      <c r="B539">
        <v>1</v>
      </c>
      <c r="C539" t="s">
        <v>42</v>
      </c>
      <c r="D539" t="s">
        <v>113</v>
      </c>
      <c r="E539" t="s">
        <v>114</v>
      </c>
      <c r="F539">
        <v>7880</v>
      </c>
      <c r="G539">
        <v>319889</v>
      </c>
      <c r="H539">
        <v>308942</v>
      </c>
      <c r="I539">
        <v>260064</v>
      </c>
      <c r="J539">
        <v>585804</v>
      </c>
      <c r="K539">
        <v>285752</v>
      </c>
      <c r="L539">
        <v>335052</v>
      </c>
    </row>
    <row r="540" spans="1:12" x14ac:dyDescent="0.35">
      <c r="A540">
        <v>2025</v>
      </c>
      <c r="B540">
        <v>1</v>
      </c>
      <c r="C540" t="s">
        <v>42</v>
      </c>
      <c r="D540" t="s">
        <v>115</v>
      </c>
      <c r="E540" t="s">
        <v>116</v>
      </c>
      <c r="F540">
        <v>83</v>
      </c>
      <c r="G540">
        <v>578486</v>
      </c>
      <c r="H540">
        <v>560298</v>
      </c>
      <c r="I540">
        <v>417405</v>
      </c>
      <c r="J540">
        <v>825535</v>
      </c>
      <c r="K540">
        <v>487441</v>
      </c>
      <c r="L540">
        <v>665558</v>
      </c>
    </row>
    <row r="541" spans="1:12" x14ac:dyDescent="0.35">
      <c r="A541">
        <v>2025</v>
      </c>
      <c r="B541">
        <v>1</v>
      </c>
      <c r="C541" t="s">
        <v>42</v>
      </c>
      <c r="D541" t="s">
        <v>117</v>
      </c>
      <c r="E541" t="s">
        <v>118</v>
      </c>
      <c r="F541">
        <v>386</v>
      </c>
      <c r="G541">
        <v>572875</v>
      </c>
      <c r="H541">
        <v>542410</v>
      </c>
      <c r="I541">
        <v>407405</v>
      </c>
      <c r="J541">
        <v>808035</v>
      </c>
      <c r="K541">
        <v>458094</v>
      </c>
      <c r="L541">
        <v>686064</v>
      </c>
    </row>
    <row r="542" spans="1:12" x14ac:dyDescent="0.35">
      <c r="A542">
        <v>2025</v>
      </c>
      <c r="B542">
        <v>1</v>
      </c>
      <c r="C542" t="s">
        <v>42</v>
      </c>
      <c r="D542" t="s">
        <v>119</v>
      </c>
      <c r="E542" t="s">
        <v>120</v>
      </c>
      <c r="F542">
        <v>976</v>
      </c>
      <c r="G542">
        <v>495231</v>
      </c>
      <c r="H542">
        <v>472441</v>
      </c>
      <c r="I542">
        <v>407405</v>
      </c>
      <c r="J542">
        <v>788035</v>
      </c>
      <c r="K542">
        <v>440594</v>
      </c>
      <c r="L542">
        <v>524794</v>
      </c>
    </row>
    <row r="543" spans="1:12" x14ac:dyDescent="0.35">
      <c r="A543">
        <v>2025</v>
      </c>
      <c r="B543">
        <v>1</v>
      </c>
      <c r="C543" t="s">
        <v>42</v>
      </c>
      <c r="D543" t="s">
        <v>121</v>
      </c>
      <c r="E543" t="s">
        <v>122</v>
      </c>
      <c r="F543">
        <v>515</v>
      </c>
      <c r="G543">
        <v>451036</v>
      </c>
      <c r="H543">
        <v>445495</v>
      </c>
      <c r="I543">
        <v>308573</v>
      </c>
      <c r="J543">
        <v>699710</v>
      </c>
      <c r="K543">
        <v>399485</v>
      </c>
      <c r="L543">
        <v>510348</v>
      </c>
    </row>
    <row r="544" spans="1:12" x14ac:dyDescent="0.35">
      <c r="A544">
        <v>2025</v>
      </c>
      <c r="B544">
        <v>1</v>
      </c>
      <c r="C544" t="s">
        <v>42</v>
      </c>
      <c r="D544" t="s">
        <v>123</v>
      </c>
      <c r="E544" t="s">
        <v>124</v>
      </c>
      <c r="F544">
        <v>1</v>
      </c>
      <c r="G544">
        <v>318942</v>
      </c>
      <c r="H544">
        <v>318942</v>
      </c>
      <c r="I544">
        <v>318942</v>
      </c>
      <c r="J544">
        <v>318942</v>
      </c>
      <c r="K544">
        <v>318942</v>
      </c>
      <c r="L544">
        <v>318942</v>
      </c>
    </row>
    <row r="545" spans="1:12" x14ac:dyDescent="0.35">
      <c r="A545">
        <v>2025</v>
      </c>
      <c r="B545">
        <v>1</v>
      </c>
      <c r="C545" t="s">
        <v>42</v>
      </c>
      <c r="D545" t="s">
        <v>125</v>
      </c>
      <c r="E545" t="s">
        <v>126</v>
      </c>
      <c r="F545">
        <v>188</v>
      </c>
      <c r="G545">
        <v>426245</v>
      </c>
      <c r="H545">
        <v>373474</v>
      </c>
      <c r="I545">
        <v>325286</v>
      </c>
      <c r="J545">
        <v>680189</v>
      </c>
      <c r="K545">
        <v>362232</v>
      </c>
      <c r="L545">
        <v>518082</v>
      </c>
    </row>
    <row r="546" spans="1:12" x14ac:dyDescent="0.35">
      <c r="A546">
        <v>2025</v>
      </c>
      <c r="B546">
        <v>1</v>
      </c>
      <c r="C546" t="s">
        <v>42</v>
      </c>
      <c r="D546" t="s">
        <v>127</v>
      </c>
      <c r="E546" t="s">
        <v>128</v>
      </c>
      <c r="F546">
        <v>5558</v>
      </c>
      <c r="G546">
        <v>886212</v>
      </c>
      <c r="H546">
        <v>833221</v>
      </c>
      <c r="I546">
        <v>669169</v>
      </c>
      <c r="J546">
        <v>1436081</v>
      </c>
      <c r="K546">
        <v>723237</v>
      </c>
      <c r="L546">
        <v>995646</v>
      </c>
    </row>
    <row r="547" spans="1:12" x14ac:dyDescent="0.35">
      <c r="A547">
        <v>2025</v>
      </c>
      <c r="B547">
        <v>1</v>
      </c>
      <c r="C547" t="s">
        <v>42</v>
      </c>
      <c r="D547" t="s">
        <v>129</v>
      </c>
      <c r="E547" t="s">
        <v>130</v>
      </c>
      <c r="F547">
        <v>331</v>
      </c>
      <c r="G547">
        <v>506445</v>
      </c>
      <c r="H547">
        <v>510965</v>
      </c>
      <c r="I547">
        <v>342134</v>
      </c>
      <c r="J547">
        <v>750448</v>
      </c>
      <c r="K547">
        <v>407540</v>
      </c>
      <c r="L547">
        <v>605237</v>
      </c>
    </row>
    <row r="548" spans="1:12" x14ac:dyDescent="0.35">
      <c r="A548">
        <v>2025</v>
      </c>
      <c r="B548">
        <v>1</v>
      </c>
      <c r="C548" t="s">
        <v>42</v>
      </c>
      <c r="D548" t="s">
        <v>131</v>
      </c>
      <c r="E548" t="s">
        <v>132</v>
      </c>
      <c r="F548">
        <v>35581</v>
      </c>
      <c r="G548">
        <v>527004</v>
      </c>
      <c r="H548">
        <v>499239</v>
      </c>
      <c r="I548">
        <v>333389</v>
      </c>
      <c r="J548">
        <v>887702</v>
      </c>
      <c r="K548">
        <v>448784</v>
      </c>
      <c r="L548">
        <v>592467</v>
      </c>
    </row>
    <row r="549" spans="1:12" x14ac:dyDescent="0.35">
      <c r="A549">
        <v>2025</v>
      </c>
      <c r="B549">
        <v>1</v>
      </c>
      <c r="C549" t="s">
        <v>42</v>
      </c>
      <c r="D549" t="s">
        <v>133</v>
      </c>
      <c r="E549" t="s">
        <v>134</v>
      </c>
      <c r="F549">
        <v>87032</v>
      </c>
      <c r="G549">
        <v>396610</v>
      </c>
      <c r="H549">
        <v>407540</v>
      </c>
      <c r="I549">
        <v>266776</v>
      </c>
      <c r="J549">
        <v>584647</v>
      </c>
      <c r="K549">
        <v>311258</v>
      </c>
      <c r="L549">
        <v>446936</v>
      </c>
    </row>
    <row r="550" spans="1:12" x14ac:dyDescent="0.35">
      <c r="A550">
        <v>2025</v>
      </c>
      <c r="B550">
        <v>1</v>
      </c>
      <c r="C550" t="s">
        <v>42</v>
      </c>
      <c r="D550" t="s">
        <v>135</v>
      </c>
      <c r="E550" t="s">
        <v>136</v>
      </c>
      <c r="F550">
        <v>21096</v>
      </c>
      <c r="G550">
        <v>697500</v>
      </c>
      <c r="H550">
        <v>684955</v>
      </c>
      <c r="I550">
        <v>398882</v>
      </c>
      <c r="J550">
        <v>1069076</v>
      </c>
      <c r="K550">
        <v>625237</v>
      </c>
      <c r="L550">
        <v>790633</v>
      </c>
    </row>
    <row r="551" spans="1:12" x14ac:dyDescent="0.35">
      <c r="A551">
        <v>2025</v>
      </c>
      <c r="B551">
        <v>1</v>
      </c>
      <c r="C551" t="s">
        <v>42</v>
      </c>
      <c r="D551" t="s">
        <v>137</v>
      </c>
      <c r="E551" t="s">
        <v>138</v>
      </c>
      <c r="F551">
        <v>10988</v>
      </c>
      <c r="G551">
        <v>455106</v>
      </c>
      <c r="H551">
        <v>446838</v>
      </c>
      <c r="I551">
        <v>262563</v>
      </c>
      <c r="J551">
        <v>856965</v>
      </c>
      <c r="K551">
        <v>372595</v>
      </c>
      <c r="L551">
        <v>517673</v>
      </c>
    </row>
    <row r="552" spans="1:12" x14ac:dyDescent="0.35">
      <c r="A552">
        <v>2025</v>
      </c>
      <c r="B552">
        <v>1</v>
      </c>
      <c r="C552" t="s">
        <v>42</v>
      </c>
      <c r="D552" t="s">
        <v>139</v>
      </c>
      <c r="E552" t="s">
        <v>140</v>
      </c>
      <c r="F552">
        <v>30</v>
      </c>
      <c r="G552">
        <v>622366</v>
      </c>
      <c r="H552">
        <v>627737</v>
      </c>
      <c r="I552">
        <v>518403</v>
      </c>
      <c r="J552">
        <v>741187</v>
      </c>
      <c r="K552">
        <v>605237</v>
      </c>
      <c r="L552">
        <v>639633</v>
      </c>
    </row>
    <row r="553" spans="1:12" x14ac:dyDescent="0.35">
      <c r="A553">
        <v>2025</v>
      </c>
      <c r="B553">
        <v>1</v>
      </c>
      <c r="C553" t="s">
        <v>42</v>
      </c>
      <c r="D553" t="s">
        <v>141</v>
      </c>
      <c r="E553" t="s">
        <v>142</v>
      </c>
      <c r="F553">
        <v>823</v>
      </c>
      <c r="G553">
        <v>513764</v>
      </c>
      <c r="H553">
        <v>505903</v>
      </c>
      <c r="I553">
        <v>342134</v>
      </c>
      <c r="J553">
        <v>765723</v>
      </c>
      <c r="K553">
        <v>451838</v>
      </c>
      <c r="L553">
        <v>558722</v>
      </c>
    </row>
    <row r="554" spans="1:12" x14ac:dyDescent="0.35">
      <c r="A554">
        <v>2025</v>
      </c>
      <c r="B554">
        <v>1</v>
      </c>
      <c r="C554" t="s">
        <v>42</v>
      </c>
      <c r="D554" t="s">
        <v>143</v>
      </c>
      <c r="E554" t="s">
        <v>144</v>
      </c>
      <c r="F554">
        <v>4729</v>
      </c>
      <c r="G554">
        <v>287383</v>
      </c>
      <c r="H554">
        <v>280986</v>
      </c>
      <c r="I554">
        <v>229743</v>
      </c>
      <c r="J554">
        <v>451134</v>
      </c>
      <c r="K554">
        <v>265064</v>
      </c>
      <c r="L554">
        <v>305397</v>
      </c>
    </row>
    <row r="555" spans="1:12" x14ac:dyDescent="0.35">
      <c r="A555">
        <v>2025</v>
      </c>
      <c r="B555">
        <v>1</v>
      </c>
      <c r="C555" t="s">
        <v>42</v>
      </c>
      <c r="D555" t="s">
        <v>145</v>
      </c>
      <c r="E555" t="s">
        <v>146</v>
      </c>
      <c r="F555">
        <v>115</v>
      </c>
      <c r="G555">
        <v>442705</v>
      </c>
      <c r="H555">
        <v>446936</v>
      </c>
      <c r="I555">
        <v>330336</v>
      </c>
      <c r="J555">
        <v>590804</v>
      </c>
      <c r="K555">
        <v>427824</v>
      </c>
      <c r="L555">
        <v>470544</v>
      </c>
    </row>
    <row r="556" spans="1:12" x14ac:dyDescent="0.35">
      <c r="A556">
        <v>2025</v>
      </c>
      <c r="B556">
        <v>1</v>
      </c>
      <c r="C556" t="s">
        <v>42</v>
      </c>
      <c r="D556" t="s">
        <v>147</v>
      </c>
      <c r="E556" t="s">
        <v>148</v>
      </c>
      <c r="F556">
        <v>76</v>
      </c>
      <c r="G556">
        <v>349485</v>
      </c>
      <c r="H556">
        <v>325655</v>
      </c>
      <c r="I556">
        <v>297836</v>
      </c>
      <c r="J556">
        <v>595672</v>
      </c>
      <c r="K556">
        <v>302836</v>
      </c>
      <c r="L556">
        <v>399487</v>
      </c>
    </row>
    <row r="557" spans="1:12" x14ac:dyDescent="0.35">
      <c r="A557">
        <v>2025</v>
      </c>
      <c r="B557">
        <v>1</v>
      </c>
      <c r="C557" t="s">
        <v>42</v>
      </c>
      <c r="D557" t="s">
        <v>149</v>
      </c>
      <c r="E557" t="s">
        <v>150</v>
      </c>
      <c r="F557">
        <v>1856</v>
      </c>
      <c r="G557">
        <v>401176</v>
      </c>
      <c r="H557">
        <v>365974</v>
      </c>
      <c r="I557">
        <v>297836</v>
      </c>
      <c r="J557">
        <v>780217</v>
      </c>
      <c r="K557">
        <v>342366</v>
      </c>
      <c r="L557">
        <v>425943</v>
      </c>
    </row>
    <row r="558" spans="1:12" x14ac:dyDescent="0.35">
      <c r="A558">
        <v>2025</v>
      </c>
      <c r="B558">
        <v>1</v>
      </c>
      <c r="C558" t="s">
        <v>42</v>
      </c>
      <c r="D558" t="s">
        <v>151</v>
      </c>
      <c r="E558" t="s">
        <v>152</v>
      </c>
      <c r="F558">
        <v>669</v>
      </c>
      <c r="G558">
        <v>990843</v>
      </c>
      <c r="H558">
        <v>1044725</v>
      </c>
      <c r="I558">
        <v>690287</v>
      </c>
      <c r="J558">
        <v>1300957</v>
      </c>
      <c r="K558">
        <v>859477</v>
      </c>
      <c r="L558">
        <v>1116708</v>
      </c>
    </row>
    <row r="559" spans="1:12" x14ac:dyDescent="0.35">
      <c r="A559">
        <v>2025</v>
      </c>
      <c r="B559">
        <v>1</v>
      </c>
      <c r="C559" t="s">
        <v>42</v>
      </c>
      <c r="D559" t="s">
        <v>153</v>
      </c>
      <c r="E559" t="s">
        <v>154</v>
      </c>
      <c r="F559">
        <v>135</v>
      </c>
      <c r="G559">
        <v>643028</v>
      </c>
      <c r="H559">
        <v>653895</v>
      </c>
      <c r="I559">
        <v>416061</v>
      </c>
      <c r="J559">
        <v>812667</v>
      </c>
      <c r="K559">
        <v>549980</v>
      </c>
      <c r="L559">
        <v>747628</v>
      </c>
    </row>
    <row r="560" spans="1:12" x14ac:dyDescent="0.35">
      <c r="A560">
        <v>2025</v>
      </c>
      <c r="B560">
        <v>1</v>
      </c>
      <c r="C560" t="s">
        <v>42</v>
      </c>
      <c r="D560" t="s">
        <v>155</v>
      </c>
      <c r="E560" t="s">
        <v>156</v>
      </c>
      <c r="F560">
        <v>995</v>
      </c>
      <c r="G560">
        <v>399524</v>
      </c>
      <c r="H560">
        <v>375322</v>
      </c>
      <c r="I560">
        <v>262564</v>
      </c>
      <c r="J560">
        <v>713631</v>
      </c>
      <c r="K560">
        <v>323620</v>
      </c>
      <c r="L560">
        <v>435729</v>
      </c>
    </row>
    <row r="561" spans="1:12" x14ac:dyDescent="0.35">
      <c r="A561">
        <v>2025</v>
      </c>
      <c r="B561">
        <v>1</v>
      </c>
      <c r="C561" t="s">
        <v>42</v>
      </c>
      <c r="D561" t="s">
        <v>157</v>
      </c>
      <c r="E561" t="s">
        <v>158</v>
      </c>
      <c r="F561">
        <v>174</v>
      </c>
      <c r="G561">
        <v>473834</v>
      </c>
      <c r="H561">
        <v>446795</v>
      </c>
      <c r="I561">
        <v>330286</v>
      </c>
      <c r="J561">
        <v>709296</v>
      </c>
      <c r="K561">
        <v>385322</v>
      </c>
      <c r="L561">
        <v>545903</v>
      </c>
    </row>
    <row r="562" spans="1:12" x14ac:dyDescent="0.35">
      <c r="A562">
        <v>2025</v>
      </c>
      <c r="B562">
        <v>1</v>
      </c>
      <c r="C562" t="s">
        <v>42</v>
      </c>
      <c r="D562" t="s">
        <v>159</v>
      </c>
      <c r="E562" t="s">
        <v>160</v>
      </c>
      <c r="F562">
        <v>392</v>
      </c>
      <c r="G562">
        <v>442627</v>
      </c>
      <c r="H562">
        <v>429145</v>
      </c>
      <c r="I562">
        <v>302836</v>
      </c>
      <c r="J562">
        <v>701796</v>
      </c>
      <c r="K562">
        <v>375322</v>
      </c>
      <c r="L562">
        <v>483181</v>
      </c>
    </row>
    <row r="563" spans="1:12" x14ac:dyDescent="0.35">
      <c r="A563">
        <v>2025</v>
      </c>
      <c r="B563">
        <v>1</v>
      </c>
      <c r="C563" t="s">
        <v>42</v>
      </c>
      <c r="D563" t="s">
        <v>161</v>
      </c>
      <c r="E563" t="s">
        <v>162</v>
      </c>
      <c r="F563">
        <v>124</v>
      </c>
      <c r="G563">
        <v>473361</v>
      </c>
      <c r="H563">
        <v>442648</v>
      </c>
      <c r="I563">
        <v>313573</v>
      </c>
      <c r="J563">
        <v>701796</v>
      </c>
      <c r="K563">
        <v>368290</v>
      </c>
      <c r="L563">
        <v>561040</v>
      </c>
    </row>
    <row r="564" spans="1:12" x14ac:dyDescent="0.35">
      <c r="A564">
        <v>2025</v>
      </c>
      <c r="B564">
        <v>2</v>
      </c>
      <c r="C564" t="s">
        <v>63</v>
      </c>
      <c r="D564" t="s">
        <v>77</v>
      </c>
      <c r="E564" t="s">
        <v>78</v>
      </c>
      <c r="F564">
        <v>4</v>
      </c>
      <c r="G564">
        <v>414079</v>
      </c>
      <c r="H564">
        <v>380046</v>
      </c>
      <c r="I564">
        <v>325655</v>
      </c>
      <c r="J564">
        <v>570570</v>
      </c>
      <c r="K564">
        <v>325655</v>
      </c>
      <c r="L564">
        <v>434436</v>
      </c>
    </row>
    <row r="565" spans="1:12" x14ac:dyDescent="0.35">
      <c r="A565">
        <v>2025</v>
      </c>
      <c r="B565">
        <v>2</v>
      </c>
      <c r="C565" t="s">
        <v>63</v>
      </c>
      <c r="D565" t="s">
        <v>79</v>
      </c>
      <c r="E565" t="s">
        <v>80</v>
      </c>
      <c r="F565">
        <v>162</v>
      </c>
      <c r="G565">
        <v>461070</v>
      </c>
      <c r="H565">
        <v>422404</v>
      </c>
      <c r="I565">
        <v>302836</v>
      </c>
      <c r="J565">
        <v>718766</v>
      </c>
      <c r="K565">
        <v>358474</v>
      </c>
      <c r="L565">
        <v>568538</v>
      </c>
    </row>
    <row r="566" spans="1:12" x14ac:dyDescent="0.35">
      <c r="A566">
        <v>2025</v>
      </c>
      <c r="B566">
        <v>2</v>
      </c>
      <c r="C566" t="s">
        <v>63</v>
      </c>
      <c r="D566" t="s">
        <v>81</v>
      </c>
      <c r="E566" t="s">
        <v>82</v>
      </c>
      <c r="F566">
        <v>12</v>
      </c>
      <c r="G566">
        <v>655651</v>
      </c>
      <c r="H566">
        <v>656286</v>
      </c>
      <c r="I566">
        <v>565549</v>
      </c>
      <c r="J566">
        <v>728965</v>
      </c>
      <c r="K566">
        <v>647644</v>
      </c>
      <c r="L566">
        <v>673379</v>
      </c>
    </row>
    <row r="567" spans="1:12" x14ac:dyDescent="0.35">
      <c r="A567">
        <v>2025</v>
      </c>
      <c r="B567">
        <v>2</v>
      </c>
      <c r="C567" t="s">
        <v>63</v>
      </c>
      <c r="D567" t="s">
        <v>83</v>
      </c>
      <c r="E567" t="s">
        <v>84</v>
      </c>
      <c r="F567">
        <v>52</v>
      </c>
      <c r="G567">
        <v>502294</v>
      </c>
      <c r="H567">
        <v>552055</v>
      </c>
      <c r="I567">
        <v>330286</v>
      </c>
      <c r="J567">
        <v>661524</v>
      </c>
      <c r="K567">
        <v>359866</v>
      </c>
      <c r="L567">
        <v>614918</v>
      </c>
    </row>
    <row r="568" spans="1:12" x14ac:dyDescent="0.35">
      <c r="A568">
        <v>2025</v>
      </c>
      <c r="B568">
        <v>2</v>
      </c>
      <c r="C568" t="s">
        <v>63</v>
      </c>
      <c r="D568" t="s">
        <v>85</v>
      </c>
      <c r="E568" t="s">
        <v>86</v>
      </c>
      <c r="F568">
        <v>1049</v>
      </c>
      <c r="G568">
        <v>509199</v>
      </c>
      <c r="H568">
        <v>487593</v>
      </c>
      <c r="I568">
        <v>302836</v>
      </c>
      <c r="J568">
        <v>735411</v>
      </c>
      <c r="K568">
        <v>417540</v>
      </c>
      <c r="L568">
        <v>610804</v>
      </c>
    </row>
    <row r="569" spans="1:12" x14ac:dyDescent="0.35">
      <c r="A569">
        <v>2025</v>
      </c>
      <c r="B569">
        <v>2</v>
      </c>
      <c r="C569" t="s">
        <v>63</v>
      </c>
      <c r="D569" t="s">
        <v>87</v>
      </c>
      <c r="E569" t="s">
        <v>88</v>
      </c>
      <c r="F569">
        <v>4</v>
      </c>
      <c r="G569">
        <v>622930</v>
      </c>
      <c r="H569">
        <v>611302</v>
      </c>
      <c r="I569">
        <v>589579</v>
      </c>
      <c r="J569">
        <v>679536</v>
      </c>
      <c r="K569">
        <v>598205</v>
      </c>
      <c r="L569">
        <v>624400</v>
      </c>
    </row>
    <row r="570" spans="1:12" x14ac:dyDescent="0.35">
      <c r="A570">
        <v>2025</v>
      </c>
      <c r="B570">
        <v>2</v>
      </c>
      <c r="C570" t="s">
        <v>63</v>
      </c>
      <c r="D570" t="s">
        <v>89</v>
      </c>
      <c r="E570" t="s">
        <v>90</v>
      </c>
      <c r="F570">
        <v>806</v>
      </c>
      <c r="G570">
        <v>483630</v>
      </c>
      <c r="H570">
        <v>448020</v>
      </c>
      <c r="I570">
        <v>302836</v>
      </c>
      <c r="J570">
        <v>748416</v>
      </c>
      <c r="K570">
        <v>385322</v>
      </c>
      <c r="L570">
        <v>592420</v>
      </c>
    </row>
    <row r="571" spans="1:12" x14ac:dyDescent="0.35">
      <c r="A571">
        <v>2025</v>
      </c>
      <c r="B571">
        <v>2</v>
      </c>
      <c r="C571" t="s">
        <v>63</v>
      </c>
      <c r="D571" t="s">
        <v>91</v>
      </c>
      <c r="E571" t="s">
        <v>92</v>
      </c>
      <c r="F571">
        <v>141</v>
      </c>
      <c r="G571">
        <v>363705</v>
      </c>
      <c r="H571">
        <v>342366</v>
      </c>
      <c r="I571">
        <v>302836</v>
      </c>
      <c r="J571">
        <v>646900</v>
      </c>
      <c r="K571">
        <v>330286</v>
      </c>
      <c r="L571">
        <v>363155</v>
      </c>
    </row>
    <row r="572" spans="1:12" x14ac:dyDescent="0.35">
      <c r="A572">
        <v>2025</v>
      </c>
      <c r="B572">
        <v>2</v>
      </c>
      <c r="C572" t="s">
        <v>63</v>
      </c>
      <c r="D572" t="s">
        <v>93</v>
      </c>
      <c r="E572" t="s">
        <v>94</v>
      </c>
      <c r="F572">
        <v>29</v>
      </c>
      <c r="G572">
        <v>371676</v>
      </c>
      <c r="H572">
        <v>340237</v>
      </c>
      <c r="I572">
        <v>297836</v>
      </c>
      <c r="J572">
        <v>632456</v>
      </c>
      <c r="K572">
        <v>330655</v>
      </c>
      <c r="L572">
        <v>401991</v>
      </c>
    </row>
    <row r="573" spans="1:12" x14ac:dyDescent="0.35">
      <c r="A573">
        <v>2025</v>
      </c>
      <c r="B573">
        <v>2</v>
      </c>
      <c r="C573" t="s">
        <v>63</v>
      </c>
      <c r="D573" t="s">
        <v>95</v>
      </c>
      <c r="E573" t="s">
        <v>96</v>
      </c>
      <c r="F573">
        <v>17</v>
      </c>
      <c r="G573">
        <v>397198</v>
      </c>
      <c r="H573">
        <v>355655</v>
      </c>
      <c r="I573">
        <v>310336</v>
      </c>
      <c r="J573">
        <v>610939</v>
      </c>
      <c r="K573">
        <v>325655</v>
      </c>
      <c r="L573">
        <v>414485</v>
      </c>
    </row>
    <row r="574" spans="1:12" x14ac:dyDescent="0.35">
      <c r="A574">
        <v>2025</v>
      </c>
      <c r="B574">
        <v>2</v>
      </c>
      <c r="C574" t="s">
        <v>63</v>
      </c>
      <c r="D574" t="s">
        <v>97</v>
      </c>
      <c r="E574" t="s">
        <v>98</v>
      </c>
      <c r="F574">
        <v>261</v>
      </c>
      <c r="G574">
        <v>409647</v>
      </c>
      <c r="H574">
        <v>365322</v>
      </c>
      <c r="I574">
        <v>302836</v>
      </c>
      <c r="J574">
        <v>695189</v>
      </c>
      <c r="K574">
        <v>342366</v>
      </c>
      <c r="L574">
        <v>425040</v>
      </c>
    </row>
    <row r="575" spans="1:12" x14ac:dyDescent="0.35">
      <c r="A575">
        <v>2025</v>
      </c>
      <c r="B575">
        <v>2</v>
      </c>
      <c r="C575" t="s">
        <v>63</v>
      </c>
      <c r="D575" t="s">
        <v>99</v>
      </c>
      <c r="E575" t="s">
        <v>100</v>
      </c>
      <c r="F575">
        <v>424</v>
      </c>
      <c r="G575">
        <v>452318</v>
      </c>
      <c r="H575">
        <v>435345</v>
      </c>
      <c r="I575">
        <v>302836</v>
      </c>
      <c r="J575">
        <v>731760</v>
      </c>
      <c r="K575">
        <v>399485</v>
      </c>
      <c r="L575">
        <v>502850</v>
      </c>
    </row>
    <row r="576" spans="1:12" x14ac:dyDescent="0.35">
      <c r="A576">
        <v>2025</v>
      </c>
      <c r="B576">
        <v>2</v>
      </c>
      <c r="C576" t="s">
        <v>63</v>
      </c>
      <c r="D576" t="s">
        <v>101</v>
      </c>
      <c r="E576" t="s">
        <v>102</v>
      </c>
      <c r="F576">
        <v>12</v>
      </c>
      <c r="G576">
        <v>550981</v>
      </c>
      <c r="H576">
        <v>597491</v>
      </c>
      <c r="I576">
        <v>330286</v>
      </c>
      <c r="J576">
        <v>675324</v>
      </c>
      <c r="K576">
        <v>513082</v>
      </c>
      <c r="L576">
        <v>628944</v>
      </c>
    </row>
    <row r="577" spans="1:12" x14ac:dyDescent="0.35">
      <c r="A577">
        <v>2025</v>
      </c>
      <c r="B577">
        <v>2</v>
      </c>
      <c r="C577" t="s">
        <v>63</v>
      </c>
      <c r="D577" t="s">
        <v>103</v>
      </c>
      <c r="E577" t="s">
        <v>104</v>
      </c>
      <c r="F577">
        <v>9</v>
      </c>
      <c r="G577">
        <v>355199</v>
      </c>
      <c r="H577">
        <v>332786</v>
      </c>
      <c r="I577">
        <v>313573</v>
      </c>
      <c r="J577">
        <v>450495</v>
      </c>
      <c r="K577">
        <v>321073</v>
      </c>
      <c r="L577">
        <v>372366</v>
      </c>
    </row>
    <row r="578" spans="1:12" x14ac:dyDescent="0.35">
      <c r="A578">
        <v>2025</v>
      </c>
      <c r="B578">
        <v>2</v>
      </c>
      <c r="C578" t="s">
        <v>63</v>
      </c>
      <c r="D578" t="s">
        <v>105</v>
      </c>
      <c r="E578" t="s">
        <v>106</v>
      </c>
      <c r="F578">
        <v>37</v>
      </c>
      <c r="G578">
        <v>445711</v>
      </c>
      <c r="H578">
        <v>403902</v>
      </c>
      <c r="I578">
        <v>313573</v>
      </c>
      <c r="J578">
        <v>712276</v>
      </c>
      <c r="K578">
        <v>349866</v>
      </c>
      <c r="L578">
        <v>535903</v>
      </c>
    </row>
    <row r="579" spans="1:12" x14ac:dyDescent="0.35">
      <c r="A579">
        <v>2025</v>
      </c>
      <c r="B579">
        <v>2</v>
      </c>
      <c r="C579" t="s">
        <v>63</v>
      </c>
      <c r="D579" t="s">
        <v>107</v>
      </c>
      <c r="E579" t="s">
        <v>108</v>
      </c>
      <c r="F579">
        <v>6</v>
      </c>
      <c r="G579">
        <v>342761</v>
      </c>
      <c r="H579">
        <v>336326</v>
      </c>
      <c r="I579">
        <v>330286</v>
      </c>
      <c r="J579">
        <v>373474</v>
      </c>
      <c r="K579">
        <v>330286</v>
      </c>
      <c r="L579">
        <v>349866</v>
      </c>
    </row>
    <row r="580" spans="1:12" x14ac:dyDescent="0.35">
      <c r="A580">
        <v>2025</v>
      </c>
      <c r="B580">
        <v>2</v>
      </c>
      <c r="C580" t="s">
        <v>63</v>
      </c>
      <c r="D580" t="s">
        <v>109</v>
      </c>
      <c r="E580" t="s">
        <v>110</v>
      </c>
      <c r="F580">
        <v>5004</v>
      </c>
      <c r="G580">
        <v>553720</v>
      </c>
      <c r="H580">
        <v>519658</v>
      </c>
      <c r="I580">
        <v>407405</v>
      </c>
      <c r="J580">
        <v>854240</v>
      </c>
      <c r="K580">
        <v>444485</v>
      </c>
      <c r="L580">
        <v>673058</v>
      </c>
    </row>
    <row r="581" spans="1:12" x14ac:dyDescent="0.35">
      <c r="A581">
        <v>2025</v>
      </c>
      <c r="B581">
        <v>2</v>
      </c>
      <c r="C581" t="s">
        <v>63</v>
      </c>
      <c r="D581" t="s">
        <v>111</v>
      </c>
      <c r="E581" t="s">
        <v>112</v>
      </c>
      <c r="F581">
        <v>14358</v>
      </c>
      <c r="G581">
        <v>340523</v>
      </c>
      <c r="H581">
        <v>321442</v>
      </c>
      <c r="I581">
        <v>234373</v>
      </c>
      <c r="J581">
        <v>684871</v>
      </c>
      <c r="K581">
        <v>288252</v>
      </c>
      <c r="L581">
        <v>365544</v>
      </c>
    </row>
    <row r="582" spans="1:12" x14ac:dyDescent="0.35">
      <c r="A582">
        <v>2025</v>
      </c>
      <c r="B582">
        <v>2</v>
      </c>
      <c r="C582" t="s">
        <v>63</v>
      </c>
      <c r="D582" t="s">
        <v>113</v>
      </c>
      <c r="E582" t="s">
        <v>114</v>
      </c>
      <c r="F582">
        <v>7957</v>
      </c>
      <c r="G582">
        <v>322428</v>
      </c>
      <c r="H582">
        <v>308942</v>
      </c>
      <c r="I582">
        <v>260064</v>
      </c>
      <c r="J582">
        <v>592103</v>
      </c>
      <c r="K582">
        <v>285752</v>
      </c>
      <c r="L582">
        <v>345052</v>
      </c>
    </row>
    <row r="583" spans="1:12" x14ac:dyDescent="0.35">
      <c r="A583">
        <v>2025</v>
      </c>
      <c r="B583">
        <v>2</v>
      </c>
      <c r="C583" t="s">
        <v>63</v>
      </c>
      <c r="D583" t="s">
        <v>115</v>
      </c>
      <c r="E583" t="s">
        <v>116</v>
      </c>
      <c r="F583">
        <v>86</v>
      </c>
      <c r="G583">
        <v>583297</v>
      </c>
      <c r="H583">
        <v>560230</v>
      </c>
      <c r="I583">
        <v>407405</v>
      </c>
      <c r="J583">
        <v>825535</v>
      </c>
      <c r="K583">
        <v>472441</v>
      </c>
      <c r="L583">
        <v>700175</v>
      </c>
    </row>
    <row r="584" spans="1:12" x14ac:dyDescent="0.35">
      <c r="A584">
        <v>2025</v>
      </c>
      <c r="B584">
        <v>2</v>
      </c>
      <c r="C584" t="s">
        <v>63</v>
      </c>
      <c r="D584" t="s">
        <v>117</v>
      </c>
      <c r="E584" t="s">
        <v>118</v>
      </c>
      <c r="F584">
        <v>404</v>
      </c>
      <c r="G584">
        <v>581401</v>
      </c>
      <c r="H584">
        <v>557588</v>
      </c>
      <c r="I584">
        <v>407405</v>
      </c>
      <c r="J584">
        <v>856740</v>
      </c>
      <c r="K584">
        <v>453094</v>
      </c>
      <c r="L584">
        <v>699487</v>
      </c>
    </row>
    <row r="585" spans="1:12" x14ac:dyDescent="0.35">
      <c r="A585">
        <v>2025</v>
      </c>
      <c r="B585">
        <v>2</v>
      </c>
      <c r="C585" t="s">
        <v>63</v>
      </c>
      <c r="D585" t="s">
        <v>119</v>
      </c>
      <c r="E585" t="s">
        <v>120</v>
      </c>
      <c r="F585">
        <v>990</v>
      </c>
      <c r="G585">
        <v>501053</v>
      </c>
      <c r="H585">
        <v>472441</v>
      </c>
      <c r="I585">
        <v>407405</v>
      </c>
      <c r="J585">
        <v>790885</v>
      </c>
      <c r="K585">
        <v>435594</v>
      </c>
      <c r="L585">
        <v>537663</v>
      </c>
    </row>
    <row r="586" spans="1:12" x14ac:dyDescent="0.35">
      <c r="A586">
        <v>2025</v>
      </c>
      <c r="B586">
        <v>2</v>
      </c>
      <c r="C586" t="s">
        <v>63</v>
      </c>
      <c r="D586" t="s">
        <v>121</v>
      </c>
      <c r="E586" t="s">
        <v>122</v>
      </c>
      <c r="F586">
        <v>512</v>
      </c>
      <c r="G586">
        <v>450259</v>
      </c>
      <c r="H586">
        <v>444436</v>
      </c>
      <c r="I586">
        <v>320655</v>
      </c>
      <c r="J586">
        <v>690140</v>
      </c>
      <c r="K586">
        <v>394485</v>
      </c>
      <c r="L586">
        <v>502848</v>
      </c>
    </row>
    <row r="587" spans="1:12" x14ac:dyDescent="0.35">
      <c r="A587">
        <v>2025</v>
      </c>
      <c r="B587">
        <v>2</v>
      </c>
      <c r="C587" t="s">
        <v>63</v>
      </c>
      <c r="D587" t="s">
        <v>123</v>
      </c>
      <c r="E587" t="s">
        <v>124</v>
      </c>
      <c r="F587">
        <v>1</v>
      </c>
      <c r="G587">
        <v>318942</v>
      </c>
      <c r="H587">
        <v>318942</v>
      </c>
      <c r="I587">
        <v>318942</v>
      </c>
      <c r="J587">
        <v>318942</v>
      </c>
      <c r="K587">
        <v>318942</v>
      </c>
      <c r="L587">
        <v>318942</v>
      </c>
    </row>
    <row r="588" spans="1:12" x14ac:dyDescent="0.35">
      <c r="A588">
        <v>2025</v>
      </c>
      <c r="B588">
        <v>2</v>
      </c>
      <c r="C588" t="s">
        <v>63</v>
      </c>
      <c r="D588" t="s">
        <v>125</v>
      </c>
      <c r="E588" t="s">
        <v>126</v>
      </c>
      <c r="F588">
        <v>194</v>
      </c>
      <c r="G588">
        <v>429514</v>
      </c>
      <c r="H588">
        <v>365974</v>
      </c>
      <c r="I588">
        <v>325286</v>
      </c>
      <c r="J588">
        <v>680189</v>
      </c>
      <c r="K588">
        <v>353474</v>
      </c>
      <c r="L588">
        <v>535903</v>
      </c>
    </row>
    <row r="589" spans="1:12" x14ac:dyDescent="0.35">
      <c r="A589">
        <v>2025</v>
      </c>
      <c r="B589">
        <v>2</v>
      </c>
      <c r="C589" t="s">
        <v>63</v>
      </c>
      <c r="D589" t="s">
        <v>127</v>
      </c>
      <c r="E589" t="s">
        <v>128</v>
      </c>
      <c r="F589">
        <v>5665</v>
      </c>
      <c r="G589">
        <v>895513</v>
      </c>
      <c r="H589">
        <v>845116</v>
      </c>
      <c r="I589">
        <v>656667</v>
      </c>
      <c r="J589">
        <v>1504153</v>
      </c>
      <c r="K589">
        <v>723145</v>
      </c>
      <c r="L589">
        <v>1028233</v>
      </c>
    </row>
    <row r="590" spans="1:12" x14ac:dyDescent="0.35">
      <c r="A590">
        <v>2025</v>
      </c>
      <c r="B590">
        <v>2</v>
      </c>
      <c r="C590" t="s">
        <v>63</v>
      </c>
      <c r="D590" t="s">
        <v>129</v>
      </c>
      <c r="E590" t="s">
        <v>130</v>
      </c>
      <c r="F590">
        <v>328</v>
      </c>
      <c r="G590">
        <v>513359</v>
      </c>
      <c r="H590">
        <v>510965</v>
      </c>
      <c r="I590">
        <v>342134</v>
      </c>
      <c r="J590">
        <v>750448</v>
      </c>
      <c r="K590">
        <v>433779</v>
      </c>
      <c r="L590">
        <v>605237</v>
      </c>
    </row>
    <row r="591" spans="1:12" x14ac:dyDescent="0.35">
      <c r="A591">
        <v>2025</v>
      </c>
      <c r="B591">
        <v>2</v>
      </c>
      <c r="C591" t="s">
        <v>63</v>
      </c>
      <c r="D591" t="s">
        <v>131</v>
      </c>
      <c r="E591" t="s">
        <v>132</v>
      </c>
      <c r="F591">
        <v>35765</v>
      </c>
      <c r="G591">
        <v>533398</v>
      </c>
      <c r="H591">
        <v>505903</v>
      </c>
      <c r="I591">
        <v>333389</v>
      </c>
      <c r="J591">
        <v>887702</v>
      </c>
      <c r="K591">
        <v>444573</v>
      </c>
      <c r="L591">
        <v>607467</v>
      </c>
    </row>
    <row r="592" spans="1:12" x14ac:dyDescent="0.35">
      <c r="A592">
        <v>2025</v>
      </c>
      <c r="B592">
        <v>2</v>
      </c>
      <c r="C592" t="s">
        <v>63</v>
      </c>
      <c r="D592" t="s">
        <v>133</v>
      </c>
      <c r="E592" t="s">
        <v>134</v>
      </c>
      <c r="F592">
        <v>87309</v>
      </c>
      <c r="G592">
        <v>395556</v>
      </c>
      <c r="H592">
        <v>405040</v>
      </c>
      <c r="I592">
        <v>266776</v>
      </c>
      <c r="J592">
        <v>584647</v>
      </c>
      <c r="K592">
        <v>306725</v>
      </c>
      <c r="L592">
        <v>448044</v>
      </c>
    </row>
    <row r="593" spans="1:12" x14ac:dyDescent="0.35">
      <c r="A593">
        <v>2025</v>
      </c>
      <c r="B593">
        <v>2</v>
      </c>
      <c r="C593" t="s">
        <v>63</v>
      </c>
      <c r="D593" t="s">
        <v>135</v>
      </c>
      <c r="E593" t="s">
        <v>136</v>
      </c>
      <c r="F593">
        <v>21100</v>
      </c>
      <c r="G593">
        <v>711147</v>
      </c>
      <c r="H593">
        <v>694330</v>
      </c>
      <c r="I593">
        <v>398882</v>
      </c>
      <c r="J593">
        <v>1072736</v>
      </c>
      <c r="K593">
        <v>635237</v>
      </c>
      <c r="L593">
        <v>820478</v>
      </c>
    </row>
    <row r="594" spans="1:12" x14ac:dyDescent="0.35">
      <c r="A594">
        <v>2025</v>
      </c>
      <c r="B594">
        <v>2</v>
      </c>
      <c r="C594" t="s">
        <v>63</v>
      </c>
      <c r="D594" t="s">
        <v>137</v>
      </c>
      <c r="E594" t="s">
        <v>138</v>
      </c>
      <c r="F594">
        <v>11414</v>
      </c>
      <c r="G594">
        <v>455642</v>
      </c>
      <c r="H594">
        <v>441937</v>
      </c>
      <c r="I594">
        <v>262563</v>
      </c>
      <c r="J594">
        <v>858545</v>
      </c>
      <c r="K594">
        <v>365926</v>
      </c>
      <c r="L594">
        <v>518403</v>
      </c>
    </row>
    <row r="595" spans="1:12" x14ac:dyDescent="0.35">
      <c r="A595">
        <v>2025</v>
      </c>
      <c r="B595">
        <v>2</v>
      </c>
      <c r="C595" t="s">
        <v>63</v>
      </c>
      <c r="D595" t="s">
        <v>139</v>
      </c>
      <c r="E595" t="s">
        <v>140</v>
      </c>
      <c r="F595">
        <v>29</v>
      </c>
      <c r="G595">
        <v>625666</v>
      </c>
      <c r="H595">
        <v>630237</v>
      </c>
      <c r="I595">
        <v>518403</v>
      </c>
      <c r="J595">
        <v>741187</v>
      </c>
      <c r="K595">
        <v>607737</v>
      </c>
      <c r="L595">
        <v>642737</v>
      </c>
    </row>
    <row r="596" spans="1:12" x14ac:dyDescent="0.35">
      <c r="A596">
        <v>2025</v>
      </c>
      <c r="B596">
        <v>2</v>
      </c>
      <c r="C596" t="s">
        <v>63</v>
      </c>
      <c r="D596" t="s">
        <v>141</v>
      </c>
      <c r="E596" t="s">
        <v>142</v>
      </c>
      <c r="F596">
        <v>858</v>
      </c>
      <c r="G596">
        <v>515232</v>
      </c>
      <c r="H596">
        <v>506229</v>
      </c>
      <c r="I596">
        <v>342134</v>
      </c>
      <c r="J596">
        <v>775809</v>
      </c>
      <c r="K596">
        <v>446838</v>
      </c>
      <c r="L596">
        <v>563305</v>
      </c>
    </row>
    <row r="597" spans="1:12" x14ac:dyDescent="0.35">
      <c r="A597">
        <v>2025</v>
      </c>
      <c r="B597">
        <v>2</v>
      </c>
      <c r="C597" t="s">
        <v>63</v>
      </c>
      <c r="D597" t="s">
        <v>143</v>
      </c>
      <c r="E597" t="s">
        <v>144</v>
      </c>
      <c r="F597">
        <v>4885</v>
      </c>
      <c r="G597">
        <v>287492</v>
      </c>
      <c r="H597">
        <v>281824</v>
      </c>
      <c r="I597">
        <v>229743</v>
      </c>
      <c r="J597">
        <v>456283</v>
      </c>
      <c r="K597">
        <v>265064</v>
      </c>
      <c r="L597">
        <v>304176</v>
      </c>
    </row>
    <row r="598" spans="1:12" x14ac:dyDescent="0.35">
      <c r="A598">
        <v>2025</v>
      </c>
      <c r="B598">
        <v>2</v>
      </c>
      <c r="C598" t="s">
        <v>63</v>
      </c>
      <c r="D598" t="s">
        <v>145</v>
      </c>
      <c r="E598" t="s">
        <v>146</v>
      </c>
      <c r="F598">
        <v>117</v>
      </c>
      <c r="G598">
        <v>450046</v>
      </c>
      <c r="H598">
        <v>459589</v>
      </c>
      <c r="I598">
        <v>341075</v>
      </c>
      <c r="J598">
        <v>598512</v>
      </c>
      <c r="K598">
        <v>427824</v>
      </c>
      <c r="L598">
        <v>478632</v>
      </c>
    </row>
    <row r="599" spans="1:12" x14ac:dyDescent="0.35">
      <c r="A599">
        <v>2025</v>
      </c>
      <c r="B599">
        <v>2</v>
      </c>
      <c r="C599" t="s">
        <v>63</v>
      </c>
      <c r="D599" t="s">
        <v>147</v>
      </c>
      <c r="E599" t="s">
        <v>148</v>
      </c>
      <c r="F599">
        <v>93</v>
      </c>
      <c r="G599">
        <v>345744</v>
      </c>
      <c r="H599">
        <v>320336</v>
      </c>
      <c r="I599">
        <v>297836</v>
      </c>
      <c r="J599">
        <v>463824</v>
      </c>
      <c r="K599">
        <v>302836</v>
      </c>
      <c r="L599">
        <v>397822</v>
      </c>
    </row>
    <row r="600" spans="1:12" x14ac:dyDescent="0.35">
      <c r="A600">
        <v>2025</v>
      </c>
      <c r="B600">
        <v>2</v>
      </c>
      <c r="C600" t="s">
        <v>63</v>
      </c>
      <c r="D600" t="s">
        <v>149</v>
      </c>
      <c r="E600" t="s">
        <v>150</v>
      </c>
      <c r="F600">
        <v>1882</v>
      </c>
      <c r="G600">
        <v>403354</v>
      </c>
      <c r="H600">
        <v>367642</v>
      </c>
      <c r="I600">
        <v>297836</v>
      </c>
      <c r="J600">
        <v>779645</v>
      </c>
      <c r="K600">
        <v>342366</v>
      </c>
      <c r="L600">
        <v>430368</v>
      </c>
    </row>
    <row r="601" spans="1:12" x14ac:dyDescent="0.35">
      <c r="A601">
        <v>2025</v>
      </c>
      <c r="B601">
        <v>2</v>
      </c>
      <c r="C601" t="s">
        <v>63</v>
      </c>
      <c r="D601" t="s">
        <v>151</v>
      </c>
      <c r="E601" t="s">
        <v>152</v>
      </c>
      <c r="F601">
        <v>680</v>
      </c>
      <c r="G601">
        <v>1079671</v>
      </c>
      <c r="H601">
        <v>1055975</v>
      </c>
      <c r="I601">
        <v>690287</v>
      </c>
      <c r="J601">
        <v>1528451</v>
      </c>
      <c r="K601">
        <v>959601</v>
      </c>
      <c r="L601">
        <v>1196241</v>
      </c>
    </row>
    <row r="602" spans="1:12" x14ac:dyDescent="0.35">
      <c r="A602">
        <v>2025</v>
      </c>
      <c r="B602">
        <v>2</v>
      </c>
      <c r="C602" t="s">
        <v>63</v>
      </c>
      <c r="D602" t="s">
        <v>153</v>
      </c>
      <c r="E602" t="s">
        <v>154</v>
      </c>
      <c r="F602">
        <v>149</v>
      </c>
      <c r="G602">
        <v>641976</v>
      </c>
      <c r="H602">
        <v>648897</v>
      </c>
      <c r="I602">
        <v>416061</v>
      </c>
      <c r="J602">
        <v>817666</v>
      </c>
      <c r="K602">
        <v>552480</v>
      </c>
      <c r="L602">
        <v>738280</v>
      </c>
    </row>
    <row r="603" spans="1:12" x14ac:dyDescent="0.35">
      <c r="A603">
        <v>2025</v>
      </c>
      <c r="B603">
        <v>2</v>
      </c>
      <c r="C603" t="s">
        <v>63</v>
      </c>
      <c r="D603" t="s">
        <v>155</v>
      </c>
      <c r="E603" t="s">
        <v>156</v>
      </c>
      <c r="F603">
        <v>998</v>
      </c>
      <c r="G603">
        <v>398130</v>
      </c>
      <c r="H603">
        <v>374558</v>
      </c>
      <c r="I603">
        <v>262564</v>
      </c>
      <c r="J603">
        <v>715264</v>
      </c>
      <c r="K603">
        <v>320519</v>
      </c>
      <c r="L603">
        <v>431985</v>
      </c>
    </row>
    <row r="604" spans="1:12" x14ac:dyDescent="0.35">
      <c r="A604">
        <v>2025</v>
      </c>
      <c r="B604">
        <v>2</v>
      </c>
      <c r="C604" t="s">
        <v>63</v>
      </c>
      <c r="D604" t="s">
        <v>157</v>
      </c>
      <c r="E604" t="s">
        <v>158</v>
      </c>
      <c r="F604">
        <v>177</v>
      </c>
      <c r="G604">
        <v>477390</v>
      </c>
      <c r="H604">
        <v>443046</v>
      </c>
      <c r="I604">
        <v>330286</v>
      </c>
      <c r="J604">
        <v>707824</v>
      </c>
      <c r="K604">
        <v>387822</v>
      </c>
      <c r="L604">
        <v>563304</v>
      </c>
    </row>
    <row r="605" spans="1:12" x14ac:dyDescent="0.35">
      <c r="A605">
        <v>2025</v>
      </c>
      <c r="B605">
        <v>2</v>
      </c>
      <c r="C605" t="s">
        <v>63</v>
      </c>
      <c r="D605" t="s">
        <v>159</v>
      </c>
      <c r="E605" t="s">
        <v>160</v>
      </c>
      <c r="F605">
        <v>400</v>
      </c>
      <c r="G605">
        <v>447548</v>
      </c>
      <c r="H605">
        <v>433044</v>
      </c>
      <c r="I605">
        <v>302836</v>
      </c>
      <c r="J605">
        <v>721569</v>
      </c>
      <c r="K605">
        <v>373292</v>
      </c>
      <c r="L605">
        <v>482995</v>
      </c>
    </row>
    <row r="606" spans="1:12" x14ac:dyDescent="0.35">
      <c r="A606">
        <v>2025</v>
      </c>
      <c r="B606">
        <v>2</v>
      </c>
      <c r="C606" t="s">
        <v>63</v>
      </c>
      <c r="D606" t="s">
        <v>161</v>
      </c>
      <c r="E606" t="s">
        <v>162</v>
      </c>
      <c r="F606">
        <v>123</v>
      </c>
      <c r="G606">
        <v>473456</v>
      </c>
      <c r="H606">
        <v>443044</v>
      </c>
      <c r="I606">
        <v>313573</v>
      </c>
      <c r="J606">
        <v>720426</v>
      </c>
      <c r="K606">
        <v>368290</v>
      </c>
      <c r="L606">
        <v>561040</v>
      </c>
    </row>
    <row r="607" spans="1:12" x14ac:dyDescent="0.35">
      <c r="A607">
        <v>2025</v>
      </c>
      <c r="B607">
        <v>3</v>
      </c>
      <c r="C607" t="s">
        <v>66</v>
      </c>
      <c r="D607" t="s">
        <v>77</v>
      </c>
      <c r="E607" t="s">
        <v>78</v>
      </c>
      <c r="F607">
        <v>4</v>
      </c>
      <c r="G607">
        <v>414079</v>
      </c>
      <c r="H607">
        <v>380046</v>
      </c>
      <c r="I607">
        <v>325655</v>
      </c>
      <c r="J607">
        <v>570570</v>
      </c>
      <c r="K607">
        <v>325655</v>
      </c>
      <c r="L607">
        <v>434436</v>
      </c>
    </row>
    <row r="608" spans="1:12" x14ac:dyDescent="0.35">
      <c r="A608">
        <v>2025</v>
      </c>
      <c r="B608">
        <v>3</v>
      </c>
      <c r="C608" t="s">
        <v>66</v>
      </c>
      <c r="D608" t="s">
        <v>79</v>
      </c>
      <c r="E608" t="s">
        <v>80</v>
      </c>
      <c r="F608">
        <v>166</v>
      </c>
      <c r="G608">
        <v>454190</v>
      </c>
      <c r="H608">
        <v>417540</v>
      </c>
      <c r="I608">
        <v>302836</v>
      </c>
      <c r="J608">
        <v>715324</v>
      </c>
      <c r="K608">
        <v>349866</v>
      </c>
      <c r="L608">
        <v>554992</v>
      </c>
    </row>
    <row r="609" spans="1:12" x14ac:dyDescent="0.35">
      <c r="A609">
        <v>2025</v>
      </c>
      <c r="B609">
        <v>3</v>
      </c>
      <c r="C609" t="s">
        <v>66</v>
      </c>
      <c r="D609" t="s">
        <v>81</v>
      </c>
      <c r="E609" t="s">
        <v>82</v>
      </c>
      <c r="F609">
        <v>11</v>
      </c>
      <c r="G609">
        <v>639751</v>
      </c>
      <c r="H609">
        <v>649081</v>
      </c>
      <c r="I609">
        <v>541690</v>
      </c>
      <c r="J609">
        <v>700879</v>
      </c>
      <c r="K609">
        <v>641581</v>
      </c>
      <c r="L609">
        <v>665879</v>
      </c>
    </row>
    <row r="610" spans="1:12" x14ac:dyDescent="0.35">
      <c r="A610">
        <v>2025</v>
      </c>
      <c r="B610">
        <v>3</v>
      </c>
      <c r="C610" t="s">
        <v>66</v>
      </c>
      <c r="D610" t="s">
        <v>83</v>
      </c>
      <c r="E610" t="s">
        <v>84</v>
      </c>
      <c r="F610">
        <v>54</v>
      </c>
      <c r="G610">
        <v>491656</v>
      </c>
      <c r="H610">
        <v>523403</v>
      </c>
      <c r="I610">
        <v>330286</v>
      </c>
      <c r="J610">
        <v>659955</v>
      </c>
      <c r="K610">
        <v>358474</v>
      </c>
      <c r="L610">
        <v>602418</v>
      </c>
    </row>
    <row r="611" spans="1:12" x14ac:dyDescent="0.35">
      <c r="A611">
        <v>2025</v>
      </c>
      <c r="B611">
        <v>3</v>
      </c>
      <c r="C611" t="s">
        <v>66</v>
      </c>
      <c r="D611" t="s">
        <v>85</v>
      </c>
      <c r="E611" t="s">
        <v>86</v>
      </c>
      <c r="F611">
        <v>1054</v>
      </c>
      <c r="G611">
        <v>505772</v>
      </c>
      <c r="H611">
        <v>481750</v>
      </c>
      <c r="I611">
        <v>302836</v>
      </c>
      <c r="J611">
        <v>735411</v>
      </c>
      <c r="K611">
        <v>414485</v>
      </c>
      <c r="L611">
        <v>608944</v>
      </c>
    </row>
    <row r="612" spans="1:12" x14ac:dyDescent="0.35">
      <c r="A612">
        <v>2025</v>
      </c>
      <c r="B612">
        <v>3</v>
      </c>
      <c r="C612" t="s">
        <v>66</v>
      </c>
      <c r="D612" t="s">
        <v>87</v>
      </c>
      <c r="E612" t="s">
        <v>88</v>
      </c>
      <c r="F612">
        <v>4</v>
      </c>
      <c r="G612">
        <v>597371</v>
      </c>
      <c r="H612">
        <v>593852</v>
      </c>
      <c r="I612">
        <v>555804</v>
      </c>
      <c r="J612">
        <v>645977</v>
      </c>
      <c r="K612">
        <v>563304</v>
      </c>
      <c r="L612">
        <v>624400</v>
      </c>
    </row>
    <row r="613" spans="1:12" x14ac:dyDescent="0.35">
      <c r="A613">
        <v>2025</v>
      </c>
      <c r="B613">
        <v>3</v>
      </c>
      <c r="C613" t="s">
        <v>66</v>
      </c>
      <c r="D613" t="s">
        <v>89</v>
      </c>
      <c r="E613" t="s">
        <v>90</v>
      </c>
      <c r="F613">
        <v>809</v>
      </c>
      <c r="G613">
        <v>481913</v>
      </c>
      <c r="H613">
        <v>449436</v>
      </c>
      <c r="I613">
        <v>302836</v>
      </c>
      <c r="J613">
        <v>765885</v>
      </c>
      <c r="K613">
        <v>387822</v>
      </c>
      <c r="L613">
        <v>580570</v>
      </c>
    </row>
    <row r="614" spans="1:12" x14ac:dyDescent="0.35">
      <c r="A614">
        <v>2025</v>
      </c>
      <c r="B614">
        <v>3</v>
      </c>
      <c r="C614" t="s">
        <v>66</v>
      </c>
      <c r="D614" t="s">
        <v>91</v>
      </c>
      <c r="E614" t="s">
        <v>92</v>
      </c>
      <c r="F614">
        <v>146</v>
      </c>
      <c r="G614">
        <v>363459</v>
      </c>
      <c r="H614">
        <v>342366</v>
      </c>
      <c r="I614">
        <v>297836</v>
      </c>
      <c r="J614">
        <v>646900</v>
      </c>
      <c r="K614">
        <v>333155</v>
      </c>
      <c r="L614">
        <v>363155</v>
      </c>
    </row>
    <row r="615" spans="1:12" x14ac:dyDescent="0.35">
      <c r="A615">
        <v>2025</v>
      </c>
      <c r="B615">
        <v>3</v>
      </c>
      <c r="C615" t="s">
        <v>66</v>
      </c>
      <c r="D615" t="s">
        <v>93</v>
      </c>
      <c r="E615" t="s">
        <v>94</v>
      </c>
      <c r="F615">
        <v>29</v>
      </c>
      <c r="G615">
        <v>356639</v>
      </c>
      <c r="H615">
        <v>335655</v>
      </c>
      <c r="I615">
        <v>297836</v>
      </c>
      <c r="J615">
        <v>583439</v>
      </c>
      <c r="K615">
        <v>328155</v>
      </c>
      <c r="L615">
        <v>375324</v>
      </c>
    </row>
    <row r="616" spans="1:12" x14ac:dyDescent="0.35">
      <c r="A616">
        <v>2025</v>
      </c>
      <c r="B616">
        <v>3</v>
      </c>
      <c r="C616" t="s">
        <v>66</v>
      </c>
      <c r="D616" t="s">
        <v>95</v>
      </c>
      <c r="E616" t="s">
        <v>96</v>
      </c>
      <c r="F616">
        <v>16</v>
      </c>
      <c r="G616">
        <v>386021</v>
      </c>
      <c r="H616">
        <v>349010</v>
      </c>
      <c r="I616">
        <v>310336</v>
      </c>
      <c r="J616">
        <v>610939</v>
      </c>
      <c r="K616">
        <v>325655</v>
      </c>
      <c r="L616">
        <v>414485</v>
      </c>
    </row>
    <row r="617" spans="1:12" x14ac:dyDescent="0.35">
      <c r="A617">
        <v>2025</v>
      </c>
      <c r="B617">
        <v>3</v>
      </c>
      <c r="C617" t="s">
        <v>66</v>
      </c>
      <c r="D617" t="s">
        <v>97</v>
      </c>
      <c r="E617" t="s">
        <v>98</v>
      </c>
      <c r="F617">
        <v>261</v>
      </c>
      <c r="G617">
        <v>411581</v>
      </c>
      <c r="H617">
        <v>368290</v>
      </c>
      <c r="I617">
        <v>302836</v>
      </c>
      <c r="J617">
        <v>695189</v>
      </c>
      <c r="K617">
        <v>344866</v>
      </c>
      <c r="L617">
        <v>425081</v>
      </c>
    </row>
    <row r="618" spans="1:12" x14ac:dyDescent="0.35">
      <c r="A618">
        <v>2025</v>
      </c>
      <c r="B618">
        <v>3</v>
      </c>
      <c r="C618" t="s">
        <v>66</v>
      </c>
      <c r="D618" t="s">
        <v>99</v>
      </c>
      <c r="E618" t="s">
        <v>100</v>
      </c>
      <c r="F618">
        <v>427</v>
      </c>
      <c r="G618">
        <v>449235</v>
      </c>
      <c r="H618">
        <v>434436</v>
      </c>
      <c r="I618">
        <v>302836</v>
      </c>
      <c r="J618">
        <v>710411</v>
      </c>
      <c r="K618">
        <v>396985</v>
      </c>
      <c r="L618">
        <v>502848</v>
      </c>
    </row>
    <row r="619" spans="1:12" x14ac:dyDescent="0.35">
      <c r="A619">
        <v>2025</v>
      </c>
      <c r="B619">
        <v>3</v>
      </c>
      <c r="C619" t="s">
        <v>66</v>
      </c>
      <c r="D619" t="s">
        <v>101</v>
      </c>
      <c r="E619" t="s">
        <v>102</v>
      </c>
      <c r="F619">
        <v>11</v>
      </c>
      <c r="G619">
        <v>560295</v>
      </c>
      <c r="H619">
        <v>586038</v>
      </c>
      <c r="I619">
        <v>330286</v>
      </c>
      <c r="J619">
        <v>675324</v>
      </c>
      <c r="K619">
        <v>513082</v>
      </c>
      <c r="L619">
        <v>651444</v>
      </c>
    </row>
    <row r="620" spans="1:12" x14ac:dyDescent="0.35">
      <c r="A620">
        <v>2025</v>
      </c>
      <c r="B620">
        <v>3</v>
      </c>
      <c r="C620" t="s">
        <v>66</v>
      </c>
      <c r="D620" t="s">
        <v>103</v>
      </c>
      <c r="E620" t="s">
        <v>104</v>
      </c>
      <c r="F620">
        <v>9</v>
      </c>
      <c r="G620">
        <v>365587</v>
      </c>
      <c r="H620">
        <v>332786</v>
      </c>
      <c r="I620">
        <v>313573</v>
      </c>
      <c r="J620">
        <v>543983</v>
      </c>
      <c r="K620">
        <v>321073</v>
      </c>
      <c r="L620">
        <v>372366</v>
      </c>
    </row>
    <row r="621" spans="1:12" x14ac:dyDescent="0.35">
      <c r="A621">
        <v>2025</v>
      </c>
      <c r="B621">
        <v>3</v>
      </c>
      <c r="C621" t="s">
        <v>66</v>
      </c>
      <c r="D621" t="s">
        <v>105</v>
      </c>
      <c r="E621" t="s">
        <v>106</v>
      </c>
      <c r="F621">
        <v>38</v>
      </c>
      <c r="G621">
        <v>450159</v>
      </c>
      <c r="H621">
        <v>403235</v>
      </c>
      <c r="I621">
        <v>313573</v>
      </c>
      <c r="J621">
        <v>697640</v>
      </c>
      <c r="K621">
        <v>349866</v>
      </c>
      <c r="L621">
        <v>535903</v>
      </c>
    </row>
    <row r="622" spans="1:12" x14ac:dyDescent="0.35">
      <c r="A622">
        <v>2025</v>
      </c>
      <c r="B622">
        <v>3</v>
      </c>
      <c r="C622" t="s">
        <v>66</v>
      </c>
      <c r="D622" t="s">
        <v>107</v>
      </c>
      <c r="E622" t="s">
        <v>108</v>
      </c>
      <c r="F622">
        <v>7</v>
      </c>
      <c r="G622">
        <v>340979</v>
      </c>
      <c r="H622">
        <v>330286</v>
      </c>
      <c r="I622">
        <v>330286</v>
      </c>
      <c r="J622">
        <v>373474</v>
      </c>
      <c r="K622">
        <v>330286</v>
      </c>
      <c r="L622">
        <v>349866</v>
      </c>
    </row>
    <row r="623" spans="1:12" x14ac:dyDescent="0.35">
      <c r="A623">
        <v>2025</v>
      </c>
      <c r="B623">
        <v>3</v>
      </c>
      <c r="C623" t="s">
        <v>66</v>
      </c>
      <c r="D623" t="s">
        <v>109</v>
      </c>
      <c r="E623" t="s">
        <v>110</v>
      </c>
      <c r="F623">
        <v>5081</v>
      </c>
      <c r="G623">
        <v>549711</v>
      </c>
      <c r="H623">
        <v>524795</v>
      </c>
      <c r="I623">
        <v>407405</v>
      </c>
      <c r="J623">
        <v>858844</v>
      </c>
      <c r="K623">
        <v>440594</v>
      </c>
      <c r="L623">
        <v>663058</v>
      </c>
    </row>
    <row r="624" spans="1:12" x14ac:dyDescent="0.35">
      <c r="A624">
        <v>2025</v>
      </c>
      <c r="B624">
        <v>3</v>
      </c>
      <c r="C624" t="s">
        <v>66</v>
      </c>
      <c r="D624" t="s">
        <v>111</v>
      </c>
      <c r="E624" t="s">
        <v>112</v>
      </c>
      <c r="F624">
        <v>14637</v>
      </c>
      <c r="G624">
        <v>339686</v>
      </c>
      <c r="H624">
        <v>325052</v>
      </c>
      <c r="I624">
        <v>234373</v>
      </c>
      <c r="J624">
        <v>670977</v>
      </c>
      <c r="K624">
        <v>285986</v>
      </c>
      <c r="L624">
        <v>360052</v>
      </c>
    </row>
    <row r="625" spans="1:12" x14ac:dyDescent="0.35">
      <c r="A625">
        <v>2025</v>
      </c>
      <c r="B625">
        <v>3</v>
      </c>
      <c r="C625" t="s">
        <v>66</v>
      </c>
      <c r="D625" t="s">
        <v>113</v>
      </c>
      <c r="E625" t="s">
        <v>114</v>
      </c>
      <c r="F625">
        <v>8092</v>
      </c>
      <c r="G625">
        <v>320806</v>
      </c>
      <c r="H625">
        <v>313372</v>
      </c>
      <c r="I625">
        <v>260064</v>
      </c>
      <c r="J625">
        <v>585804</v>
      </c>
      <c r="K625">
        <v>280986</v>
      </c>
      <c r="L625">
        <v>338474</v>
      </c>
    </row>
    <row r="626" spans="1:12" x14ac:dyDescent="0.35">
      <c r="A626">
        <v>2025</v>
      </c>
      <c r="B626">
        <v>3</v>
      </c>
      <c r="C626" t="s">
        <v>66</v>
      </c>
      <c r="D626" t="s">
        <v>115</v>
      </c>
      <c r="E626" t="s">
        <v>116</v>
      </c>
      <c r="F626">
        <v>89</v>
      </c>
      <c r="G626">
        <v>574072</v>
      </c>
      <c r="H626">
        <v>560163</v>
      </c>
      <c r="I626">
        <v>407405</v>
      </c>
      <c r="J626">
        <v>825535</v>
      </c>
      <c r="K626">
        <v>453649</v>
      </c>
      <c r="L626">
        <v>678058</v>
      </c>
    </row>
    <row r="627" spans="1:12" x14ac:dyDescent="0.35">
      <c r="A627">
        <v>2025</v>
      </c>
      <c r="B627">
        <v>3</v>
      </c>
      <c r="C627" t="s">
        <v>66</v>
      </c>
      <c r="D627" t="s">
        <v>117</v>
      </c>
      <c r="E627" t="s">
        <v>118</v>
      </c>
      <c r="F627">
        <v>407</v>
      </c>
      <c r="G627">
        <v>578970</v>
      </c>
      <c r="H627">
        <v>552798</v>
      </c>
      <c r="I627">
        <v>407405</v>
      </c>
      <c r="J627">
        <v>853004</v>
      </c>
      <c r="K627">
        <v>453095</v>
      </c>
      <c r="L627">
        <v>701064</v>
      </c>
    </row>
    <row r="628" spans="1:12" x14ac:dyDescent="0.35">
      <c r="A628">
        <v>2025</v>
      </c>
      <c r="B628">
        <v>3</v>
      </c>
      <c r="C628" t="s">
        <v>66</v>
      </c>
      <c r="D628" t="s">
        <v>119</v>
      </c>
      <c r="E628" t="s">
        <v>120</v>
      </c>
      <c r="F628">
        <v>1006</v>
      </c>
      <c r="G628">
        <v>498637</v>
      </c>
      <c r="H628">
        <v>472441</v>
      </c>
      <c r="I628">
        <v>407405</v>
      </c>
      <c r="J628">
        <v>788035</v>
      </c>
      <c r="K628">
        <v>435594</v>
      </c>
      <c r="L628">
        <v>535163</v>
      </c>
    </row>
    <row r="629" spans="1:12" x14ac:dyDescent="0.35">
      <c r="A629">
        <v>2025</v>
      </c>
      <c r="B629">
        <v>3</v>
      </c>
      <c r="C629" t="s">
        <v>66</v>
      </c>
      <c r="D629" t="s">
        <v>121</v>
      </c>
      <c r="E629" t="s">
        <v>122</v>
      </c>
      <c r="F629">
        <v>511</v>
      </c>
      <c r="G629">
        <v>451923</v>
      </c>
      <c r="H629">
        <v>446851</v>
      </c>
      <c r="I629">
        <v>320655</v>
      </c>
      <c r="J629">
        <v>690140</v>
      </c>
      <c r="K629">
        <v>399485</v>
      </c>
      <c r="L629">
        <v>505348</v>
      </c>
    </row>
    <row r="630" spans="1:12" x14ac:dyDescent="0.35">
      <c r="A630">
        <v>2025</v>
      </c>
      <c r="B630">
        <v>3</v>
      </c>
      <c r="C630" t="s">
        <v>66</v>
      </c>
      <c r="D630" t="s">
        <v>123</v>
      </c>
      <c r="E630" t="s">
        <v>124</v>
      </c>
      <c r="F630">
        <v>1</v>
      </c>
      <c r="G630">
        <v>318942</v>
      </c>
      <c r="H630">
        <v>318942</v>
      </c>
      <c r="I630">
        <v>318942</v>
      </c>
      <c r="J630">
        <v>318942</v>
      </c>
      <c r="K630">
        <v>318942</v>
      </c>
      <c r="L630">
        <v>318942</v>
      </c>
    </row>
    <row r="631" spans="1:12" x14ac:dyDescent="0.35">
      <c r="A631">
        <v>2025</v>
      </c>
      <c r="B631">
        <v>3</v>
      </c>
      <c r="C631" t="s">
        <v>66</v>
      </c>
      <c r="D631" t="s">
        <v>125</v>
      </c>
      <c r="E631" t="s">
        <v>126</v>
      </c>
      <c r="F631">
        <v>200</v>
      </c>
      <c r="G631">
        <v>427469</v>
      </c>
      <c r="H631">
        <v>365974</v>
      </c>
      <c r="I631">
        <v>325286</v>
      </c>
      <c r="J631">
        <v>691619</v>
      </c>
      <c r="K631">
        <v>353474</v>
      </c>
      <c r="L631">
        <v>543403</v>
      </c>
    </row>
    <row r="632" spans="1:12" x14ac:dyDescent="0.35">
      <c r="A632">
        <v>2025</v>
      </c>
      <c r="B632">
        <v>3</v>
      </c>
      <c r="C632" t="s">
        <v>66</v>
      </c>
      <c r="D632" t="s">
        <v>127</v>
      </c>
      <c r="E632" t="s">
        <v>128</v>
      </c>
      <c r="F632">
        <v>5348</v>
      </c>
      <c r="G632">
        <v>885675</v>
      </c>
      <c r="H632">
        <v>833221</v>
      </c>
      <c r="I632">
        <v>656667</v>
      </c>
      <c r="J632">
        <v>1508539</v>
      </c>
      <c r="K632">
        <v>722123</v>
      </c>
      <c r="L632">
        <v>980646</v>
      </c>
    </row>
    <row r="633" spans="1:12" x14ac:dyDescent="0.35">
      <c r="A633">
        <v>2025</v>
      </c>
      <c r="B633">
        <v>3</v>
      </c>
      <c r="C633" t="s">
        <v>66</v>
      </c>
      <c r="D633" t="s">
        <v>129</v>
      </c>
      <c r="E633" t="s">
        <v>130</v>
      </c>
      <c r="F633">
        <v>325</v>
      </c>
      <c r="G633">
        <v>508029</v>
      </c>
      <c r="H633">
        <v>505532</v>
      </c>
      <c r="I633">
        <v>342132</v>
      </c>
      <c r="J633">
        <v>750448</v>
      </c>
      <c r="K633">
        <v>417540</v>
      </c>
      <c r="L633">
        <v>605237</v>
      </c>
    </row>
    <row r="634" spans="1:12" x14ac:dyDescent="0.35">
      <c r="A634">
        <v>2025</v>
      </c>
      <c r="B634">
        <v>3</v>
      </c>
      <c r="C634" t="s">
        <v>66</v>
      </c>
      <c r="D634" t="s">
        <v>131</v>
      </c>
      <c r="E634" t="s">
        <v>132</v>
      </c>
      <c r="F634">
        <v>36919</v>
      </c>
      <c r="G634">
        <v>525849</v>
      </c>
      <c r="H634">
        <v>496555</v>
      </c>
      <c r="I634">
        <v>333389</v>
      </c>
      <c r="J634">
        <v>887702</v>
      </c>
      <c r="K634">
        <v>442073</v>
      </c>
      <c r="L634">
        <v>590521</v>
      </c>
    </row>
    <row r="635" spans="1:12" x14ac:dyDescent="0.35">
      <c r="A635">
        <v>2025</v>
      </c>
      <c r="B635">
        <v>3</v>
      </c>
      <c r="C635" t="s">
        <v>66</v>
      </c>
      <c r="D635" t="s">
        <v>133</v>
      </c>
      <c r="E635" t="s">
        <v>134</v>
      </c>
      <c r="F635">
        <v>87692</v>
      </c>
      <c r="G635">
        <v>394692</v>
      </c>
      <c r="H635">
        <v>405040</v>
      </c>
      <c r="I635">
        <v>266776</v>
      </c>
      <c r="J635">
        <v>584647</v>
      </c>
      <c r="K635">
        <v>306725</v>
      </c>
      <c r="L635">
        <v>445544</v>
      </c>
    </row>
    <row r="636" spans="1:12" x14ac:dyDescent="0.35">
      <c r="A636">
        <v>2025</v>
      </c>
      <c r="B636">
        <v>3</v>
      </c>
      <c r="C636" t="s">
        <v>66</v>
      </c>
      <c r="D636" t="s">
        <v>135</v>
      </c>
      <c r="E636" t="s">
        <v>136</v>
      </c>
      <c r="F636">
        <v>21209</v>
      </c>
      <c r="G636">
        <v>703374</v>
      </c>
      <c r="H636">
        <v>688933</v>
      </c>
      <c r="I636">
        <v>398882</v>
      </c>
      <c r="J636">
        <v>1072010</v>
      </c>
      <c r="K636">
        <v>632737</v>
      </c>
      <c r="L636">
        <v>808219</v>
      </c>
    </row>
    <row r="637" spans="1:12" x14ac:dyDescent="0.35">
      <c r="A637">
        <v>2025</v>
      </c>
      <c r="B637">
        <v>3</v>
      </c>
      <c r="C637" t="s">
        <v>66</v>
      </c>
      <c r="D637" t="s">
        <v>137</v>
      </c>
      <c r="E637" t="s">
        <v>138</v>
      </c>
      <c r="F637">
        <v>11698</v>
      </c>
      <c r="G637">
        <v>452537</v>
      </c>
      <c r="H637">
        <v>438833</v>
      </c>
      <c r="I637">
        <v>262563</v>
      </c>
      <c r="J637">
        <v>857251</v>
      </c>
      <c r="K637">
        <v>368426</v>
      </c>
      <c r="L637">
        <v>510903</v>
      </c>
    </row>
    <row r="638" spans="1:12" x14ac:dyDescent="0.35">
      <c r="A638">
        <v>2025</v>
      </c>
      <c r="B638">
        <v>3</v>
      </c>
      <c r="C638" t="s">
        <v>66</v>
      </c>
      <c r="D638" t="s">
        <v>139</v>
      </c>
      <c r="E638" t="s">
        <v>140</v>
      </c>
      <c r="F638">
        <v>29</v>
      </c>
      <c r="G638">
        <v>625778</v>
      </c>
      <c r="H638">
        <v>630237</v>
      </c>
      <c r="I638">
        <v>518403</v>
      </c>
      <c r="J638">
        <v>749475</v>
      </c>
      <c r="K638">
        <v>607737</v>
      </c>
      <c r="L638">
        <v>635237</v>
      </c>
    </row>
    <row r="639" spans="1:12" x14ac:dyDescent="0.35">
      <c r="A639">
        <v>2025</v>
      </c>
      <c r="B639">
        <v>3</v>
      </c>
      <c r="C639" t="s">
        <v>66</v>
      </c>
      <c r="D639" t="s">
        <v>141</v>
      </c>
      <c r="E639" t="s">
        <v>142</v>
      </c>
      <c r="F639">
        <v>868</v>
      </c>
      <c r="G639">
        <v>509276</v>
      </c>
      <c r="H639">
        <v>501555</v>
      </c>
      <c r="I639">
        <v>342134</v>
      </c>
      <c r="J639">
        <v>788633</v>
      </c>
      <c r="K639">
        <v>446838</v>
      </c>
      <c r="L639">
        <v>556222</v>
      </c>
    </row>
    <row r="640" spans="1:12" x14ac:dyDescent="0.35">
      <c r="A640">
        <v>2025</v>
      </c>
      <c r="B640">
        <v>3</v>
      </c>
      <c r="C640" t="s">
        <v>66</v>
      </c>
      <c r="D640" t="s">
        <v>143</v>
      </c>
      <c r="E640" t="s">
        <v>144</v>
      </c>
      <c r="F640">
        <v>5002</v>
      </c>
      <c r="G640">
        <v>286760</v>
      </c>
      <c r="H640">
        <v>279127</v>
      </c>
      <c r="I640">
        <v>229743</v>
      </c>
      <c r="J640">
        <v>467812</v>
      </c>
      <c r="K640">
        <v>264324</v>
      </c>
      <c r="L640">
        <v>303019</v>
      </c>
    </row>
    <row r="641" spans="1:12" x14ac:dyDescent="0.35">
      <c r="A641">
        <v>2025</v>
      </c>
      <c r="B641">
        <v>3</v>
      </c>
      <c r="C641" t="s">
        <v>66</v>
      </c>
      <c r="D641" t="s">
        <v>145</v>
      </c>
      <c r="E641" t="s">
        <v>146</v>
      </c>
      <c r="F641">
        <v>121</v>
      </c>
      <c r="G641">
        <v>446857</v>
      </c>
      <c r="H641">
        <v>451985</v>
      </c>
      <c r="I641">
        <v>341073</v>
      </c>
      <c r="J641">
        <v>590804</v>
      </c>
      <c r="K641">
        <v>420324</v>
      </c>
      <c r="L641">
        <v>476936</v>
      </c>
    </row>
    <row r="642" spans="1:12" x14ac:dyDescent="0.35">
      <c r="A642">
        <v>2025</v>
      </c>
      <c r="B642">
        <v>3</v>
      </c>
      <c r="C642" t="s">
        <v>66</v>
      </c>
      <c r="D642" t="s">
        <v>147</v>
      </c>
      <c r="E642" t="s">
        <v>148</v>
      </c>
      <c r="F642">
        <v>102</v>
      </c>
      <c r="G642">
        <v>342426</v>
      </c>
      <c r="H642">
        <v>320598</v>
      </c>
      <c r="I642">
        <v>297836</v>
      </c>
      <c r="J642">
        <v>463784</v>
      </c>
      <c r="K642">
        <v>302836</v>
      </c>
      <c r="L642">
        <v>375322</v>
      </c>
    </row>
    <row r="643" spans="1:12" x14ac:dyDescent="0.35">
      <c r="A643">
        <v>2025</v>
      </c>
      <c r="B643">
        <v>3</v>
      </c>
      <c r="C643" t="s">
        <v>66</v>
      </c>
      <c r="D643" t="s">
        <v>149</v>
      </c>
      <c r="E643" t="s">
        <v>150</v>
      </c>
      <c r="F643">
        <v>1898</v>
      </c>
      <c r="G643">
        <v>403526</v>
      </c>
      <c r="H643">
        <v>370724</v>
      </c>
      <c r="I643">
        <v>297836</v>
      </c>
      <c r="J643">
        <v>735916</v>
      </c>
      <c r="K643">
        <v>342366</v>
      </c>
      <c r="L643">
        <v>429485</v>
      </c>
    </row>
    <row r="644" spans="1:12" x14ac:dyDescent="0.35">
      <c r="A644">
        <v>2025</v>
      </c>
      <c r="B644">
        <v>3</v>
      </c>
      <c r="C644" t="s">
        <v>66</v>
      </c>
      <c r="D644" t="s">
        <v>151</v>
      </c>
      <c r="E644" t="s">
        <v>152</v>
      </c>
      <c r="F644">
        <v>674</v>
      </c>
      <c r="G644">
        <v>1005829</v>
      </c>
      <c r="H644">
        <v>1044725</v>
      </c>
      <c r="I644">
        <v>690287</v>
      </c>
      <c r="J644">
        <v>1300957</v>
      </c>
      <c r="K644">
        <v>902616</v>
      </c>
      <c r="L644">
        <v>1116708</v>
      </c>
    </row>
    <row r="645" spans="1:12" x14ac:dyDescent="0.35">
      <c r="A645">
        <v>2025</v>
      </c>
      <c r="B645">
        <v>3</v>
      </c>
      <c r="C645" t="s">
        <v>66</v>
      </c>
      <c r="D645" t="s">
        <v>153</v>
      </c>
      <c r="E645" t="s">
        <v>154</v>
      </c>
      <c r="F645">
        <v>149</v>
      </c>
      <c r="G645">
        <v>641943</v>
      </c>
      <c r="H645">
        <v>648897</v>
      </c>
      <c r="I645">
        <v>416061</v>
      </c>
      <c r="J645">
        <v>817666</v>
      </c>
      <c r="K645">
        <v>552480</v>
      </c>
      <c r="L645">
        <v>738280</v>
      </c>
    </row>
    <row r="646" spans="1:12" x14ac:dyDescent="0.35">
      <c r="A646">
        <v>2025</v>
      </c>
      <c r="B646">
        <v>3</v>
      </c>
      <c r="C646" t="s">
        <v>66</v>
      </c>
      <c r="D646" t="s">
        <v>155</v>
      </c>
      <c r="E646" t="s">
        <v>156</v>
      </c>
      <c r="F646">
        <v>1017</v>
      </c>
      <c r="G646">
        <v>395943</v>
      </c>
      <c r="H646">
        <v>375322</v>
      </c>
      <c r="I646">
        <v>262564</v>
      </c>
      <c r="J646">
        <v>707824</v>
      </c>
      <c r="K646">
        <v>318942</v>
      </c>
      <c r="L646">
        <v>432540</v>
      </c>
    </row>
    <row r="647" spans="1:12" x14ac:dyDescent="0.35">
      <c r="A647">
        <v>2025</v>
      </c>
      <c r="B647">
        <v>3</v>
      </c>
      <c r="C647" t="s">
        <v>66</v>
      </c>
      <c r="D647" t="s">
        <v>157</v>
      </c>
      <c r="E647" t="s">
        <v>158</v>
      </c>
      <c r="F647">
        <v>177</v>
      </c>
      <c r="G647">
        <v>474989</v>
      </c>
      <c r="H647">
        <v>450546</v>
      </c>
      <c r="I647">
        <v>330286</v>
      </c>
      <c r="J647">
        <v>690140</v>
      </c>
      <c r="K647">
        <v>387822</v>
      </c>
      <c r="L647">
        <v>545903</v>
      </c>
    </row>
    <row r="648" spans="1:12" x14ac:dyDescent="0.35">
      <c r="A648">
        <v>2025</v>
      </c>
      <c r="B648">
        <v>3</v>
      </c>
      <c r="C648" t="s">
        <v>66</v>
      </c>
      <c r="D648" t="s">
        <v>159</v>
      </c>
      <c r="E648" t="s">
        <v>160</v>
      </c>
      <c r="F648">
        <v>413</v>
      </c>
      <c r="G648">
        <v>440327</v>
      </c>
      <c r="H648">
        <v>428044</v>
      </c>
      <c r="I648">
        <v>303573</v>
      </c>
      <c r="J648">
        <v>708971</v>
      </c>
      <c r="K648">
        <v>360790</v>
      </c>
      <c r="L648">
        <v>479104</v>
      </c>
    </row>
    <row r="649" spans="1:12" x14ac:dyDescent="0.35">
      <c r="A649">
        <v>2025</v>
      </c>
      <c r="B649">
        <v>3</v>
      </c>
      <c r="C649" t="s">
        <v>66</v>
      </c>
      <c r="D649" t="s">
        <v>161</v>
      </c>
      <c r="E649" t="s">
        <v>162</v>
      </c>
      <c r="F649">
        <v>124</v>
      </c>
      <c r="G649">
        <v>476151</v>
      </c>
      <c r="H649">
        <v>445544</v>
      </c>
      <c r="I649">
        <v>313573</v>
      </c>
      <c r="J649">
        <v>704353</v>
      </c>
      <c r="K649">
        <v>373474</v>
      </c>
      <c r="L649">
        <v>561040</v>
      </c>
    </row>
    <row r="650" spans="1:12" x14ac:dyDescent="0.35">
      <c r="A650">
        <v>2025</v>
      </c>
      <c r="B650">
        <v>4</v>
      </c>
      <c r="C650" t="s">
        <v>67</v>
      </c>
      <c r="D650" t="s">
        <v>77</v>
      </c>
      <c r="E650" t="s">
        <v>78</v>
      </c>
      <c r="F650">
        <v>4</v>
      </c>
      <c r="G650">
        <v>414079</v>
      </c>
      <c r="H650">
        <v>380046</v>
      </c>
      <c r="I650">
        <v>325655</v>
      </c>
      <c r="J650">
        <v>570570</v>
      </c>
      <c r="K650">
        <v>325655</v>
      </c>
      <c r="L650">
        <v>434436</v>
      </c>
    </row>
    <row r="651" spans="1:12" x14ac:dyDescent="0.35">
      <c r="A651">
        <v>2025</v>
      </c>
      <c r="B651">
        <v>4</v>
      </c>
      <c r="C651" t="s">
        <v>67</v>
      </c>
      <c r="D651" t="s">
        <v>79</v>
      </c>
      <c r="E651" t="s">
        <v>80</v>
      </c>
      <c r="F651">
        <v>162</v>
      </c>
      <c r="G651">
        <v>462047</v>
      </c>
      <c r="H651">
        <v>423931</v>
      </c>
      <c r="I651">
        <v>302836</v>
      </c>
      <c r="J651">
        <v>718766</v>
      </c>
      <c r="K651">
        <v>358474</v>
      </c>
      <c r="L651">
        <v>568538</v>
      </c>
    </row>
    <row r="652" spans="1:12" x14ac:dyDescent="0.35">
      <c r="A652">
        <v>2025</v>
      </c>
      <c r="B652">
        <v>4</v>
      </c>
      <c r="C652" t="s">
        <v>67</v>
      </c>
      <c r="D652" t="s">
        <v>81</v>
      </c>
      <c r="E652" t="s">
        <v>82</v>
      </c>
      <c r="F652">
        <v>12</v>
      </c>
      <c r="G652">
        <v>655651</v>
      </c>
      <c r="H652">
        <v>656286</v>
      </c>
      <c r="I652">
        <v>565549</v>
      </c>
      <c r="J652">
        <v>728965</v>
      </c>
      <c r="K652">
        <v>647644</v>
      </c>
      <c r="L652">
        <v>673379</v>
      </c>
    </row>
    <row r="653" spans="1:12" x14ac:dyDescent="0.35">
      <c r="A653">
        <v>2025</v>
      </c>
      <c r="B653">
        <v>4</v>
      </c>
      <c r="C653" t="s">
        <v>67</v>
      </c>
      <c r="D653" t="s">
        <v>83</v>
      </c>
      <c r="E653" t="s">
        <v>84</v>
      </c>
      <c r="F653">
        <v>52</v>
      </c>
      <c r="G653">
        <v>502294</v>
      </c>
      <c r="H653">
        <v>552055</v>
      </c>
      <c r="I653">
        <v>330286</v>
      </c>
      <c r="J653">
        <v>661524</v>
      </c>
      <c r="K653">
        <v>359866</v>
      </c>
      <c r="L653">
        <v>614918</v>
      </c>
    </row>
    <row r="654" spans="1:12" x14ac:dyDescent="0.35">
      <c r="A654">
        <v>2025</v>
      </c>
      <c r="B654">
        <v>4</v>
      </c>
      <c r="C654" t="s">
        <v>67</v>
      </c>
      <c r="D654" t="s">
        <v>85</v>
      </c>
      <c r="E654" t="s">
        <v>86</v>
      </c>
      <c r="F654">
        <v>1047</v>
      </c>
      <c r="G654">
        <v>509195</v>
      </c>
      <c r="H654">
        <v>486604</v>
      </c>
      <c r="I654">
        <v>302836</v>
      </c>
      <c r="J654">
        <v>735411</v>
      </c>
      <c r="K654">
        <v>417540</v>
      </c>
      <c r="L654">
        <v>610804</v>
      </c>
    </row>
    <row r="655" spans="1:12" x14ac:dyDescent="0.35">
      <c r="A655">
        <v>2025</v>
      </c>
      <c r="B655">
        <v>4</v>
      </c>
      <c r="C655" t="s">
        <v>67</v>
      </c>
      <c r="D655" t="s">
        <v>87</v>
      </c>
      <c r="E655" t="s">
        <v>88</v>
      </c>
      <c r="F655">
        <v>4</v>
      </c>
      <c r="G655">
        <v>622930</v>
      </c>
      <c r="H655">
        <v>611302</v>
      </c>
      <c r="I655">
        <v>589579</v>
      </c>
      <c r="J655">
        <v>679536</v>
      </c>
      <c r="K655">
        <v>598205</v>
      </c>
      <c r="L655">
        <v>624400</v>
      </c>
    </row>
    <row r="656" spans="1:12" x14ac:dyDescent="0.35">
      <c r="A656">
        <v>2025</v>
      </c>
      <c r="B656">
        <v>4</v>
      </c>
      <c r="C656" t="s">
        <v>67</v>
      </c>
      <c r="D656" t="s">
        <v>89</v>
      </c>
      <c r="E656" t="s">
        <v>90</v>
      </c>
      <c r="F656">
        <v>805</v>
      </c>
      <c r="G656">
        <v>483817</v>
      </c>
      <c r="H656">
        <v>447995</v>
      </c>
      <c r="I656">
        <v>302836</v>
      </c>
      <c r="J656">
        <v>748416</v>
      </c>
      <c r="K656">
        <v>385322</v>
      </c>
      <c r="L656">
        <v>592420</v>
      </c>
    </row>
    <row r="657" spans="1:12" x14ac:dyDescent="0.35">
      <c r="A657">
        <v>2025</v>
      </c>
      <c r="B657">
        <v>4</v>
      </c>
      <c r="C657" t="s">
        <v>67</v>
      </c>
      <c r="D657" t="s">
        <v>91</v>
      </c>
      <c r="E657" t="s">
        <v>92</v>
      </c>
      <c r="F657">
        <v>141</v>
      </c>
      <c r="G657">
        <v>363705</v>
      </c>
      <c r="H657">
        <v>342366</v>
      </c>
      <c r="I657">
        <v>302836</v>
      </c>
      <c r="J657">
        <v>646900</v>
      </c>
      <c r="K657">
        <v>330286</v>
      </c>
      <c r="L657">
        <v>363155</v>
      </c>
    </row>
    <row r="658" spans="1:12" x14ac:dyDescent="0.35">
      <c r="A658">
        <v>2025</v>
      </c>
      <c r="B658">
        <v>4</v>
      </c>
      <c r="C658" t="s">
        <v>67</v>
      </c>
      <c r="D658" t="s">
        <v>93</v>
      </c>
      <c r="E658" t="s">
        <v>94</v>
      </c>
      <c r="F658">
        <v>29</v>
      </c>
      <c r="G658">
        <v>371676</v>
      </c>
      <c r="H658">
        <v>340237</v>
      </c>
      <c r="I658">
        <v>297836</v>
      </c>
      <c r="J658">
        <v>632456</v>
      </c>
      <c r="K658">
        <v>330655</v>
      </c>
      <c r="L658">
        <v>401991</v>
      </c>
    </row>
    <row r="659" spans="1:12" x14ac:dyDescent="0.35">
      <c r="A659">
        <v>2025</v>
      </c>
      <c r="B659">
        <v>4</v>
      </c>
      <c r="C659" t="s">
        <v>67</v>
      </c>
      <c r="D659" t="s">
        <v>95</v>
      </c>
      <c r="E659" t="s">
        <v>96</v>
      </c>
      <c r="F659">
        <v>17</v>
      </c>
      <c r="G659">
        <v>397198</v>
      </c>
      <c r="H659">
        <v>355655</v>
      </c>
      <c r="I659">
        <v>310336</v>
      </c>
      <c r="J659">
        <v>610939</v>
      </c>
      <c r="K659">
        <v>325655</v>
      </c>
      <c r="L659">
        <v>414485</v>
      </c>
    </row>
    <row r="660" spans="1:12" x14ac:dyDescent="0.35">
      <c r="A660">
        <v>2025</v>
      </c>
      <c r="B660">
        <v>4</v>
      </c>
      <c r="C660" t="s">
        <v>67</v>
      </c>
      <c r="D660" t="s">
        <v>97</v>
      </c>
      <c r="E660" t="s">
        <v>98</v>
      </c>
      <c r="F660">
        <v>261</v>
      </c>
      <c r="G660">
        <v>409647</v>
      </c>
      <c r="H660">
        <v>365322</v>
      </c>
      <c r="I660">
        <v>302836</v>
      </c>
      <c r="J660">
        <v>695189</v>
      </c>
      <c r="K660">
        <v>342366</v>
      </c>
      <c r="L660">
        <v>425040</v>
      </c>
    </row>
    <row r="661" spans="1:12" x14ac:dyDescent="0.35">
      <c r="A661">
        <v>2025</v>
      </c>
      <c r="B661">
        <v>4</v>
      </c>
      <c r="C661" t="s">
        <v>67</v>
      </c>
      <c r="D661" t="s">
        <v>99</v>
      </c>
      <c r="E661" t="s">
        <v>100</v>
      </c>
      <c r="F661">
        <v>424</v>
      </c>
      <c r="G661">
        <v>452777</v>
      </c>
      <c r="H661">
        <v>435456</v>
      </c>
      <c r="I661">
        <v>302836</v>
      </c>
      <c r="J661">
        <v>731760</v>
      </c>
      <c r="K661">
        <v>399485</v>
      </c>
      <c r="L661">
        <v>502850</v>
      </c>
    </row>
    <row r="662" spans="1:12" x14ac:dyDescent="0.35">
      <c r="A662">
        <v>2025</v>
      </c>
      <c r="B662">
        <v>4</v>
      </c>
      <c r="C662" t="s">
        <v>67</v>
      </c>
      <c r="D662" t="s">
        <v>101</v>
      </c>
      <c r="E662" t="s">
        <v>102</v>
      </c>
      <c r="F662">
        <v>12</v>
      </c>
      <c r="G662">
        <v>550981</v>
      </c>
      <c r="H662">
        <v>597491</v>
      </c>
      <c r="I662">
        <v>330286</v>
      </c>
      <c r="J662">
        <v>675324</v>
      </c>
      <c r="K662">
        <v>513082</v>
      </c>
      <c r="L662">
        <v>628944</v>
      </c>
    </row>
    <row r="663" spans="1:12" x14ac:dyDescent="0.35">
      <c r="A663">
        <v>2025</v>
      </c>
      <c r="B663">
        <v>4</v>
      </c>
      <c r="C663" t="s">
        <v>67</v>
      </c>
      <c r="D663" t="s">
        <v>103</v>
      </c>
      <c r="E663" t="s">
        <v>104</v>
      </c>
      <c r="F663">
        <v>9</v>
      </c>
      <c r="G663">
        <v>355199</v>
      </c>
      <c r="H663">
        <v>332786</v>
      </c>
      <c r="I663">
        <v>313573</v>
      </c>
      <c r="J663">
        <v>450495</v>
      </c>
      <c r="K663">
        <v>321073</v>
      </c>
      <c r="L663">
        <v>372366</v>
      </c>
    </row>
    <row r="664" spans="1:12" x14ac:dyDescent="0.35">
      <c r="A664">
        <v>2025</v>
      </c>
      <c r="B664">
        <v>4</v>
      </c>
      <c r="C664" t="s">
        <v>67</v>
      </c>
      <c r="D664" t="s">
        <v>105</v>
      </c>
      <c r="E664" t="s">
        <v>106</v>
      </c>
      <c r="F664">
        <v>37</v>
      </c>
      <c r="G664">
        <v>445711</v>
      </c>
      <c r="H664">
        <v>403902</v>
      </c>
      <c r="I664">
        <v>313573</v>
      </c>
      <c r="J664">
        <v>712276</v>
      </c>
      <c r="K664">
        <v>349866</v>
      </c>
      <c r="L664">
        <v>535903</v>
      </c>
    </row>
    <row r="665" spans="1:12" x14ac:dyDescent="0.35">
      <c r="A665">
        <v>2025</v>
      </c>
      <c r="B665">
        <v>4</v>
      </c>
      <c r="C665" t="s">
        <v>67</v>
      </c>
      <c r="D665" t="s">
        <v>107</v>
      </c>
      <c r="E665" t="s">
        <v>108</v>
      </c>
      <c r="F665">
        <v>6</v>
      </c>
      <c r="G665">
        <v>342761</v>
      </c>
      <c r="H665">
        <v>336326</v>
      </c>
      <c r="I665">
        <v>330286</v>
      </c>
      <c r="J665">
        <v>373474</v>
      </c>
      <c r="K665">
        <v>330286</v>
      </c>
      <c r="L665">
        <v>349866</v>
      </c>
    </row>
    <row r="666" spans="1:12" x14ac:dyDescent="0.35">
      <c r="A666">
        <v>2025</v>
      </c>
      <c r="B666">
        <v>4</v>
      </c>
      <c r="C666" t="s">
        <v>67</v>
      </c>
      <c r="D666" t="s">
        <v>109</v>
      </c>
      <c r="E666" t="s">
        <v>110</v>
      </c>
      <c r="F666">
        <v>5004</v>
      </c>
      <c r="G666">
        <v>553808</v>
      </c>
      <c r="H666">
        <v>519658</v>
      </c>
      <c r="I666">
        <v>407405</v>
      </c>
      <c r="J666">
        <v>854240</v>
      </c>
      <c r="K666">
        <v>444485</v>
      </c>
      <c r="L666">
        <v>673058</v>
      </c>
    </row>
    <row r="667" spans="1:12" x14ac:dyDescent="0.35">
      <c r="A667">
        <v>2025</v>
      </c>
      <c r="B667">
        <v>4</v>
      </c>
      <c r="C667" t="s">
        <v>67</v>
      </c>
      <c r="D667" t="s">
        <v>111</v>
      </c>
      <c r="E667" t="s">
        <v>112</v>
      </c>
      <c r="F667">
        <v>14357</v>
      </c>
      <c r="G667">
        <v>340556</v>
      </c>
      <c r="H667">
        <v>321442</v>
      </c>
      <c r="I667">
        <v>234373</v>
      </c>
      <c r="J667">
        <v>684871</v>
      </c>
      <c r="K667">
        <v>288252</v>
      </c>
      <c r="L667">
        <v>365642</v>
      </c>
    </row>
    <row r="668" spans="1:12" x14ac:dyDescent="0.35">
      <c r="A668">
        <v>2025</v>
      </c>
      <c r="B668">
        <v>4</v>
      </c>
      <c r="C668" t="s">
        <v>67</v>
      </c>
      <c r="D668" t="s">
        <v>113</v>
      </c>
      <c r="E668" t="s">
        <v>114</v>
      </c>
      <c r="F668">
        <v>7957</v>
      </c>
      <c r="G668">
        <v>322443</v>
      </c>
      <c r="H668">
        <v>308942</v>
      </c>
      <c r="I668">
        <v>260064</v>
      </c>
      <c r="J668">
        <v>592103</v>
      </c>
      <c r="K668">
        <v>285752</v>
      </c>
      <c r="L668">
        <v>345052</v>
      </c>
    </row>
    <row r="669" spans="1:12" x14ac:dyDescent="0.35">
      <c r="A669">
        <v>2025</v>
      </c>
      <c r="B669">
        <v>4</v>
      </c>
      <c r="C669" t="s">
        <v>67</v>
      </c>
      <c r="D669" t="s">
        <v>115</v>
      </c>
      <c r="E669" t="s">
        <v>116</v>
      </c>
      <c r="F669">
        <v>86</v>
      </c>
      <c r="G669">
        <v>583297</v>
      </c>
      <c r="H669">
        <v>560230</v>
      </c>
      <c r="I669">
        <v>407405</v>
      </c>
      <c r="J669">
        <v>825535</v>
      </c>
      <c r="K669">
        <v>472441</v>
      </c>
      <c r="L669">
        <v>700175</v>
      </c>
    </row>
    <row r="670" spans="1:12" x14ac:dyDescent="0.35">
      <c r="A670">
        <v>2025</v>
      </c>
      <c r="B670">
        <v>4</v>
      </c>
      <c r="C670" t="s">
        <v>67</v>
      </c>
      <c r="D670" t="s">
        <v>117</v>
      </c>
      <c r="E670" t="s">
        <v>118</v>
      </c>
      <c r="F670">
        <v>404</v>
      </c>
      <c r="G670">
        <v>581401</v>
      </c>
      <c r="H670">
        <v>557588</v>
      </c>
      <c r="I670">
        <v>407405</v>
      </c>
      <c r="J670">
        <v>856740</v>
      </c>
      <c r="K670">
        <v>453094</v>
      </c>
      <c r="L670">
        <v>699487</v>
      </c>
    </row>
    <row r="671" spans="1:12" x14ac:dyDescent="0.35">
      <c r="A671">
        <v>2025</v>
      </c>
      <c r="B671">
        <v>4</v>
      </c>
      <c r="C671" t="s">
        <v>67</v>
      </c>
      <c r="D671" t="s">
        <v>119</v>
      </c>
      <c r="E671" t="s">
        <v>120</v>
      </c>
      <c r="F671">
        <v>989</v>
      </c>
      <c r="G671">
        <v>501192</v>
      </c>
      <c r="H671">
        <v>472441</v>
      </c>
      <c r="I671">
        <v>407405</v>
      </c>
      <c r="J671">
        <v>790885</v>
      </c>
      <c r="K671">
        <v>435594</v>
      </c>
      <c r="L671">
        <v>537663</v>
      </c>
    </row>
    <row r="672" spans="1:12" x14ac:dyDescent="0.35">
      <c r="A672">
        <v>2025</v>
      </c>
      <c r="B672">
        <v>4</v>
      </c>
      <c r="C672" t="s">
        <v>67</v>
      </c>
      <c r="D672" t="s">
        <v>121</v>
      </c>
      <c r="E672" t="s">
        <v>122</v>
      </c>
      <c r="F672">
        <v>509</v>
      </c>
      <c r="G672">
        <v>450484</v>
      </c>
      <c r="H672">
        <v>444387</v>
      </c>
      <c r="I672">
        <v>320655</v>
      </c>
      <c r="J672">
        <v>690140</v>
      </c>
      <c r="K672">
        <v>394485</v>
      </c>
      <c r="L672">
        <v>500348</v>
      </c>
    </row>
    <row r="673" spans="1:12" x14ac:dyDescent="0.35">
      <c r="A673">
        <v>2025</v>
      </c>
      <c r="B673">
        <v>4</v>
      </c>
      <c r="C673" t="s">
        <v>67</v>
      </c>
      <c r="D673" t="s">
        <v>123</v>
      </c>
      <c r="E673" t="s">
        <v>124</v>
      </c>
      <c r="F673">
        <v>1</v>
      </c>
      <c r="G673">
        <v>318942</v>
      </c>
      <c r="H673">
        <v>318942</v>
      </c>
      <c r="I673">
        <v>318942</v>
      </c>
      <c r="J673">
        <v>318942</v>
      </c>
      <c r="K673">
        <v>318942</v>
      </c>
      <c r="L673">
        <v>318942</v>
      </c>
    </row>
    <row r="674" spans="1:12" x14ac:dyDescent="0.35">
      <c r="A674">
        <v>2025</v>
      </c>
      <c r="B674">
        <v>4</v>
      </c>
      <c r="C674" t="s">
        <v>67</v>
      </c>
      <c r="D674" t="s">
        <v>125</v>
      </c>
      <c r="E674" t="s">
        <v>126</v>
      </c>
      <c r="F674">
        <v>194</v>
      </c>
      <c r="G674">
        <v>429514</v>
      </c>
      <c r="H674">
        <v>365974</v>
      </c>
      <c r="I674">
        <v>325286</v>
      </c>
      <c r="J674">
        <v>680189</v>
      </c>
      <c r="K674">
        <v>353474</v>
      </c>
      <c r="L674">
        <v>535903</v>
      </c>
    </row>
    <row r="675" spans="1:12" x14ac:dyDescent="0.35">
      <c r="A675">
        <v>2025</v>
      </c>
      <c r="B675">
        <v>4</v>
      </c>
      <c r="C675" t="s">
        <v>67</v>
      </c>
      <c r="D675" t="s">
        <v>127</v>
      </c>
      <c r="E675" t="s">
        <v>128</v>
      </c>
      <c r="F675">
        <v>5659</v>
      </c>
      <c r="G675">
        <v>895373</v>
      </c>
      <c r="H675">
        <v>845116</v>
      </c>
      <c r="I675">
        <v>656667</v>
      </c>
      <c r="J675">
        <v>1504153</v>
      </c>
      <c r="K675">
        <v>723146</v>
      </c>
      <c r="L675">
        <v>1028184</v>
      </c>
    </row>
    <row r="676" spans="1:12" x14ac:dyDescent="0.35">
      <c r="A676">
        <v>2025</v>
      </c>
      <c r="B676">
        <v>4</v>
      </c>
      <c r="C676" t="s">
        <v>67</v>
      </c>
      <c r="D676" t="s">
        <v>129</v>
      </c>
      <c r="E676" t="s">
        <v>130</v>
      </c>
      <c r="F676">
        <v>328</v>
      </c>
      <c r="G676">
        <v>513359</v>
      </c>
      <c r="H676">
        <v>510965</v>
      </c>
      <c r="I676">
        <v>342134</v>
      </c>
      <c r="J676">
        <v>750448</v>
      </c>
      <c r="K676">
        <v>433779</v>
      </c>
      <c r="L676">
        <v>605237</v>
      </c>
    </row>
    <row r="677" spans="1:12" x14ac:dyDescent="0.35">
      <c r="A677">
        <v>2025</v>
      </c>
      <c r="B677">
        <v>4</v>
      </c>
      <c r="C677" t="s">
        <v>67</v>
      </c>
      <c r="D677" t="s">
        <v>131</v>
      </c>
      <c r="E677" t="s">
        <v>132</v>
      </c>
      <c r="F677">
        <v>35764</v>
      </c>
      <c r="G677">
        <v>533413</v>
      </c>
      <c r="H677">
        <v>505903</v>
      </c>
      <c r="I677">
        <v>333389</v>
      </c>
      <c r="J677">
        <v>887702</v>
      </c>
      <c r="K677">
        <v>444573</v>
      </c>
      <c r="L677">
        <v>607467</v>
      </c>
    </row>
    <row r="678" spans="1:12" x14ac:dyDescent="0.35">
      <c r="A678">
        <v>2025</v>
      </c>
      <c r="B678">
        <v>4</v>
      </c>
      <c r="C678" t="s">
        <v>67</v>
      </c>
      <c r="D678" t="s">
        <v>133</v>
      </c>
      <c r="E678" t="s">
        <v>134</v>
      </c>
      <c r="F678">
        <v>87279</v>
      </c>
      <c r="G678">
        <v>395534</v>
      </c>
      <c r="H678">
        <v>405040</v>
      </c>
      <c r="I678">
        <v>266776</v>
      </c>
      <c r="J678">
        <v>584647</v>
      </c>
      <c r="K678">
        <v>306725</v>
      </c>
      <c r="L678">
        <v>448044</v>
      </c>
    </row>
    <row r="679" spans="1:12" x14ac:dyDescent="0.35">
      <c r="A679">
        <v>2025</v>
      </c>
      <c r="B679">
        <v>4</v>
      </c>
      <c r="C679" t="s">
        <v>67</v>
      </c>
      <c r="D679" t="s">
        <v>135</v>
      </c>
      <c r="E679" t="s">
        <v>136</v>
      </c>
      <c r="F679">
        <v>20796</v>
      </c>
      <c r="G679">
        <v>709528</v>
      </c>
      <c r="H679">
        <v>692455</v>
      </c>
      <c r="I679">
        <v>398882</v>
      </c>
      <c r="J679">
        <v>1072736</v>
      </c>
      <c r="K679">
        <v>635204</v>
      </c>
      <c r="L679">
        <v>812978</v>
      </c>
    </row>
    <row r="680" spans="1:12" x14ac:dyDescent="0.35">
      <c r="A680">
        <v>2025</v>
      </c>
      <c r="B680">
        <v>4</v>
      </c>
      <c r="C680" t="s">
        <v>67</v>
      </c>
      <c r="D680" t="s">
        <v>137</v>
      </c>
      <c r="E680" t="s">
        <v>138</v>
      </c>
      <c r="F680">
        <v>11419</v>
      </c>
      <c r="G680">
        <v>455778</v>
      </c>
      <c r="H680">
        <v>442026</v>
      </c>
      <c r="I680">
        <v>262563</v>
      </c>
      <c r="J680">
        <v>858545</v>
      </c>
      <c r="K680">
        <v>365926</v>
      </c>
      <c r="L680">
        <v>518403</v>
      </c>
    </row>
    <row r="681" spans="1:12" x14ac:dyDescent="0.35">
      <c r="A681">
        <v>2025</v>
      </c>
      <c r="B681">
        <v>4</v>
      </c>
      <c r="C681" t="s">
        <v>67</v>
      </c>
      <c r="D681" t="s">
        <v>139</v>
      </c>
      <c r="E681" t="s">
        <v>140</v>
      </c>
      <c r="F681">
        <v>29</v>
      </c>
      <c r="G681">
        <v>625666</v>
      </c>
      <c r="H681">
        <v>630237</v>
      </c>
      <c r="I681">
        <v>518403</v>
      </c>
      <c r="J681">
        <v>741187</v>
      </c>
      <c r="K681">
        <v>607737</v>
      </c>
      <c r="L681">
        <v>642737</v>
      </c>
    </row>
    <row r="682" spans="1:12" x14ac:dyDescent="0.35">
      <c r="A682">
        <v>2025</v>
      </c>
      <c r="B682">
        <v>4</v>
      </c>
      <c r="C682" t="s">
        <v>67</v>
      </c>
      <c r="D682" t="s">
        <v>141</v>
      </c>
      <c r="E682" t="s">
        <v>142</v>
      </c>
      <c r="F682">
        <v>858</v>
      </c>
      <c r="G682">
        <v>515232</v>
      </c>
      <c r="H682">
        <v>506229</v>
      </c>
      <c r="I682">
        <v>342134</v>
      </c>
      <c r="J682">
        <v>775809</v>
      </c>
      <c r="K682">
        <v>446838</v>
      </c>
      <c r="L682">
        <v>563305</v>
      </c>
    </row>
    <row r="683" spans="1:12" x14ac:dyDescent="0.35">
      <c r="A683">
        <v>2025</v>
      </c>
      <c r="B683">
        <v>4</v>
      </c>
      <c r="C683" t="s">
        <v>67</v>
      </c>
      <c r="D683" t="s">
        <v>143</v>
      </c>
      <c r="E683" t="s">
        <v>144</v>
      </c>
      <c r="F683">
        <v>4885</v>
      </c>
      <c r="G683">
        <v>287492</v>
      </c>
      <c r="H683">
        <v>281824</v>
      </c>
      <c r="I683">
        <v>229743</v>
      </c>
      <c r="J683">
        <v>456283</v>
      </c>
      <c r="K683">
        <v>265064</v>
      </c>
      <c r="L683">
        <v>304176</v>
      </c>
    </row>
    <row r="684" spans="1:12" x14ac:dyDescent="0.35">
      <c r="A684">
        <v>2025</v>
      </c>
      <c r="B684">
        <v>4</v>
      </c>
      <c r="C684" t="s">
        <v>67</v>
      </c>
      <c r="D684" t="s">
        <v>145</v>
      </c>
      <c r="E684" t="s">
        <v>146</v>
      </c>
      <c r="F684">
        <v>114</v>
      </c>
      <c r="G684">
        <v>447863</v>
      </c>
      <c r="H684">
        <v>459460</v>
      </c>
      <c r="I684">
        <v>343575</v>
      </c>
      <c r="J684">
        <v>598512</v>
      </c>
      <c r="K684">
        <v>420324</v>
      </c>
      <c r="L684">
        <v>478261</v>
      </c>
    </row>
    <row r="685" spans="1:12" x14ac:dyDescent="0.35">
      <c r="A685">
        <v>2025</v>
      </c>
      <c r="B685">
        <v>4</v>
      </c>
      <c r="C685" t="s">
        <v>67</v>
      </c>
      <c r="D685" t="s">
        <v>147</v>
      </c>
      <c r="E685" t="s">
        <v>148</v>
      </c>
      <c r="F685">
        <v>93</v>
      </c>
      <c r="G685">
        <v>345744</v>
      </c>
      <c r="H685">
        <v>320336</v>
      </c>
      <c r="I685">
        <v>297836</v>
      </c>
      <c r="J685">
        <v>463824</v>
      </c>
      <c r="K685">
        <v>302836</v>
      </c>
      <c r="L685">
        <v>397822</v>
      </c>
    </row>
    <row r="686" spans="1:12" x14ac:dyDescent="0.35">
      <c r="A686">
        <v>2025</v>
      </c>
      <c r="B686">
        <v>4</v>
      </c>
      <c r="C686" t="s">
        <v>67</v>
      </c>
      <c r="D686" t="s">
        <v>149</v>
      </c>
      <c r="E686" t="s">
        <v>150</v>
      </c>
      <c r="F686">
        <v>1882</v>
      </c>
      <c r="G686">
        <v>403442</v>
      </c>
      <c r="H686">
        <v>367642</v>
      </c>
      <c r="I686">
        <v>297836</v>
      </c>
      <c r="J686">
        <v>779645</v>
      </c>
      <c r="K686">
        <v>342366</v>
      </c>
      <c r="L686">
        <v>430368</v>
      </c>
    </row>
    <row r="687" spans="1:12" x14ac:dyDescent="0.35">
      <c r="A687">
        <v>2025</v>
      </c>
      <c r="B687">
        <v>4</v>
      </c>
      <c r="C687" t="s">
        <v>67</v>
      </c>
      <c r="D687" t="s">
        <v>151</v>
      </c>
      <c r="E687" t="s">
        <v>152</v>
      </c>
      <c r="F687">
        <v>694</v>
      </c>
      <c r="G687">
        <v>1080238</v>
      </c>
      <c r="H687">
        <v>1052225</v>
      </c>
      <c r="I687">
        <v>690287</v>
      </c>
      <c r="J687">
        <v>1528451</v>
      </c>
      <c r="K687">
        <v>959601</v>
      </c>
      <c r="L687">
        <v>1196241</v>
      </c>
    </row>
    <row r="688" spans="1:12" x14ac:dyDescent="0.35">
      <c r="A688">
        <v>2025</v>
      </c>
      <c r="B688">
        <v>4</v>
      </c>
      <c r="C688" t="s">
        <v>67</v>
      </c>
      <c r="D688" t="s">
        <v>153</v>
      </c>
      <c r="E688" t="s">
        <v>154</v>
      </c>
      <c r="F688">
        <v>149</v>
      </c>
      <c r="G688">
        <v>641976</v>
      </c>
      <c r="H688">
        <v>648897</v>
      </c>
      <c r="I688">
        <v>416061</v>
      </c>
      <c r="J688">
        <v>817666</v>
      </c>
      <c r="K688">
        <v>552480</v>
      </c>
      <c r="L688">
        <v>738280</v>
      </c>
    </row>
    <row r="689" spans="1:12" x14ac:dyDescent="0.35">
      <c r="A689">
        <v>2025</v>
      </c>
      <c r="B689">
        <v>4</v>
      </c>
      <c r="C689" t="s">
        <v>67</v>
      </c>
      <c r="D689" t="s">
        <v>155</v>
      </c>
      <c r="E689" t="s">
        <v>156</v>
      </c>
      <c r="F689">
        <v>997</v>
      </c>
      <c r="G689">
        <v>398142</v>
      </c>
      <c r="H689">
        <v>375322</v>
      </c>
      <c r="I689">
        <v>262564</v>
      </c>
      <c r="J689">
        <v>715264</v>
      </c>
      <c r="K689">
        <v>320519</v>
      </c>
      <c r="L689">
        <v>431936</v>
      </c>
    </row>
    <row r="690" spans="1:12" x14ac:dyDescent="0.35">
      <c r="A690">
        <v>2025</v>
      </c>
      <c r="B690">
        <v>4</v>
      </c>
      <c r="C690" t="s">
        <v>67</v>
      </c>
      <c r="D690" t="s">
        <v>157</v>
      </c>
      <c r="E690" t="s">
        <v>158</v>
      </c>
      <c r="F690">
        <v>177</v>
      </c>
      <c r="G690">
        <v>477390</v>
      </c>
      <c r="H690">
        <v>443046</v>
      </c>
      <c r="I690">
        <v>330286</v>
      </c>
      <c r="J690">
        <v>707824</v>
      </c>
      <c r="K690">
        <v>387822</v>
      </c>
      <c r="L690">
        <v>563304</v>
      </c>
    </row>
    <row r="691" spans="1:12" x14ac:dyDescent="0.35">
      <c r="A691">
        <v>2025</v>
      </c>
      <c r="B691">
        <v>4</v>
      </c>
      <c r="C691" t="s">
        <v>67</v>
      </c>
      <c r="D691" t="s">
        <v>159</v>
      </c>
      <c r="E691" t="s">
        <v>160</v>
      </c>
      <c r="F691">
        <v>399</v>
      </c>
      <c r="G691">
        <v>447341</v>
      </c>
      <c r="H691">
        <v>433044</v>
      </c>
      <c r="I691">
        <v>302836</v>
      </c>
      <c r="J691">
        <v>721569</v>
      </c>
      <c r="K691">
        <v>373292</v>
      </c>
      <c r="L691">
        <v>482995</v>
      </c>
    </row>
    <row r="692" spans="1:12" x14ac:dyDescent="0.35">
      <c r="A692">
        <v>2025</v>
      </c>
      <c r="B692">
        <v>4</v>
      </c>
      <c r="C692" t="s">
        <v>67</v>
      </c>
      <c r="D692" t="s">
        <v>161</v>
      </c>
      <c r="E692" t="s">
        <v>162</v>
      </c>
      <c r="F692">
        <v>123</v>
      </c>
      <c r="G692">
        <v>473456</v>
      </c>
      <c r="H692">
        <v>443044</v>
      </c>
      <c r="I692">
        <v>313573</v>
      </c>
      <c r="J692">
        <v>720426</v>
      </c>
      <c r="K692">
        <v>368290</v>
      </c>
      <c r="L692">
        <v>561040</v>
      </c>
    </row>
    <row r="693" spans="1:12" x14ac:dyDescent="0.35">
      <c r="A693">
        <v>2025</v>
      </c>
      <c r="B693">
        <v>5</v>
      </c>
      <c r="C693" t="s">
        <v>68</v>
      </c>
      <c r="D693" t="s">
        <v>77</v>
      </c>
      <c r="E693" t="s">
        <v>78</v>
      </c>
      <c r="F693">
        <v>4</v>
      </c>
      <c r="G693">
        <v>414079</v>
      </c>
      <c r="H693">
        <v>380046</v>
      </c>
      <c r="I693">
        <v>325655</v>
      </c>
      <c r="J693">
        <v>570570</v>
      </c>
      <c r="K693">
        <v>325655</v>
      </c>
      <c r="L693">
        <v>434436</v>
      </c>
    </row>
    <row r="694" spans="1:12" x14ac:dyDescent="0.35">
      <c r="A694">
        <v>2025</v>
      </c>
      <c r="B694">
        <v>5</v>
      </c>
      <c r="C694" t="s">
        <v>68</v>
      </c>
      <c r="D694" t="s">
        <v>79</v>
      </c>
      <c r="E694" t="s">
        <v>80</v>
      </c>
      <c r="F694">
        <v>163</v>
      </c>
      <c r="G694">
        <v>449514</v>
      </c>
      <c r="H694">
        <v>415322</v>
      </c>
      <c r="I694">
        <v>302836</v>
      </c>
      <c r="J694">
        <v>715324</v>
      </c>
      <c r="K694">
        <v>358474</v>
      </c>
      <c r="L694">
        <v>540804</v>
      </c>
    </row>
    <row r="695" spans="1:12" x14ac:dyDescent="0.35">
      <c r="A695">
        <v>2025</v>
      </c>
      <c r="B695">
        <v>5</v>
      </c>
      <c r="C695" t="s">
        <v>68</v>
      </c>
      <c r="D695" t="s">
        <v>81</v>
      </c>
      <c r="E695" t="s">
        <v>82</v>
      </c>
      <c r="F695">
        <v>14</v>
      </c>
      <c r="G695">
        <v>653031</v>
      </c>
      <c r="H695">
        <v>651974</v>
      </c>
      <c r="I695">
        <v>541690</v>
      </c>
      <c r="J695">
        <v>719351</v>
      </c>
      <c r="K695">
        <v>641581</v>
      </c>
      <c r="L695">
        <v>673379</v>
      </c>
    </row>
    <row r="696" spans="1:12" x14ac:dyDescent="0.35">
      <c r="A696">
        <v>2025</v>
      </c>
      <c r="B696">
        <v>5</v>
      </c>
      <c r="C696" t="s">
        <v>68</v>
      </c>
      <c r="D696" t="s">
        <v>83</v>
      </c>
      <c r="E696" t="s">
        <v>84</v>
      </c>
      <c r="F696">
        <v>54</v>
      </c>
      <c r="G696">
        <v>493358</v>
      </c>
      <c r="H696">
        <v>523403</v>
      </c>
      <c r="I696">
        <v>330286</v>
      </c>
      <c r="J696">
        <v>684415</v>
      </c>
      <c r="K696">
        <v>358474</v>
      </c>
      <c r="L696">
        <v>614918</v>
      </c>
    </row>
    <row r="697" spans="1:12" x14ac:dyDescent="0.35">
      <c r="A697">
        <v>2025</v>
      </c>
      <c r="B697">
        <v>5</v>
      </c>
      <c r="C697" t="s">
        <v>68</v>
      </c>
      <c r="D697" t="s">
        <v>85</v>
      </c>
      <c r="E697" t="s">
        <v>86</v>
      </c>
      <c r="F697">
        <v>1077</v>
      </c>
      <c r="G697">
        <v>505736</v>
      </c>
      <c r="H697">
        <v>480544</v>
      </c>
      <c r="I697">
        <v>302836</v>
      </c>
      <c r="J697">
        <v>735411</v>
      </c>
      <c r="K697">
        <v>414487</v>
      </c>
      <c r="L697">
        <v>610804</v>
      </c>
    </row>
    <row r="698" spans="1:12" x14ac:dyDescent="0.35">
      <c r="A698">
        <v>2025</v>
      </c>
      <c r="B698">
        <v>5</v>
      </c>
      <c r="C698" t="s">
        <v>68</v>
      </c>
      <c r="D698" t="s">
        <v>87</v>
      </c>
      <c r="E698" t="s">
        <v>88</v>
      </c>
      <c r="F698">
        <v>4</v>
      </c>
      <c r="G698">
        <v>597371</v>
      </c>
      <c r="H698">
        <v>593852</v>
      </c>
      <c r="I698">
        <v>555804</v>
      </c>
      <c r="J698">
        <v>645977</v>
      </c>
      <c r="K698">
        <v>563304</v>
      </c>
      <c r="L698">
        <v>624400</v>
      </c>
    </row>
    <row r="699" spans="1:12" x14ac:dyDescent="0.35">
      <c r="A699">
        <v>2025</v>
      </c>
      <c r="B699">
        <v>5</v>
      </c>
      <c r="C699" t="s">
        <v>68</v>
      </c>
      <c r="D699" t="s">
        <v>89</v>
      </c>
      <c r="E699" t="s">
        <v>90</v>
      </c>
      <c r="F699">
        <v>816</v>
      </c>
      <c r="G699">
        <v>482014</v>
      </c>
      <c r="H699">
        <v>448020</v>
      </c>
      <c r="I699">
        <v>302836</v>
      </c>
      <c r="J699">
        <v>748416</v>
      </c>
      <c r="K699">
        <v>390322</v>
      </c>
      <c r="L699">
        <v>583070</v>
      </c>
    </row>
    <row r="700" spans="1:12" x14ac:dyDescent="0.35">
      <c r="A700">
        <v>2025</v>
      </c>
      <c r="B700">
        <v>5</v>
      </c>
      <c r="C700" t="s">
        <v>68</v>
      </c>
      <c r="D700" t="s">
        <v>91</v>
      </c>
      <c r="E700" t="s">
        <v>92</v>
      </c>
      <c r="F700">
        <v>151</v>
      </c>
      <c r="G700">
        <v>364955</v>
      </c>
      <c r="H700">
        <v>345286</v>
      </c>
      <c r="I700">
        <v>297836</v>
      </c>
      <c r="J700">
        <v>646900</v>
      </c>
      <c r="K700">
        <v>336073</v>
      </c>
      <c r="L700">
        <v>364866</v>
      </c>
    </row>
    <row r="701" spans="1:12" x14ac:dyDescent="0.35">
      <c r="A701">
        <v>2025</v>
      </c>
      <c r="B701">
        <v>5</v>
      </c>
      <c r="C701" t="s">
        <v>68</v>
      </c>
      <c r="D701" t="s">
        <v>93</v>
      </c>
      <c r="E701" t="s">
        <v>94</v>
      </c>
      <c r="F701">
        <v>30</v>
      </c>
      <c r="G701">
        <v>355346</v>
      </c>
      <c r="H701">
        <v>337970</v>
      </c>
      <c r="I701">
        <v>297836</v>
      </c>
      <c r="J701">
        <v>583439</v>
      </c>
      <c r="K701">
        <v>323155</v>
      </c>
      <c r="L701">
        <v>375324</v>
      </c>
    </row>
    <row r="702" spans="1:12" x14ac:dyDescent="0.35">
      <c r="A702">
        <v>2025</v>
      </c>
      <c r="B702">
        <v>5</v>
      </c>
      <c r="C702" t="s">
        <v>68</v>
      </c>
      <c r="D702" t="s">
        <v>95</v>
      </c>
      <c r="E702" t="s">
        <v>96</v>
      </c>
      <c r="F702">
        <v>16</v>
      </c>
      <c r="G702">
        <v>387853</v>
      </c>
      <c r="H702">
        <v>349010</v>
      </c>
      <c r="I702">
        <v>313573</v>
      </c>
      <c r="J702">
        <v>610939</v>
      </c>
      <c r="K702">
        <v>328573</v>
      </c>
      <c r="L702">
        <v>414485</v>
      </c>
    </row>
    <row r="703" spans="1:12" x14ac:dyDescent="0.35">
      <c r="A703">
        <v>2025</v>
      </c>
      <c r="B703">
        <v>5</v>
      </c>
      <c r="C703" t="s">
        <v>68</v>
      </c>
      <c r="D703" t="s">
        <v>97</v>
      </c>
      <c r="E703" t="s">
        <v>98</v>
      </c>
      <c r="F703">
        <v>262</v>
      </c>
      <c r="G703">
        <v>412062</v>
      </c>
      <c r="H703">
        <v>368038</v>
      </c>
      <c r="I703">
        <v>302836</v>
      </c>
      <c r="J703">
        <v>695189</v>
      </c>
      <c r="K703">
        <v>345790</v>
      </c>
      <c r="L703">
        <v>425040</v>
      </c>
    </row>
    <row r="704" spans="1:12" x14ac:dyDescent="0.35">
      <c r="A704">
        <v>2025</v>
      </c>
      <c r="B704">
        <v>5</v>
      </c>
      <c r="C704" t="s">
        <v>68</v>
      </c>
      <c r="D704" t="s">
        <v>99</v>
      </c>
      <c r="E704" t="s">
        <v>100</v>
      </c>
      <c r="F704">
        <v>432</v>
      </c>
      <c r="G704">
        <v>448084</v>
      </c>
      <c r="H704">
        <v>434436</v>
      </c>
      <c r="I704">
        <v>297836</v>
      </c>
      <c r="J704">
        <v>710411</v>
      </c>
      <c r="K704">
        <v>392822</v>
      </c>
      <c r="L704">
        <v>502848</v>
      </c>
    </row>
    <row r="705" spans="1:12" x14ac:dyDescent="0.35">
      <c r="A705">
        <v>2025</v>
      </c>
      <c r="B705">
        <v>5</v>
      </c>
      <c r="C705" t="s">
        <v>68</v>
      </c>
      <c r="D705" t="s">
        <v>101</v>
      </c>
      <c r="E705" t="s">
        <v>102</v>
      </c>
      <c r="F705">
        <v>11</v>
      </c>
      <c r="G705">
        <v>553894</v>
      </c>
      <c r="H705">
        <v>586038</v>
      </c>
      <c r="I705">
        <v>352786</v>
      </c>
      <c r="J705">
        <v>675324</v>
      </c>
      <c r="K705">
        <v>513082</v>
      </c>
      <c r="L705">
        <v>645189</v>
      </c>
    </row>
    <row r="706" spans="1:12" x14ac:dyDescent="0.35">
      <c r="A706">
        <v>2025</v>
      </c>
      <c r="B706">
        <v>5</v>
      </c>
      <c r="C706" t="s">
        <v>68</v>
      </c>
      <c r="D706" t="s">
        <v>103</v>
      </c>
      <c r="E706" t="s">
        <v>104</v>
      </c>
      <c r="F706">
        <v>9</v>
      </c>
      <c r="G706">
        <v>361016</v>
      </c>
      <c r="H706">
        <v>332786</v>
      </c>
      <c r="I706">
        <v>313573</v>
      </c>
      <c r="J706">
        <v>502848</v>
      </c>
      <c r="K706">
        <v>321073</v>
      </c>
      <c r="L706">
        <v>372366</v>
      </c>
    </row>
    <row r="707" spans="1:12" x14ac:dyDescent="0.35">
      <c r="A707">
        <v>2025</v>
      </c>
      <c r="B707">
        <v>5</v>
      </c>
      <c r="C707" t="s">
        <v>68</v>
      </c>
      <c r="D707" t="s">
        <v>105</v>
      </c>
      <c r="E707" t="s">
        <v>106</v>
      </c>
      <c r="F707">
        <v>37</v>
      </c>
      <c r="G707">
        <v>443999</v>
      </c>
      <c r="H707">
        <v>399485</v>
      </c>
      <c r="I707">
        <v>313573</v>
      </c>
      <c r="J707">
        <v>697640</v>
      </c>
      <c r="K707">
        <v>349866</v>
      </c>
      <c r="L707">
        <v>535903</v>
      </c>
    </row>
    <row r="708" spans="1:12" x14ac:dyDescent="0.35">
      <c r="A708">
        <v>2025</v>
      </c>
      <c r="B708">
        <v>5</v>
      </c>
      <c r="C708" t="s">
        <v>68</v>
      </c>
      <c r="D708" t="s">
        <v>107</v>
      </c>
      <c r="E708" t="s">
        <v>108</v>
      </c>
      <c r="F708">
        <v>7</v>
      </c>
      <c r="G708">
        <v>340979</v>
      </c>
      <c r="H708">
        <v>330286</v>
      </c>
      <c r="I708">
        <v>330286</v>
      </c>
      <c r="J708">
        <v>373474</v>
      </c>
      <c r="K708">
        <v>330286</v>
      </c>
      <c r="L708">
        <v>349866</v>
      </c>
    </row>
    <row r="709" spans="1:12" x14ac:dyDescent="0.35">
      <c r="A709">
        <v>2025</v>
      </c>
      <c r="B709">
        <v>5</v>
      </c>
      <c r="C709" t="s">
        <v>68</v>
      </c>
      <c r="D709" t="s">
        <v>109</v>
      </c>
      <c r="E709" t="s">
        <v>110</v>
      </c>
      <c r="F709">
        <v>5152</v>
      </c>
      <c r="G709">
        <v>549034</v>
      </c>
      <c r="H709">
        <v>519658</v>
      </c>
      <c r="I709">
        <v>407405</v>
      </c>
      <c r="J709">
        <v>803035</v>
      </c>
      <c r="K709">
        <v>440594</v>
      </c>
      <c r="L709">
        <v>663060</v>
      </c>
    </row>
    <row r="710" spans="1:12" x14ac:dyDescent="0.35">
      <c r="A710">
        <v>2025</v>
      </c>
      <c r="B710">
        <v>5</v>
      </c>
      <c r="C710" t="s">
        <v>68</v>
      </c>
      <c r="D710" t="s">
        <v>111</v>
      </c>
      <c r="E710" t="s">
        <v>112</v>
      </c>
      <c r="F710">
        <v>14878</v>
      </c>
      <c r="G710">
        <v>339391</v>
      </c>
      <c r="H710">
        <v>323019</v>
      </c>
      <c r="I710">
        <v>247193</v>
      </c>
      <c r="J710">
        <v>670977</v>
      </c>
      <c r="K710">
        <v>285752</v>
      </c>
      <c r="L710">
        <v>363474</v>
      </c>
    </row>
    <row r="711" spans="1:12" x14ac:dyDescent="0.35">
      <c r="A711">
        <v>2025</v>
      </c>
      <c r="B711">
        <v>5</v>
      </c>
      <c r="C711" t="s">
        <v>68</v>
      </c>
      <c r="D711" t="s">
        <v>113</v>
      </c>
      <c r="E711" t="s">
        <v>114</v>
      </c>
      <c r="F711">
        <v>8248</v>
      </c>
      <c r="G711">
        <v>319756</v>
      </c>
      <c r="H711">
        <v>308942</v>
      </c>
      <c r="I711">
        <v>260064</v>
      </c>
      <c r="J711">
        <v>585804</v>
      </c>
      <c r="K711">
        <v>280752</v>
      </c>
      <c r="L711">
        <v>341442</v>
      </c>
    </row>
    <row r="712" spans="1:12" x14ac:dyDescent="0.35">
      <c r="A712">
        <v>2025</v>
      </c>
      <c r="B712">
        <v>5</v>
      </c>
      <c r="C712" t="s">
        <v>68</v>
      </c>
      <c r="D712" t="s">
        <v>115</v>
      </c>
      <c r="E712" t="s">
        <v>116</v>
      </c>
      <c r="F712">
        <v>89</v>
      </c>
      <c r="G712">
        <v>578819</v>
      </c>
      <c r="H712">
        <v>566224</v>
      </c>
      <c r="I712">
        <v>407405</v>
      </c>
      <c r="J712">
        <v>825535</v>
      </c>
      <c r="K712">
        <v>453094</v>
      </c>
      <c r="L712">
        <v>681987</v>
      </c>
    </row>
    <row r="713" spans="1:12" x14ac:dyDescent="0.35">
      <c r="A713">
        <v>2025</v>
      </c>
      <c r="B713">
        <v>5</v>
      </c>
      <c r="C713" t="s">
        <v>68</v>
      </c>
      <c r="D713" t="s">
        <v>117</v>
      </c>
      <c r="E713" t="s">
        <v>118</v>
      </c>
      <c r="F713">
        <v>413</v>
      </c>
      <c r="G713">
        <v>581187</v>
      </c>
      <c r="H713">
        <v>563722</v>
      </c>
      <c r="I713">
        <v>407405</v>
      </c>
      <c r="J713">
        <v>856885</v>
      </c>
      <c r="K713">
        <v>454485</v>
      </c>
      <c r="L713">
        <v>703058</v>
      </c>
    </row>
    <row r="714" spans="1:12" x14ac:dyDescent="0.35">
      <c r="A714">
        <v>2025</v>
      </c>
      <c r="B714">
        <v>5</v>
      </c>
      <c r="C714" t="s">
        <v>68</v>
      </c>
      <c r="D714" t="s">
        <v>119</v>
      </c>
      <c r="E714" t="s">
        <v>120</v>
      </c>
      <c r="F714">
        <v>1020</v>
      </c>
      <c r="G714">
        <v>499158</v>
      </c>
      <c r="H714">
        <v>472441</v>
      </c>
      <c r="I714">
        <v>407405</v>
      </c>
      <c r="J714">
        <v>788035</v>
      </c>
      <c r="K714">
        <v>435594</v>
      </c>
      <c r="L714">
        <v>534658</v>
      </c>
    </row>
    <row r="715" spans="1:12" x14ac:dyDescent="0.35">
      <c r="A715">
        <v>2025</v>
      </c>
      <c r="B715">
        <v>5</v>
      </c>
      <c r="C715" t="s">
        <v>68</v>
      </c>
      <c r="D715" t="s">
        <v>121</v>
      </c>
      <c r="E715" t="s">
        <v>122</v>
      </c>
      <c r="F715">
        <v>523</v>
      </c>
      <c r="G715">
        <v>450546</v>
      </c>
      <c r="H715">
        <v>447995</v>
      </c>
      <c r="I715">
        <v>313573</v>
      </c>
      <c r="J715">
        <v>690140</v>
      </c>
      <c r="K715">
        <v>394485</v>
      </c>
      <c r="L715">
        <v>505348</v>
      </c>
    </row>
    <row r="716" spans="1:12" x14ac:dyDescent="0.35">
      <c r="A716">
        <v>2025</v>
      </c>
      <c r="B716">
        <v>5</v>
      </c>
      <c r="C716" t="s">
        <v>68</v>
      </c>
      <c r="D716" t="s">
        <v>123</v>
      </c>
      <c r="E716" t="s">
        <v>124</v>
      </c>
      <c r="F716">
        <v>1</v>
      </c>
      <c r="G716">
        <v>318942</v>
      </c>
      <c r="H716">
        <v>318942</v>
      </c>
      <c r="I716">
        <v>318942</v>
      </c>
      <c r="J716">
        <v>318942</v>
      </c>
      <c r="K716">
        <v>318942</v>
      </c>
      <c r="L716">
        <v>318942</v>
      </c>
    </row>
    <row r="717" spans="1:12" x14ac:dyDescent="0.35">
      <c r="A717">
        <v>2025</v>
      </c>
      <c r="B717">
        <v>5</v>
      </c>
      <c r="C717" t="s">
        <v>68</v>
      </c>
      <c r="D717" t="s">
        <v>125</v>
      </c>
      <c r="E717" t="s">
        <v>126</v>
      </c>
      <c r="F717">
        <v>206</v>
      </c>
      <c r="G717">
        <v>427260</v>
      </c>
      <c r="H717">
        <v>365974</v>
      </c>
      <c r="I717">
        <v>325286</v>
      </c>
      <c r="J717">
        <v>680189</v>
      </c>
      <c r="K717">
        <v>353474</v>
      </c>
      <c r="L717">
        <v>543403</v>
      </c>
    </row>
    <row r="718" spans="1:12" x14ac:dyDescent="0.35">
      <c r="A718">
        <v>2025</v>
      </c>
      <c r="B718">
        <v>5</v>
      </c>
      <c r="C718" t="s">
        <v>68</v>
      </c>
      <c r="D718" t="s">
        <v>127</v>
      </c>
      <c r="E718" t="s">
        <v>128</v>
      </c>
      <c r="F718">
        <v>5800</v>
      </c>
      <c r="G718">
        <v>897029</v>
      </c>
      <c r="H718">
        <v>848355</v>
      </c>
      <c r="I718">
        <v>656667</v>
      </c>
      <c r="J718">
        <v>1457068</v>
      </c>
      <c r="K718">
        <v>723145</v>
      </c>
      <c r="L718">
        <v>1038184</v>
      </c>
    </row>
    <row r="719" spans="1:12" x14ac:dyDescent="0.35">
      <c r="A719">
        <v>2025</v>
      </c>
      <c r="B719">
        <v>5</v>
      </c>
      <c r="C719" t="s">
        <v>68</v>
      </c>
      <c r="D719" t="s">
        <v>129</v>
      </c>
      <c r="E719" t="s">
        <v>130</v>
      </c>
      <c r="F719">
        <v>317</v>
      </c>
      <c r="G719">
        <v>568261</v>
      </c>
      <c r="H719">
        <v>559220</v>
      </c>
      <c r="I719">
        <v>360926</v>
      </c>
      <c r="J719">
        <v>790789</v>
      </c>
      <c r="K719">
        <v>489104</v>
      </c>
      <c r="L719">
        <v>627737</v>
      </c>
    </row>
    <row r="720" spans="1:12" x14ac:dyDescent="0.35">
      <c r="A720">
        <v>2025</v>
      </c>
      <c r="B720">
        <v>5</v>
      </c>
      <c r="C720" t="s">
        <v>68</v>
      </c>
      <c r="D720" t="s">
        <v>131</v>
      </c>
      <c r="E720" t="s">
        <v>132</v>
      </c>
      <c r="F720">
        <v>37323</v>
      </c>
      <c r="G720">
        <v>595597</v>
      </c>
      <c r="H720">
        <v>592515</v>
      </c>
      <c r="I720">
        <v>333389</v>
      </c>
      <c r="J720">
        <v>872702</v>
      </c>
      <c r="K720">
        <v>503550</v>
      </c>
      <c r="L720">
        <v>671484</v>
      </c>
    </row>
    <row r="721" spans="1:12" x14ac:dyDescent="0.35">
      <c r="A721">
        <v>2025</v>
      </c>
      <c r="B721">
        <v>5</v>
      </c>
      <c r="C721" t="s">
        <v>68</v>
      </c>
      <c r="D721" t="s">
        <v>133</v>
      </c>
      <c r="E721" t="s">
        <v>134</v>
      </c>
      <c r="F721">
        <v>87227</v>
      </c>
      <c r="G721">
        <v>413338</v>
      </c>
      <c r="H721">
        <v>407540</v>
      </c>
      <c r="I721">
        <v>266776</v>
      </c>
      <c r="J721">
        <v>584893</v>
      </c>
      <c r="K721">
        <v>331258</v>
      </c>
      <c r="L721">
        <v>501739</v>
      </c>
    </row>
    <row r="722" spans="1:12" x14ac:dyDescent="0.35">
      <c r="A722">
        <v>2025</v>
      </c>
      <c r="B722">
        <v>5</v>
      </c>
      <c r="C722" t="s">
        <v>68</v>
      </c>
      <c r="D722" t="s">
        <v>135</v>
      </c>
      <c r="E722" t="s">
        <v>136</v>
      </c>
      <c r="F722">
        <v>21051</v>
      </c>
      <c r="G722">
        <v>716139</v>
      </c>
      <c r="H722">
        <v>699955</v>
      </c>
      <c r="I722">
        <v>416333</v>
      </c>
      <c r="J722">
        <v>1071445</v>
      </c>
      <c r="K722">
        <v>635792</v>
      </c>
      <c r="L722">
        <v>832730</v>
      </c>
    </row>
    <row r="723" spans="1:12" x14ac:dyDescent="0.35">
      <c r="A723">
        <v>2025</v>
      </c>
      <c r="B723">
        <v>5</v>
      </c>
      <c r="C723" t="s">
        <v>68</v>
      </c>
      <c r="D723" t="s">
        <v>137</v>
      </c>
      <c r="E723" t="s">
        <v>138</v>
      </c>
      <c r="F723">
        <v>12450</v>
      </c>
      <c r="G723">
        <v>463959</v>
      </c>
      <c r="H723">
        <v>443044</v>
      </c>
      <c r="I723">
        <v>262563</v>
      </c>
      <c r="J723">
        <v>853074</v>
      </c>
      <c r="K723">
        <v>365926</v>
      </c>
      <c r="L723">
        <v>541222</v>
      </c>
    </row>
    <row r="724" spans="1:12" x14ac:dyDescent="0.35">
      <c r="A724">
        <v>2025</v>
      </c>
      <c r="B724">
        <v>5</v>
      </c>
      <c r="C724" t="s">
        <v>68</v>
      </c>
      <c r="D724" t="s">
        <v>139</v>
      </c>
      <c r="E724" t="s">
        <v>140</v>
      </c>
      <c r="F724">
        <v>28</v>
      </c>
      <c r="G724">
        <v>631500</v>
      </c>
      <c r="H724">
        <v>630237</v>
      </c>
      <c r="I724">
        <v>518403</v>
      </c>
      <c r="J724">
        <v>741187</v>
      </c>
      <c r="K724">
        <v>612737</v>
      </c>
      <c r="L724">
        <v>642737</v>
      </c>
    </row>
    <row r="725" spans="1:12" x14ac:dyDescent="0.35">
      <c r="A725">
        <v>2025</v>
      </c>
      <c r="B725">
        <v>5</v>
      </c>
      <c r="C725" t="s">
        <v>68</v>
      </c>
      <c r="D725" t="s">
        <v>141</v>
      </c>
      <c r="E725" t="s">
        <v>142</v>
      </c>
      <c r="F725">
        <v>918</v>
      </c>
      <c r="G725">
        <v>512315</v>
      </c>
      <c r="H725">
        <v>501555</v>
      </c>
      <c r="I725">
        <v>342134</v>
      </c>
      <c r="J725">
        <v>775356</v>
      </c>
      <c r="K725">
        <v>448833</v>
      </c>
      <c r="L725">
        <v>559968</v>
      </c>
    </row>
    <row r="726" spans="1:12" x14ac:dyDescent="0.35">
      <c r="A726">
        <v>2025</v>
      </c>
      <c r="B726">
        <v>5</v>
      </c>
      <c r="C726" t="s">
        <v>68</v>
      </c>
      <c r="D726" t="s">
        <v>143</v>
      </c>
      <c r="E726" t="s">
        <v>144</v>
      </c>
      <c r="F726">
        <v>5218</v>
      </c>
      <c r="G726">
        <v>286466</v>
      </c>
      <c r="H726">
        <v>278486</v>
      </c>
      <c r="I726">
        <v>229743</v>
      </c>
      <c r="J726">
        <v>439017</v>
      </c>
      <c r="K726">
        <v>262564</v>
      </c>
      <c r="L726">
        <v>304176</v>
      </c>
    </row>
    <row r="727" spans="1:12" x14ac:dyDescent="0.35">
      <c r="A727">
        <v>2025</v>
      </c>
      <c r="B727">
        <v>5</v>
      </c>
      <c r="C727" t="s">
        <v>68</v>
      </c>
      <c r="D727" t="s">
        <v>145</v>
      </c>
      <c r="E727" t="s">
        <v>146</v>
      </c>
      <c r="F727">
        <v>121</v>
      </c>
      <c r="G727">
        <v>446929</v>
      </c>
      <c r="H727">
        <v>451985</v>
      </c>
      <c r="I727">
        <v>341073</v>
      </c>
      <c r="J727">
        <v>590804</v>
      </c>
      <c r="K727">
        <v>427824</v>
      </c>
      <c r="L727">
        <v>476936</v>
      </c>
    </row>
    <row r="728" spans="1:12" x14ac:dyDescent="0.35">
      <c r="A728">
        <v>2025</v>
      </c>
      <c r="B728">
        <v>5</v>
      </c>
      <c r="C728" t="s">
        <v>68</v>
      </c>
      <c r="D728" t="s">
        <v>147</v>
      </c>
      <c r="E728" t="s">
        <v>148</v>
      </c>
      <c r="F728">
        <v>113</v>
      </c>
      <c r="G728">
        <v>339271</v>
      </c>
      <c r="H728">
        <v>320336</v>
      </c>
      <c r="I728">
        <v>297836</v>
      </c>
      <c r="J728">
        <v>455544</v>
      </c>
      <c r="K728">
        <v>302836</v>
      </c>
      <c r="L728">
        <v>348155</v>
      </c>
    </row>
    <row r="729" spans="1:12" x14ac:dyDescent="0.35">
      <c r="A729">
        <v>2025</v>
      </c>
      <c r="B729">
        <v>5</v>
      </c>
      <c r="C729" t="s">
        <v>68</v>
      </c>
      <c r="D729" t="s">
        <v>149</v>
      </c>
      <c r="E729" t="s">
        <v>150</v>
      </c>
      <c r="F729">
        <v>1934</v>
      </c>
      <c r="G729">
        <v>404311</v>
      </c>
      <c r="H729">
        <v>372366</v>
      </c>
      <c r="I729">
        <v>297836</v>
      </c>
      <c r="J729">
        <v>735916</v>
      </c>
      <c r="K729">
        <v>342366</v>
      </c>
      <c r="L729">
        <v>429932</v>
      </c>
    </row>
    <row r="730" spans="1:12" x14ac:dyDescent="0.35">
      <c r="A730">
        <v>2025</v>
      </c>
      <c r="B730">
        <v>5</v>
      </c>
      <c r="C730" t="s">
        <v>68</v>
      </c>
      <c r="D730" t="s">
        <v>151</v>
      </c>
      <c r="E730" t="s">
        <v>152</v>
      </c>
      <c r="F730">
        <v>672</v>
      </c>
      <c r="G730">
        <v>1007757</v>
      </c>
      <c r="H730">
        <v>1044725</v>
      </c>
      <c r="I730">
        <v>690287</v>
      </c>
      <c r="J730">
        <v>1300957</v>
      </c>
      <c r="K730">
        <v>905118</v>
      </c>
      <c r="L730">
        <v>1116708</v>
      </c>
    </row>
    <row r="731" spans="1:12" x14ac:dyDescent="0.35">
      <c r="A731">
        <v>2025</v>
      </c>
      <c r="B731">
        <v>5</v>
      </c>
      <c r="C731" t="s">
        <v>68</v>
      </c>
      <c r="D731" t="s">
        <v>153</v>
      </c>
      <c r="E731" t="s">
        <v>154</v>
      </c>
      <c r="F731">
        <v>150</v>
      </c>
      <c r="G731">
        <v>643103</v>
      </c>
      <c r="H731">
        <v>657320</v>
      </c>
      <c r="I731">
        <v>406061</v>
      </c>
      <c r="J731">
        <v>817666</v>
      </c>
      <c r="K731">
        <v>552480</v>
      </c>
      <c r="L731">
        <v>747628</v>
      </c>
    </row>
    <row r="732" spans="1:12" x14ac:dyDescent="0.35">
      <c r="A732">
        <v>2025</v>
      </c>
      <c r="B732">
        <v>5</v>
      </c>
      <c r="C732" t="s">
        <v>68</v>
      </c>
      <c r="D732" t="s">
        <v>155</v>
      </c>
      <c r="E732" t="s">
        <v>156</v>
      </c>
      <c r="F732">
        <v>1020</v>
      </c>
      <c r="G732">
        <v>394121</v>
      </c>
      <c r="H732">
        <v>374558</v>
      </c>
      <c r="I732">
        <v>262564</v>
      </c>
      <c r="J732">
        <v>707824</v>
      </c>
      <c r="K732">
        <v>320519</v>
      </c>
      <c r="L732">
        <v>430963</v>
      </c>
    </row>
    <row r="733" spans="1:12" x14ac:dyDescent="0.35">
      <c r="A733">
        <v>2025</v>
      </c>
      <c r="B733">
        <v>5</v>
      </c>
      <c r="C733" t="s">
        <v>68</v>
      </c>
      <c r="D733" t="s">
        <v>157</v>
      </c>
      <c r="E733" t="s">
        <v>158</v>
      </c>
      <c r="F733">
        <v>178</v>
      </c>
      <c r="G733">
        <v>469256</v>
      </c>
      <c r="H733">
        <v>432540</v>
      </c>
      <c r="I733">
        <v>330286</v>
      </c>
      <c r="J733">
        <v>690140</v>
      </c>
      <c r="K733">
        <v>387111</v>
      </c>
      <c r="L733">
        <v>538403</v>
      </c>
    </row>
    <row r="734" spans="1:12" x14ac:dyDescent="0.35">
      <c r="A734">
        <v>2025</v>
      </c>
      <c r="B734">
        <v>5</v>
      </c>
      <c r="C734" t="s">
        <v>68</v>
      </c>
      <c r="D734" t="s">
        <v>159</v>
      </c>
      <c r="E734" t="s">
        <v>160</v>
      </c>
      <c r="F734">
        <v>417</v>
      </c>
      <c r="G734">
        <v>438913</v>
      </c>
      <c r="H734">
        <v>428044</v>
      </c>
      <c r="I734">
        <v>302836</v>
      </c>
      <c r="J734">
        <v>700324</v>
      </c>
      <c r="K734">
        <v>359866</v>
      </c>
      <c r="L734">
        <v>475495</v>
      </c>
    </row>
    <row r="735" spans="1:12" x14ac:dyDescent="0.35">
      <c r="A735">
        <v>2025</v>
      </c>
      <c r="B735">
        <v>5</v>
      </c>
      <c r="C735" t="s">
        <v>68</v>
      </c>
      <c r="D735" t="s">
        <v>161</v>
      </c>
      <c r="E735" t="s">
        <v>162</v>
      </c>
      <c r="F735">
        <v>123</v>
      </c>
      <c r="G735">
        <v>479103</v>
      </c>
      <c r="H735">
        <v>448044</v>
      </c>
      <c r="I735">
        <v>313573</v>
      </c>
      <c r="J735">
        <v>704353</v>
      </c>
      <c r="K735">
        <v>373474</v>
      </c>
      <c r="L735">
        <v>570804</v>
      </c>
    </row>
    <row r="736" spans="1:12" x14ac:dyDescent="0.35">
      <c r="A736">
        <v>2025</v>
      </c>
      <c r="B736">
        <v>6</v>
      </c>
      <c r="C736" t="s">
        <v>69</v>
      </c>
      <c r="D736" t="s">
        <v>77</v>
      </c>
      <c r="E736" t="s">
        <v>78</v>
      </c>
      <c r="F736">
        <v>4</v>
      </c>
      <c r="G736">
        <v>414079</v>
      </c>
      <c r="H736">
        <v>380046</v>
      </c>
      <c r="I736">
        <v>325655</v>
      </c>
      <c r="J736">
        <v>570570</v>
      </c>
      <c r="K736">
        <v>325655</v>
      </c>
      <c r="L736">
        <v>434436</v>
      </c>
    </row>
    <row r="737" spans="1:12" x14ac:dyDescent="0.35">
      <c r="A737">
        <v>2025</v>
      </c>
      <c r="B737">
        <v>6</v>
      </c>
      <c r="C737" t="s">
        <v>69</v>
      </c>
      <c r="D737" t="s">
        <v>79</v>
      </c>
      <c r="E737" t="s">
        <v>80</v>
      </c>
      <c r="F737">
        <v>162</v>
      </c>
      <c r="G737">
        <v>450693</v>
      </c>
      <c r="H737">
        <v>417540</v>
      </c>
      <c r="I737">
        <v>302836</v>
      </c>
      <c r="J737">
        <v>715324</v>
      </c>
      <c r="K737">
        <v>353290</v>
      </c>
      <c r="L737">
        <v>540804</v>
      </c>
    </row>
    <row r="738" spans="1:12" x14ac:dyDescent="0.35">
      <c r="A738">
        <v>2025</v>
      </c>
      <c r="B738">
        <v>6</v>
      </c>
      <c r="C738" t="s">
        <v>69</v>
      </c>
      <c r="D738" t="s">
        <v>81</v>
      </c>
      <c r="E738" t="s">
        <v>82</v>
      </c>
      <c r="F738">
        <v>14</v>
      </c>
      <c r="G738">
        <v>652443</v>
      </c>
      <c r="H738">
        <v>651974</v>
      </c>
      <c r="I738">
        <v>541690</v>
      </c>
      <c r="J738">
        <v>719351</v>
      </c>
      <c r="K738">
        <v>641581</v>
      </c>
      <c r="L738">
        <v>673379</v>
      </c>
    </row>
    <row r="739" spans="1:12" x14ac:dyDescent="0.35">
      <c r="A739">
        <v>2025</v>
      </c>
      <c r="B739">
        <v>6</v>
      </c>
      <c r="C739" t="s">
        <v>69</v>
      </c>
      <c r="D739" t="s">
        <v>83</v>
      </c>
      <c r="E739" t="s">
        <v>84</v>
      </c>
      <c r="F739">
        <v>55</v>
      </c>
      <c r="G739">
        <v>493679</v>
      </c>
      <c r="H739">
        <v>520903</v>
      </c>
      <c r="I739">
        <v>330286</v>
      </c>
      <c r="J739">
        <v>659955</v>
      </c>
      <c r="K739">
        <v>358474</v>
      </c>
      <c r="L739">
        <v>619918</v>
      </c>
    </row>
    <row r="740" spans="1:12" x14ac:dyDescent="0.35">
      <c r="A740">
        <v>2025</v>
      </c>
      <c r="B740">
        <v>6</v>
      </c>
      <c r="C740" t="s">
        <v>69</v>
      </c>
      <c r="D740" t="s">
        <v>85</v>
      </c>
      <c r="E740" t="s">
        <v>86</v>
      </c>
      <c r="F740">
        <v>1095</v>
      </c>
      <c r="G740">
        <v>504735</v>
      </c>
      <c r="H740">
        <v>479104</v>
      </c>
      <c r="I740">
        <v>302836</v>
      </c>
      <c r="J740">
        <v>735411</v>
      </c>
      <c r="K740">
        <v>414485</v>
      </c>
      <c r="L740">
        <v>609733</v>
      </c>
    </row>
    <row r="741" spans="1:12" x14ac:dyDescent="0.35">
      <c r="A741">
        <v>2025</v>
      </c>
      <c r="B741">
        <v>6</v>
      </c>
      <c r="C741" t="s">
        <v>69</v>
      </c>
      <c r="D741" t="s">
        <v>87</v>
      </c>
      <c r="E741" t="s">
        <v>88</v>
      </c>
      <c r="F741">
        <v>4</v>
      </c>
      <c r="G741">
        <v>597371</v>
      </c>
      <c r="H741">
        <v>593852</v>
      </c>
      <c r="I741">
        <v>555804</v>
      </c>
      <c r="J741">
        <v>645977</v>
      </c>
      <c r="K741">
        <v>563304</v>
      </c>
      <c r="L741">
        <v>624400</v>
      </c>
    </row>
    <row r="742" spans="1:12" x14ac:dyDescent="0.35">
      <c r="A742">
        <v>2025</v>
      </c>
      <c r="B742">
        <v>6</v>
      </c>
      <c r="C742" t="s">
        <v>69</v>
      </c>
      <c r="D742" t="s">
        <v>89</v>
      </c>
      <c r="E742" t="s">
        <v>90</v>
      </c>
      <c r="F742">
        <v>820</v>
      </c>
      <c r="G742">
        <v>483298</v>
      </c>
      <c r="H742">
        <v>450346</v>
      </c>
      <c r="I742">
        <v>302836</v>
      </c>
      <c r="J742">
        <v>748416</v>
      </c>
      <c r="K742">
        <v>390322</v>
      </c>
      <c r="L742">
        <v>592420</v>
      </c>
    </row>
    <row r="743" spans="1:12" x14ac:dyDescent="0.35">
      <c r="A743">
        <v>2025</v>
      </c>
      <c r="B743">
        <v>6</v>
      </c>
      <c r="C743" t="s">
        <v>69</v>
      </c>
      <c r="D743" t="s">
        <v>91</v>
      </c>
      <c r="E743" t="s">
        <v>92</v>
      </c>
      <c r="F743">
        <v>152</v>
      </c>
      <c r="G743">
        <v>364488</v>
      </c>
      <c r="H743">
        <v>345790</v>
      </c>
      <c r="I743">
        <v>297836</v>
      </c>
      <c r="J743">
        <v>646900</v>
      </c>
      <c r="K743">
        <v>335655</v>
      </c>
      <c r="L743">
        <v>364866</v>
      </c>
    </row>
    <row r="744" spans="1:12" x14ac:dyDescent="0.35">
      <c r="A744">
        <v>2025</v>
      </c>
      <c r="B744">
        <v>6</v>
      </c>
      <c r="C744" t="s">
        <v>69</v>
      </c>
      <c r="D744" t="s">
        <v>93</v>
      </c>
      <c r="E744" t="s">
        <v>94</v>
      </c>
      <c r="F744">
        <v>30</v>
      </c>
      <c r="G744">
        <v>355346</v>
      </c>
      <c r="H744">
        <v>337970</v>
      </c>
      <c r="I744">
        <v>297836</v>
      </c>
      <c r="J744">
        <v>583439</v>
      </c>
      <c r="K744">
        <v>323155</v>
      </c>
      <c r="L744">
        <v>375324</v>
      </c>
    </row>
    <row r="745" spans="1:12" x14ac:dyDescent="0.35">
      <c r="A745">
        <v>2025</v>
      </c>
      <c r="B745">
        <v>6</v>
      </c>
      <c r="C745" t="s">
        <v>69</v>
      </c>
      <c r="D745" t="s">
        <v>95</v>
      </c>
      <c r="E745" t="s">
        <v>96</v>
      </c>
      <c r="F745">
        <v>16</v>
      </c>
      <c r="G745">
        <v>390230</v>
      </c>
      <c r="H745">
        <v>349010</v>
      </c>
      <c r="I745">
        <v>313573</v>
      </c>
      <c r="J745">
        <v>610939</v>
      </c>
      <c r="K745">
        <v>328573</v>
      </c>
      <c r="L745">
        <v>414485</v>
      </c>
    </row>
    <row r="746" spans="1:12" x14ac:dyDescent="0.35">
      <c r="A746">
        <v>2025</v>
      </c>
      <c r="B746">
        <v>6</v>
      </c>
      <c r="C746" t="s">
        <v>69</v>
      </c>
      <c r="D746" t="s">
        <v>97</v>
      </c>
      <c r="E746" t="s">
        <v>98</v>
      </c>
      <c r="F746">
        <v>263</v>
      </c>
      <c r="G746">
        <v>412437</v>
      </c>
      <c r="H746">
        <v>367786</v>
      </c>
      <c r="I746">
        <v>302836</v>
      </c>
      <c r="J746">
        <v>695189</v>
      </c>
      <c r="K746">
        <v>345790</v>
      </c>
      <c r="L746">
        <v>433044</v>
      </c>
    </row>
    <row r="747" spans="1:12" x14ac:dyDescent="0.35">
      <c r="A747">
        <v>2025</v>
      </c>
      <c r="B747">
        <v>6</v>
      </c>
      <c r="C747" t="s">
        <v>69</v>
      </c>
      <c r="D747" t="s">
        <v>99</v>
      </c>
      <c r="E747" t="s">
        <v>100</v>
      </c>
      <c r="F747">
        <v>412</v>
      </c>
      <c r="G747">
        <v>448597</v>
      </c>
      <c r="H747">
        <v>436936</v>
      </c>
      <c r="I747">
        <v>297836</v>
      </c>
      <c r="J747">
        <v>710411</v>
      </c>
      <c r="K747">
        <v>390322</v>
      </c>
      <c r="L747">
        <v>505093</v>
      </c>
    </row>
    <row r="748" spans="1:12" x14ac:dyDescent="0.35">
      <c r="A748">
        <v>2025</v>
      </c>
      <c r="B748">
        <v>6</v>
      </c>
      <c r="C748" t="s">
        <v>69</v>
      </c>
      <c r="D748" t="s">
        <v>101</v>
      </c>
      <c r="E748" t="s">
        <v>102</v>
      </c>
      <c r="F748">
        <v>10</v>
      </c>
      <c r="G748">
        <v>545940</v>
      </c>
      <c r="H748">
        <v>559561</v>
      </c>
      <c r="I748">
        <v>352786</v>
      </c>
      <c r="J748">
        <v>675324</v>
      </c>
      <c r="K748">
        <v>440040</v>
      </c>
      <c r="L748">
        <v>645189</v>
      </c>
    </row>
    <row r="749" spans="1:12" x14ac:dyDescent="0.35">
      <c r="A749">
        <v>2025</v>
      </c>
      <c r="B749">
        <v>6</v>
      </c>
      <c r="C749" t="s">
        <v>69</v>
      </c>
      <c r="D749" t="s">
        <v>103</v>
      </c>
      <c r="E749" t="s">
        <v>104</v>
      </c>
      <c r="F749">
        <v>9</v>
      </c>
      <c r="G749">
        <v>361016</v>
      </c>
      <c r="H749">
        <v>332786</v>
      </c>
      <c r="I749">
        <v>313573</v>
      </c>
      <c r="J749">
        <v>502848</v>
      </c>
      <c r="K749">
        <v>321073</v>
      </c>
      <c r="L749">
        <v>372366</v>
      </c>
    </row>
    <row r="750" spans="1:12" x14ac:dyDescent="0.35">
      <c r="A750">
        <v>2025</v>
      </c>
      <c r="B750">
        <v>6</v>
      </c>
      <c r="C750" t="s">
        <v>69</v>
      </c>
      <c r="D750" t="s">
        <v>105</v>
      </c>
      <c r="E750" t="s">
        <v>106</v>
      </c>
      <c r="F750">
        <v>37</v>
      </c>
      <c r="G750">
        <v>444429</v>
      </c>
      <c r="H750">
        <v>399485</v>
      </c>
      <c r="I750">
        <v>313573</v>
      </c>
      <c r="J750">
        <v>697640</v>
      </c>
      <c r="K750">
        <v>349866</v>
      </c>
      <c r="L750">
        <v>535903</v>
      </c>
    </row>
    <row r="751" spans="1:12" x14ac:dyDescent="0.35">
      <c r="A751">
        <v>2025</v>
      </c>
      <c r="B751">
        <v>6</v>
      </c>
      <c r="C751" t="s">
        <v>69</v>
      </c>
      <c r="D751" t="s">
        <v>107</v>
      </c>
      <c r="E751" t="s">
        <v>108</v>
      </c>
      <c r="F751">
        <v>7</v>
      </c>
      <c r="G751">
        <v>343577</v>
      </c>
      <c r="H751">
        <v>330286</v>
      </c>
      <c r="I751">
        <v>330286</v>
      </c>
      <c r="J751">
        <v>373474</v>
      </c>
      <c r="K751">
        <v>330286</v>
      </c>
      <c r="L751">
        <v>360552</v>
      </c>
    </row>
    <row r="752" spans="1:12" x14ac:dyDescent="0.35">
      <c r="A752">
        <v>2025</v>
      </c>
      <c r="B752">
        <v>6</v>
      </c>
      <c r="C752" t="s">
        <v>69</v>
      </c>
      <c r="D752" t="s">
        <v>109</v>
      </c>
      <c r="E752" t="s">
        <v>110</v>
      </c>
      <c r="F752">
        <v>5156</v>
      </c>
      <c r="G752">
        <v>551562</v>
      </c>
      <c r="H752">
        <v>519658</v>
      </c>
      <c r="I752">
        <v>407405</v>
      </c>
      <c r="J752">
        <v>803035</v>
      </c>
      <c r="K752">
        <v>441985</v>
      </c>
      <c r="L752">
        <v>668058</v>
      </c>
    </row>
    <row r="753" spans="1:12" x14ac:dyDescent="0.35">
      <c r="A753">
        <v>2025</v>
      </c>
      <c r="B753">
        <v>6</v>
      </c>
      <c r="C753" t="s">
        <v>69</v>
      </c>
      <c r="D753" t="s">
        <v>111</v>
      </c>
      <c r="E753" t="s">
        <v>112</v>
      </c>
      <c r="F753">
        <v>15781</v>
      </c>
      <c r="G753">
        <v>337431</v>
      </c>
      <c r="H753">
        <v>319806</v>
      </c>
      <c r="I753">
        <v>247193</v>
      </c>
      <c r="J753">
        <v>670977</v>
      </c>
      <c r="K753">
        <v>280986</v>
      </c>
      <c r="L753">
        <v>358474</v>
      </c>
    </row>
    <row r="754" spans="1:12" x14ac:dyDescent="0.35">
      <c r="A754">
        <v>2025</v>
      </c>
      <c r="B754">
        <v>6</v>
      </c>
      <c r="C754" t="s">
        <v>69</v>
      </c>
      <c r="D754" t="s">
        <v>113</v>
      </c>
      <c r="E754" t="s">
        <v>114</v>
      </c>
      <c r="F754">
        <v>8819</v>
      </c>
      <c r="G754">
        <v>318281</v>
      </c>
      <c r="H754">
        <v>308942</v>
      </c>
      <c r="I754">
        <v>260064</v>
      </c>
      <c r="J754">
        <v>585804</v>
      </c>
      <c r="K754">
        <v>280752</v>
      </c>
      <c r="L754">
        <v>338474</v>
      </c>
    </row>
    <row r="755" spans="1:12" x14ac:dyDescent="0.35">
      <c r="A755">
        <v>2025</v>
      </c>
      <c r="B755">
        <v>6</v>
      </c>
      <c r="C755" t="s">
        <v>69</v>
      </c>
      <c r="D755" t="s">
        <v>115</v>
      </c>
      <c r="E755" t="s">
        <v>116</v>
      </c>
      <c r="F755">
        <v>90</v>
      </c>
      <c r="G755">
        <v>578386</v>
      </c>
      <c r="H755">
        <v>564973</v>
      </c>
      <c r="I755">
        <v>407405</v>
      </c>
      <c r="J755">
        <v>825535</v>
      </c>
      <c r="K755">
        <v>453094</v>
      </c>
      <c r="L755">
        <v>681987</v>
      </c>
    </row>
    <row r="756" spans="1:12" x14ac:dyDescent="0.35">
      <c r="A756">
        <v>2025</v>
      </c>
      <c r="B756">
        <v>6</v>
      </c>
      <c r="C756" t="s">
        <v>69</v>
      </c>
      <c r="D756" t="s">
        <v>117</v>
      </c>
      <c r="E756" t="s">
        <v>118</v>
      </c>
      <c r="F756">
        <v>413</v>
      </c>
      <c r="G756">
        <v>583498</v>
      </c>
      <c r="H756">
        <v>566222</v>
      </c>
      <c r="I756">
        <v>407405</v>
      </c>
      <c r="J756">
        <v>808035</v>
      </c>
      <c r="K756">
        <v>469941</v>
      </c>
      <c r="L756">
        <v>703564</v>
      </c>
    </row>
    <row r="757" spans="1:12" x14ac:dyDescent="0.35">
      <c r="A757">
        <v>2025</v>
      </c>
      <c r="B757">
        <v>6</v>
      </c>
      <c r="C757" t="s">
        <v>69</v>
      </c>
      <c r="D757" t="s">
        <v>119</v>
      </c>
      <c r="E757" t="s">
        <v>120</v>
      </c>
      <c r="F757">
        <v>1029</v>
      </c>
      <c r="G757">
        <v>501397</v>
      </c>
      <c r="H757">
        <v>481102</v>
      </c>
      <c r="I757">
        <v>407405</v>
      </c>
      <c r="J757">
        <v>788035</v>
      </c>
      <c r="K757">
        <v>435594</v>
      </c>
      <c r="L757">
        <v>534658</v>
      </c>
    </row>
    <row r="758" spans="1:12" x14ac:dyDescent="0.35">
      <c r="A758">
        <v>2025</v>
      </c>
      <c r="B758">
        <v>6</v>
      </c>
      <c r="C758" t="s">
        <v>69</v>
      </c>
      <c r="D758" t="s">
        <v>121</v>
      </c>
      <c r="E758" t="s">
        <v>122</v>
      </c>
      <c r="F758">
        <v>524</v>
      </c>
      <c r="G758">
        <v>450727</v>
      </c>
      <c r="H758">
        <v>446936</v>
      </c>
      <c r="I758">
        <v>313573</v>
      </c>
      <c r="J758">
        <v>690140</v>
      </c>
      <c r="K758">
        <v>394485</v>
      </c>
      <c r="L758">
        <v>510348</v>
      </c>
    </row>
    <row r="759" spans="1:12" x14ac:dyDescent="0.35">
      <c r="A759">
        <v>2025</v>
      </c>
      <c r="B759">
        <v>6</v>
      </c>
      <c r="C759" t="s">
        <v>69</v>
      </c>
      <c r="D759" t="s">
        <v>123</v>
      </c>
      <c r="E759" t="s">
        <v>124</v>
      </c>
      <c r="F759">
        <v>1</v>
      </c>
      <c r="G759">
        <v>318942</v>
      </c>
      <c r="H759">
        <v>318942</v>
      </c>
      <c r="I759">
        <v>318942</v>
      </c>
      <c r="J759">
        <v>318942</v>
      </c>
      <c r="K759">
        <v>318942</v>
      </c>
      <c r="L759">
        <v>318942</v>
      </c>
    </row>
    <row r="760" spans="1:12" x14ac:dyDescent="0.35">
      <c r="A760">
        <v>2025</v>
      </c>
      <c r="B760">
        <v>6</v>
      </c>
      <c r="C760" t="s">
        <v>69</v>
      </c>
      <c r="D760" t="s">
        <v>125</v>
      </c>
      <c r="E760" t="s">
        <v>126</v>
      </c>
      <c r="F760">
        <v>208</v>
      </c>
      <c r="G760">
        <v>432104</v>
      </c>
      <c r="H760">
        <v>369724</v>
      </c>
      <c r="I760">
        <v>325286</v>
      </c>
      <c r="J760">
        <v>692590</v>
      </c>
      <c r="K760">
        <v>353474</v>
      </c>
      <c r="L760">
        <v>543403</v>
      </c>
    </row>
    <row r="761" spans="1:12" x14ac:dyDescent="0.35">
      <c r="A761">
        <v>2025</v>
      </c>
      <c r="B761">
        <v>6</v>
      </c>
      <c r="C761" t="s">
        <v>69</v>
      </c>
      <c r="D761" t="s">
        <v>127</v>
      </c>
      <c r="E761" t="s">
        <v>128</v>
      </c>
      <c r="F761">
        <v>5960</v>
      </c>
      <c r="G761">
        <v>889127</v>
      </c>
      <c r="H761">
        <v>840855</v>
      </c>
      <c r="I761">
        <v>656667</v>
      </c>
      <c r="J761">
        <v>1451081</v>
      </c>
      <c r="K761">
        <v>715645</v>
      </c>
      <c r="L761">
        <v>1018233</v>
      </c>
    </row>
    <row r="762" spans="1:12" x14ac:dyDescent="0.35">
      <c r="A762">
        <v>2025</v>
      </c>
      <c r="B762">
        <v>6</v>
      </c>
      <c r="C762" t="s">
        <v>69</v>
      </c>
      <c r="D762" t="s">
        <v>129</v>
      </c>
      <c r="E762" t="s">
        <v>130</v>
      </c>
      <c r="F762">
        <v>316</v>
      </c>
      <c r="G762">
        <v>508718</v>
      </c>
      <c r="H762">
        <v>505532</v>
      </c>
      <c r="I762">
        <v>342134</v>
      </c>
      <c r="J762">
        <v>750448</v>
      </c>
      <c r="K762">
        <v>417540</v>
      </c>
      <c r="L762">
        <v>605237</v>
      </c>
    </row>
    <row r="763" spans="1:12" x14ac:dyDescent="0.35">
      <c r="A763">
        <v>2025</v>
      </c>
      <c r="B763">
        <v>6</v>
      </c>
      <c r="C763" t="s">
        <v>69</v>
      </c>
      <c r="D763" t="s">
        <v>131</v>
      </c>
      <c r="E763" t="s">
        <v>132</v>
      </c>
      <c r="F763">
        <v>37448</v>
      </c>
      <c r="G763">
        <v>522550</v>
      </c>
      <c r="H763">
        <v>491555</v>
      </c>
      <c r="I763">
        <v>333389</v>
      </c>
      <c r="J763">
        <v>887702</v>
      </c>
      <c r="K763">
        <v>441333</v>
      </c>
      <c r="L763">
        <v>587467</v>
      </c>
    </row>
    <row r="764" spans="1:12" x14ac:dyDescent="0.35">
      <c r="A764">
        <v>2025</v>
      </c>
      <c r="B764">
        <v>6</v>
      </c>
      <c r="C764" t="s">
        <v>69</v>
      </c>
      <c r="D764" t="s">
        <v>133</v>
      </c>
      <c r="E764" t="s">
        <v>134</v>
      </c>
      <c r="F764">
        <v>87414</v>
      </c>
      <c r="G764">
        <v>394218</v>
      </c>
      <c r="H764">
        <v>406936</v>
      </c>
      <c r="I764">
        <v>266776</v>
      </c>
      <c r="J764">
        <v>584793</v>
      </c>
      <c r="K764">
        <v>306172</v>
      </c>
      <c r="L764">
        <v>444436</v>
      </c>
    </row>
    <row r="765" spans="1:12" x14ac:dyDescent="0.35">
      <c r="A765">
        <v>2025</v>
      </c>
      <c r="B765">
        <v>6</v>
      </c>
      <c r="C765" t="s">
        <v>69</v>
      </c>
      <c r="D765" t="s">
        <v>135</v>
      </c>
      <c r="E765" t="s">
        <v>136</v>
      </c>
      <c r="F765">
        <v>21614</v>
      </c>
      <c r="G765">
        <v>702184</v>
      </c>
      <c r="H765">
        <v>687455</v>
      </c>
      <c r="I765">
        <v>398882</v>
      </c>
      <c r="J765">
        <v>1080842</v>
      </c>
      <c r="K765">
        <v>630792</v>
      </c>
      <c r="L765">
        <v>805719</v>
      </c>
    </row>
    <row r="766" spans="1:12" x14ac:dyDescent="0.35">
      <c r="A766">
        <v>2025</v>
      </c>
      <c r="B766">
        <v>6</v>
      </c>
      <c r="C766" t="s">
        <v>69</v>
      </c>
      <c r="D766" t="s">
        <v>137</v>
      </c>
      <c r="E766" t="s">
        <v>138</v>
      </c>
      <c r="F766">
        <v>12701</v>
      </c>
      <c r="G766">
        <v>449509</v>
      </c>
      <c r="H766">
        <v>433044</v>
      </c>
      <c r="I766">
        <v>262563</v>
      </c>
      <c r="J766">
        <v>828589</v>
      </c>
      <c r="K766">
        <v>365926</v>
      </c>
      <c r="L766">
        <v>506555</v>
      </c>
    </row>
    <row r="767" spans="1:12" x14ac:dyDescent="0.35">
      <c r="A767">
        <v>2025</v>
      </c>
      <c r="B767">
        <v>6</v>
      </c>
      <c r="C767" t="s">
        <v>69</v>
      </c>
      <c r="D767" t="s">
        <v>139</v>
      </c>
      <c r="E767" t="s">
        <v>140</v>
      </c>
      <c r="F767">
        <v>28</v>
      </c>
      <c r="G767">
        <v>628790</v>
      </c>
      <c r="H767">
        <v>631487</v>
      </c>
      <c r="I767">
        <v>518403</v>
      </c>
      <c r="J767">
        <v>741187</v>
      </c>
      <c r="K767">
        <v>615237</v>
      </c>
      <c r="L767">
        <v>644167</v>
      </c>
    </row>
    <row r="768" spans="1:12" x14ac:dyDescent="0.35">
      <c r="A768">
        <v>2025</v>
      </c>
      <c r="B768">
        <v>6</v>
      </c>
      <c r="C768" t="s">
        <v>69</v>
      </c>
      <c r="D768" t="s">
        <v>141</v>
      </c>
      <c r="E768" t="s">
        <v>142</v>
      </c>
      <c r="F768">
        <v>930</v>
      </c>
      <c r="G768">
        <v>509916</v>
      </c>
      <c r="H768">
        <v>499980</v>
      </c>
      <c r="I768">
        <v>342134</v>
      </c>
      <c r="J768">
        <v>769375</v>
      </c>
      <c r="K768">
        <v>448833</v>
      </c>
      <c r="L768">
        <v>558722</v>
      </c>
    </row>
    <row r="769" spans="1:12" x14ac:dyDescent="0.35">
      <c r="A769">
        <v>2025</v>
      </c>
      <c r="B769">
        <v>6</v>
      </c>
      <c r="C769" t="s">
        <v>69</v>
      </c>
      <c r="D769" t="s">
        <v>143</v>
      </c>
      <c r="E769" t="s">
        <v>144</v>
      </c>
      <c r="F769">
        <v>5261</v>
      </c>
      <c r="G769">
        <v>286911</v>
      </c>
      <c r="H769">
        <v>280986</v>
      </c>
      <c r="I769">
        <v>229743</v>
      </c>
      <c r="J769">
        <v>439017</v>
      </c>
      <c r="K769">
        <v>264743</v>
      </c>
      <c r="L769">
        <v>305519</v>
      </c>
    </row>
    <row r="770" spans="1:12" x14ac:dyDescent="0.35">
      <c r="A770">
        <v>2025</v>
      </c>
      <c r="B770">
        <v>6</v>
      </c>
      <c r="C770" t="s">
        <v>69</v>
      </c>
      <c r="D770" t="s">
        <v>145</v>
      </c>
      <c r="E770" t="s">
        <v>146</v>
      </c>
      <c r="F770">
        <v>120</v>
      </c>
      <c r="G770">
        <v>443648</v>
      </c>
      <c r="H770">
        <v>449460</v>
      </c>
      <c r="I770">
        <v>341073</v>
      </c>
      <c r="J770">
        <v>590804</v>
      </c>
      <c r="K770">
        <v>420322</v>
      </c>
      <c r="L770">
        <v>474485</v>
      </c>
    </row>
    <row r="771" spans="1:12" x14ac:dyDescent="0.35">
      <c r="A771">
        <v>2025</v>
      </c>
      <c r="B771">
        <v>6</v>
      </c>
      <c r="C771" t="s">
        <v>69</v>
      </c>
      <c r="D771" t="s">
        <v>147</v>
      </c>
      <c r="E771" t="s">
        <v>148</v>
      </c>
      <c r="F771">
        <v>116</v>
      </c>
      <c r="G771">
        <v>339814</v>
      </c>
      <c r="H771">
        <v>317836</v>
      </c>
      <c r="I771">
        <v>297836</v>
      </c>
      <c r="J771">
        <v>490398</v>
      </c>
      <c r="K771">
        <v>302836</v>
      </c>
      <c r="L771">
        <v>345790</v>
      </c>
    </row>
    <row r="772" spans="1:12" x14ac:dyDescent="0.35">
      <c r="A772">
        <v>2025</v>
      </c>
      <c r="B772">
        <v>6</v>
      </c>
      <c r="C772" t="s">
        <v>69</v>
      </c>
      <c r="D772" t="s">
        <v>149</v>
      </c>
      <c r="E772" t="s">
        <v>150</v>
      </c>
      <c r="F772">
        <v>1944</v>
      </c>
      <c r="G772">
        <v>404464</v>
      </c>
      <c r="H772">
        <v>373474</v>
      </c>
      <c r="I772">
        <v>297836</v>
      </c>
      <c r="J772">
        <v>735916</v>
      </c>
      <c r="K772">
        <v>343155</v>
      </c>
      <c r="L772">
        <v>431936</v>
      </c>
    </row>
    <row r="773" spans="1:12" x14ac:dyDescent="0.35">
      <c r="A773">
        <v>2025</v>
      </c>
      <c r="B773">
        <v>6</v>
      </c>
      <c r="C773" t="s">
        <v>69</v>
      </c>
      <c r="D773" t="s">
        <v>151</v>
      </c>
      <c r="E773" t="s">
        <v>152</v>
      </c>
      <c r="F773">
        <v>671</v>
      </c>
      <c r="G773">
        <v>1007217</v>
      </c>
      <c r="H773">
        <v>1044725</v>
      </c>
      <c r="I773">
        <v>690287</v>
      </c>
      <c r="J773">
        <v>1313361</v>
      </c>
      <c r="K773">
        <v>905116</v>
      </c>
      <c r="L773">
        <v>1116708</v>
      </c>
    </row>
    <row r="774" spans="1:12" x14ac:dyDescent="0.35">
      <c r="A774">
        <v>2025</v>
      </c>
      <c r="B774">
        <v>6</v>
      </c>
      <c r="C774" t="s">
        <v>69</v>
      </c>
      <c r="D774" t="s">
        <v>153</v>
      </c>
      <c r="E774" t="s">
        <v>154</v>
      </c>
      <c r="F774">
        <v>148</v>
      </c>
      <c r="G774">
        <v>647258</v>
      </c>
      <c r="H774">
        <v>662645</v>
      </c>
      <c r="I774">
        <v>406061</v>
      </c>
      <c r="J774">
        <v>849332</v>
      </c>
      <c r="K774">
        <v>552480</v>
      </c>
      <c r="L774">
        <v>760130</v>
      </c>
    </row>
    <row r="775" spans="1:12" x14ac:dyDescent="0.35">
      <c r="A775">
        <v>2025</v>
      </c>
      <c r="B775">
        <v>6</v>
      </c>
      <c r="C775" t="s">
        <v>69</v>
      </c>
      <c r="D775" t="s">
        <v>155</v>
      </c>
      <c r="E775" t="s">
        <v>156</v>
      </c>
      <c r="F775">
        <v>1018</v>
      </c>
      <c r="G775">
        <v>393873</v>
      </c>
      <c r="H775">
        <v>375322</v>
      </c>
      <c r="I775">
        <v>262564</v>
      </c>
      <c r="J775">
        <v>707824</v>
      </c>
      <c r="K775">
        <v>320519</v>
      </c>
      <c r="L775">
        <v>430643</v>
      </c>
    </row>
    <row r="776" spans="1:12" x14ac:dyDescent="0.35">
      <c r="A776">
        <v>2025</v>
      </c>
      <c r="B776">
        <v>6</v>
      </c>
      <c r="C776" t="s">
        <v>69</v>
      </c>
      <c r="D776" t="s">
        <v>157</v>
      </c>
      <c r="E776" t="s">
        <v>158</v>
      </c>
      <c r="F776">
        <v>181</v>
      </c>
      <c r="G776">
        <v>468745</v>
      </c>
      <c r="H776">
        <v>432540</v>
      </c>
      <c r="I776">
        <v>330286</v>
      </c>
      <c r="J776">
        <v>690140</v>
      </c>
      <c r="K776">
        <v>388249</v>
      </c>
      <c r="L776">
        <v>535903</v>
      </c>
    </row>
    <row r="777" spans="1:12" x14ac:dyDescent="0.35">
      <c r="A777">
        <v>2025</v>
      </c>
      <c r="B777">
        <v>6</v>
      </c>
      <c r="C777" t="s">
        <v>69</v>
      </c>
      <c r="D777" t="s">
        <v>159</v>
      </c>
      <c r="E777" t="s">
        <v>160</v>
      </c>
      <c r="F777">
        <v>417</v>
      </c>
      <c r="G777">
        <v>439521</v>
      </c>
      <c r="H777">
        <v>428044</v>
      </c>
      <c r="I777">
        <v>302836</v>
      </c>
      <c r="J777">
        <v>700324</v>
      </c>
      <c r="K777">
        <v>360790</v>
      </c>
      <c r="L777">
        <v>479104</v>
      </c>
    </row>
    <row r="778" spans="1:12" x14ac:dyDescent="0.35">
      <c r="A778">
        <v>2025</v>
      </c>
      <c r="B778">
        <v>6</v>
      </c>
      <c r="C778" t="s">
        <v>69</v>
      </c>
      <c r="D778" t="s">
        <v>161</v>
      </c>
      <c r="E778" t="s">
        <v>162</v>
      </c>
      <c r="F778">
        <v>123</v>
      </c>
      <c r="G778">
        <v>480378</v>
      </c>
      <c r="H778">
        <v>448044</v>
      </c>
      <c r="I778">
        <v>313573</v>
      </c>
      <c r="J778">
        <v>704353</v>
      </c>
      <c r="K778">
        <v>373474</v>
      </c>
      <c r="L778">
        <v>576038</v>
      </c>
    </row>
    <row r="779" spans="1:12" x14ac:dyDescent="0.35">
      <c r="A779">
        <v>2025</v>
      </c>
      <c r="B779">
        <v>7</v>
      </c>
      <c r="C779" t="s">
        <v>70</v>
      </c>
      <c r="D779" t="s">
        <v>77</v>
      </c>
      <c r="E779" t="s">
        <v>78</v>
      </c>
      <c r="F779">
        <v>4</v>
      </c>
      <c r="G779">
        <v>414079</v>
      </c>
      <c r="H779">
        <v>380046</v>
      </c>
      <c r="I779">
        <v>325655</v>
      </c>
      <c r="J779">
        <v>570570</v>
      </c>
      <c r="K779">
        <v>325655</v>
      </c>
      <c r="L779">
        <v>434436</v>
      </c>
    </row>
    <row r="780" spans="1:12" x14ac:dyDescent="0.35">
      <c r="A780">
        <v>2025</v>
      </c>
      <c r="B780">
        <v>7</v>
      </c>
      <c r="C780" t="s">
        <v>70</v>
      </c>
      <c r="D780" t="s">
        <v>79</v>
      </c>
      <c r="E780" t="s">
        <v>80</v>
      </c>
      <c r="F780">
        <v>157</v>
      </c>
      <c r="G780">
        <v>445658</v>
      </c>
      <c r="H780">
        <v>415322</v>
      </c>
      <c r="I780">
        <v>302836</v>
      </c>
      <c r="J780">
        <v>715324</v>
      </c>
      <c r="K780">
        <v>353290</v>
      </c>
      <c r="L780">
        <v>535582</v>
      </c>
    </row>
    <row r="781" spans="1:12" x14ac:dyDescent="0.35">
      <c r="A781">
        <v>2025</v>
      </c>
      <c r="B781">
        <v>7</v>
      </c>
      <c r="C781" t="s">
        <v>70</v>
      </c>
      <c r="D781" t="s">
        <v>81</v>
      </c>
      <c r="E781" t="s">
        <v>82</v>
      </c>
      <c r="F781">
        <v>18</v>
      </c>
      <c r="G781">
        <v>644015</v>
      </c>
      <c r="H781">
        <v>646907</v>
      </c>
      <c r="I781">
        <v>541690</v>
      </c>
      <c r="J781">
        <v>719351</v>
      </c>
      <c r="K781">
        <v>617233</v>
      </c>
      <c r="L781">
        <v>665879</v>
      </c>
    </row>
    <row r="782" spans="1:12" x14ac:dyDescent="0.35">
      <c r="A782">
        <v>2025</v>
      </c>
      <c r="B782">
        <v>7</v>
      </c>
      <c r="C782" t="s">
        <v>70</v>
      </c>
      <c r="D782" t="s">
        <v>83</v>
      </c>
      <c r="E782" t="s">
        <v>84</v>
      </c>
      <c r="F782">
        <v>55</v>
      </c>
      <c r="G782">
        <v>494164</v>
      </c>
      <c r="H782">
        <v>525903</v>
      </c>
      <c r="I782">
        <v>330286</v>
      </c>
      <c r="J782">
        <v>659955</v>
      </c>
      <c r="K782">
        <v>358474</v>
      </c>
      <c r="L782">
        <v>619918</v>
      </c>
    </row>
    <row r="783" spans="1:12" x14ac:dyDescent="0.35">
      <c r="A783">
        <v>2025</v>
      </c>
      <c r="B783">
        <v>7</v>
      </c>
      <c r="C783" t="s">
        <v>70</v>
      </c>
      <c r="D783" t="s">
        <v>85</v>
      </c>
      <c r="E783" t="s">
        <v>86</v>
      </c>
      <c r="F783">
        <v>1110</v>
      </c>
      <c r="G783">
        <v>504601</v>
      </c>
      <c r="H783">
        <v>478044</v>
      </c>
      <c r="I783">
        <v>302836</v>
      </c>
      <c r="J783">
        <v>735411</v>
      </c>
      <c r="K783">
        <v>412822</v>
      </c>
      <c r="L783">
        <v>603439</v>
      </c>
    </row>
    <row r="784" spans="1:12" x14ac:dyDescent="0.35">
      <c r="A784">
        <v>2025</v>
      </c>
      <c r="B784">
        <v>7</v>
      </c>
      <c r="C784" t="s">
        <v>70</v>
      </c>
      <c r="D784" t="s">
        <v>87</v>
      </c>
      <c r="E784" t="s">
        <v>88</v>
      </c>
      <c r="F784">
        <v>4</v>
      </c>
      <c r="G784">
        <v>597371</v>
      </c>
      <c r="H784">
        <v>593852</v>
      </c>
      <c r="I784">
        <v>555804</v>
      </c>
      <c r="J784">
        <v>645977</v>
      </c>
      <c r="K784">
        <v>563304</v>
      </c>
      <c r="L784">
        <v>624400</v>
      </c>
    </row>
    <row r="785" spans="1:12" x14ac:dyDescent="0.35">
      <c r="A785">
        <v>2025</v>
      </c>
      <c r="B785">
        <v>7</v>
      </c>
      <c r="C785" t="s">
        <v>70</v>
      </c>
      <c r="D785" t="s">
        <v>89</v>
      </c>
      <c r="E785" t="s">
        <v>90</v>
      </c>
      <c r="F785">
        <v>824</v>
      </c>
      <c r="G785">
        <v>486549</v>
      </c>
      <c r="H785">
        <v>452614</v>
      </c>
      <c r="I785">
        <v>302836</v>
      </c>
      <c r="J785">
        <v>748416</v>
      </c>
      <c r="K785">
        <v>390322</v>
      </c>
      <c r="L785">
        <v>593304</v>
      </c>
    </row>
    <row r="786" spans="1:12" x14ac:dyDescent="0.35">
      <c r="A786">
        <v>2025</v>
      </c>
      <c r="B786">
        <v>7</v>
      </c>
      <c r="C786" t="s">
        <v>70</v>
      </c>
      <c r="D786" t="s">
        <v>91</v>
      </c>
      <c r="E786" t="s">
        <v>92</v>
      </c>
      <c r="F786">
        <v>152</v>
      </c>
      <c r="G786">
        <v>364906</v>
      </c>
      <c r="H786">
        <v>345790</v>
      </c>
      <c r="I786">
        <v>297836</v>
      </c>
      <c r="J786">
        <v>646900</v>
      </c>
      <c r="K786">
        <v>336073</v>
      </c>
      <c r="L786">
        <v>364866</v>
      </c>
    </row>
    <row r="787" spans="1:12" x14ac:dyDescent="0.35">
      <c r="A787">
        <v>2025</v>
      </c>
      <c r="B787">
        <v>7</v>
      </c>
      <c r="C787" t="s">
        <v>70</v>
      </c>
      <c r="D787" t="s">
        <v>93</v>
      </c>
      <c r="E787" t="s">
        <v>94</v>
      </c>
      <c r="F787">
        <v>27</v>
      </c>
      <c r="G787">
        <v>358863</v>
      </c>
      <c r="H787">
        <v>343155</v>
      </c>
      <c r="I787">
        <v>297836</v>
      </c>
      <c r="J787">
        <v>583439</v>
      </c>
      <c r="K787">
        <v>328155</v>
      </c>
      <c r="L787">
        <v>392822</v>
      </c>
    </row>
    <row r="788" spans="1:12" x14ac:dyDescent="0.35">
      <c r="A788">
        <v>2025</v>
      </c>
      <c r="B788">
        <v>7</v>
      </c>
      <c r="C788" t="s">
        <v>70</v>
      </c>
      <c r="D788" t="s">
        <v>95</v>
      </c>
      <c r="E788" t="s">
        <v>96</v>
      </c>
      <c r="F788">
        <v>18</v>
      </c>
      <c r="G788">
        <v>398277</v>
      </c>
      <c r="H788">
        <v>372988</v>
      </c>
      <c r="I788">
        <v>313573</v>
      </c>
      <c r="J788">
        <v>645197</v>
      </c>
      <c r="K788">
        <v>328573</v>
      </c>
      <c r="L788">
        <v>424436</v>
      </c>
    </row>
    <row r="789" spans="1:12" x14ac:dyDescent="0.35">
      <c r="A789">
        <v>2025</v>
      </c>
      <c r="B789">
        <v>7</v>
      </c>
      <c r="C789" t="s">
        <v>70</v>
      </c>
      <c r="D789" t="s">
        <v>97</v>
      </c>
      <c r="E789" t="s">
        <v>98</v>
      </c>
      <c r="F789">
        <v>267</v>
      </c>
      <c r="G789">
        <v>413910</v>
      </c>
      <c r="H789">
        <v>368290</v>
      </c>
      <c r="I789">
        <v>302836</v>
      </c>
      <c r="J789">
        <v>695189</v>
      </c>
      <c r="K789">
        <v>347366</v>
      </c>
      <c r="L789">
        <v>429485</v>
      </c>
    </row>
    <row r="790" spans="1:12" x14ac:dyDescent="0.35">
      <c r="A790">
        <v>2025</v>
      </c>
      <c r="B790">
        <v>7</v>
      </c>
      <c r="C790" t="s">
        <v>70</v>
      </c>
      <c r="D790" t="s">
        <v>99</v>
      </c>
      <c r="E790" t="s">
        <v>100</v>
      </c>
      <c r="F790">
        <v>412</v>
      </c>
      <c r="G790">
        <v>449845</v>
      </c>
      <c r="H790">
        <v>440495</v>
      </c>
      <c r="I790">
        <v>297836</v>
      </c>
      <c r="J790">
        <v>710411</v>
      </c>
      <c r="K790">
        <v>390322</v>
      </c>
      <c r="L790">
        <v>502850</v>
      </c>
    </row>
    <row r="791" spans="1:12" x14ac:dyDescent="0.35">
      <c r="A791">
        <v>2025</v>
      </c>
      <c r="B791">
        <v>7</v>
      </c>
      <c r="C791" t="s">
        <v>70</v>
      </c>
      <c r="D791" t="s">
        <v>101</v>
      </c>
      <c r="E791" t="s">
        <v>102</v>
      </c>
      <c r="F791">
        <v>10</v>
      </c>
      <c r="G791">
        <v>545940</v>
      </c>
      <c r="H791">
        <v>559561</v>
      </c>
      <c r="I791">
        <v>352786</v>
      </c>
      <c r="J791">
        <v>675324</v>
      </c>
      <c r="K791">
        <v>440040</v>
      </c>
      <c r="L791">
        <v>645189</v>
      </c>
    </row>
    <row r="792" spans="1:12" x14ac:dyDescent="0.35">
      <c r="A792">
        <v>2025</v>
      </c>
      <c r="B792">
        <v>7</v>
      </c>
      <c r="C792" t="s">
        <v>70</v>
      </c>
      <c r="D792" t="s">
        <v>103</v>
      </c>
      <c r="E792" t="s">
        <v>104</v>
      </c>
      <c r="F792">
        <v>9</v>
      </c>
      <c r="G792">
        <v>361016</v>
      </c>
      <c r="H792">
        <v>332786</v>
      </c>
      <c r="I792">
        <v>313573</v>
      </c>
      <c r="J792">
        <v>502848</v>
      </c>
      <c r="K792">
        <v>321073</v>
      </c>
      <c r="L792">
        <v>372366</v>
      </c>
    </row>
    <row r="793" spans="1:12" x14ac:dyDescent="0.35">
      <c r="A793">
        <v>2025</v>
      </c>
      <c r="B793">
        <v>7</v>
      </c>
      <c r="C793" t="s">
        <v>70</v>
      </c>
      <c r="D793" t="s">
        <v>105</v>
      </c>
      <c r="E793" t="s">
        <v>106</v>
      </c>
      <c r="F793">
        <v>37</v>
      </c>
      <c r="G793">
        <v>447844</v>
      </c>
      <c r="H793">
        <v>399485</v>
      </c>
      <c r="I793">
        <v>313573</v>
      </c>
      <c r="J793">
        <v>697640</v>
      </c>
      <c r="K793">
        <v>357366</v>
      </c>
      <c r="L793">
        <v>535903</v>
      </c>
    </row>
    <row r="794" spans="1:12" x14ac:dyDescent="0.35">
      <c r="A794">
        <v>2025</v>
      </c>
      <c r="B794">
        <v>7</v>
      </c>
      <c r="C794" t="s">
        <v>70</v>
      </c>
      <c r="D794" t="s">
        <v>107</v>
      </c>
      <c r="E794" t="s">
        <v>108</v>
      </c>
      <c r="F794">
        <v>7</v>
      </c>
      <c r="G794">
        <v>343280</v>
      </c>
      <c r="H794">
        <v>330286</v>
      </c>
      <c r="I794">
        <v>330286</v>
      </c>
      <c r="J794">
        <v>373474</v>
      </c>
      <c r="K794">
        <v>330286</v>
      </c>
      <c r="L794">
        <v>358474</v>
      </c>
    </row>
    <row r="795" spans="1:12" x14ac:dyDescent="0.35">
      <c r="A795">
        <v>2025</v>
      </c>
      <c r="B795">
        <v>7</v>
      </c>
      <c r="C795" t="s">
        <v>70</v>
      </c>
      <c r="D795" t="s">
        <v>109</v>
      </c>
      <c r="E795" t="s">
        <v>110</v>
      </c>
      <c r="F795">
        <v>5140</v>
      </c>
      <c r="G795">
        <v>553573</v>
      </c>
      <c r="H795">
        <v>519658</v>
      </c>
      <c r="I795">
        <v>407405</v>
      </c>
      <c r="J795">
        <v>803035</v>
      </c>
      <c r="K795">
        <v>444485</v>
      </c>
      <c r="L795">
        <v>673058</v>
      </c>
    </row>
    <row r="796" spans="1:12" x14ac:dyDescent="0.35">
      <c r="A796">
        <v>2025</v>
      </c>
      <c r="B796">
        <v>7</v>
      </c>
      <c r="C796" t="s">
        <v>70</v>
      </c>
      <c r="D796" t="s">
        <v>111</v>
      </c>
      <c r="E796" t="s">
        <v>112</v>
      </c>
      <c r="F796">
        <v>16018</v>
      </c>
      <c r="G796">
        <v>337117</v>
      </c>
      <c r="H796">
        <v>318942</v>
      </c>
      <c r="I796">
        <v>247193</v>
      </c>
      <c r="J796">
        <v>691559</v>
      </c>
      <c r="K796">
        <v>280986</v>
      </c>
      <c r="L796">
        <v>358474</v>
      </c>
    </row>
    <row r="797" spans="1:12" x14ac:dyDescent="0.35">
      <c r="A797">
        <v>2025</v>
      </c>
      <c r="B797">
        <v>7</v>
      </c>
      <c r="C797" t="s">
        <v>70</v>
      </c>
      <c r="D797" t="s">
        <v>113</v>
      </c>
      <c r="E797" t="s">
        <v>114</v>
      </c>
      <c r="F797">
        <v>8933</v>
      </c>
      <c r="G797">
        <v>317747</v>
      </c>
      <c r="H797">
        <v>308942</v>
      </c>
      <c r="I797">
        <v>260064</v>
      </c>
      <c r="J797">
        <v>585804</v>
      </c>
      <c r="K797">
        <v>280752</v>
      </c>
      <c r="L797">
        <v>337552</v>
      </c>
    </row>
    <row r="798" spans="1:12" x14ac:dyDescent="0.35">
      <c r="A798">
        <v>2025</v>
      </c>
      <c r="B798">
        <v>7</v>
      </c>
      <c r="C798" t="s">
        <v>70</v>
      </c>
      <c r="D798" t="s">
        <v>115</v>
      </c>
      <c r="E798" t="s">
        <v>116</v>
      </c>
      <c r="F798">
        <v>89</v>
      </c>
      <c r="G798">
        <v>577545</v>
      </c>
      <c r="H798">
        <v>563722</v>
      </c>
      <c r="I798">
        <v>407405</v>
      </c>
      <c r="J798">
        <v>825535</v>
      </c>
      <c r="K798">
        <v>453094</v>
      </c>
      <c r="L798">
        <v>681987</v>
      </c>
    </row>
    <row r="799" spans="1:12" x14ac:dyDescent="0.35">
      <c r="A799">
        <v>2025</v>
      </c>
      <c r="B799">
        <v>7</v>
      </c>
      <c r="C799" t="s">
        <v>70</v>
      </c>
      <c r="D799" t="s">
        <v>117</v>
      </c>
      <c r="E799" t="s">
        <v>118</v>
      </c>
      <c r="F799">
        <v>412</v>
      </c>
      <c r="G799">
        <v>584239</v>
      </c>
      <c r="H799">
        <v>563260</v>
      </c>
      <c r="I799">
        <v>407405</v>
      </c>
      <c r="J799">
        <v>808035</v>
      </c>
      <c r="K799">
        <v>469941</v>
      </c>
      <c r="L799">
        <v>710226</v>
      </c>
    </row>
    <row r="800" spans="1:12" x14ac:dyDescent="0.35">
      <c r="A800">
        <v>2025</v>
      </c>
      <c r="B800">
        <v>7</v>
      </c>
      <c r="C800" t="s">
        <v>70</v>
      </c>
      <c r="D800" t="s">
        <v>119</v>
      </c>
      <c r="E800" t="s">
        <v>120</v>
      </c>
      <c r="F800">
        <v>1027</v>
      </c>
      <c r="G800">
        <v>503032</v>
      </c>
      <c r="H800">
        <v>487441</v>
      </c>
      <c r="I800">
        <v>407405</v>
      </c>
      <c r="J800">
        <v>788035</v>
      </c>
      <c r="K800">
        <v>435594</v>
      </c>
      <c r="L800">
        <v>534794</v>
      </c>
    </row>
    <row r="801" spans="1:12" x14ac:dyDescent="0.35">
      <c r="A801">
        <v>2025</v>
      </c>
      <c r="B801">
        <v>7</v>
      </c>
      <c r="C801" t="s">
        <v>70</v>
      </c>
      <c r="D801" t="s">
        <v>121</v>
      </c>
      <c r="E801" t="s">
        <v>122</v>
      </c>
      <c r="F801">
        <v>529</v>
      </c>
      <c r="G801">
        <v>449958</v>
      </c>
      <c r="H801">
        <v>446936</v>
      </c>
      <c r="I801">
        <v>313573</v>
      </c>
      <c r="J801">
        <v>690140</v>
      </c>
      <c r="K801">
        <v>392822</v>
      </c>
      <c r="L801">
        <v>510348</v>
      </c>
    </row>
    <row r="802" spans="1:12" x14ac:dyDescent="0.35">
      <c r="A802">
        <v>2025</v>
      </c>
      <c r="B802">
        <v>7</v>
      </c>
      <c r="C802" t="s">
        <v>70</v>
      </c>
      <c r="D802" t="s">
        <v>123</v>
      </c>
      <c r="E802" t="s">
        <v>124</v>
      </c>
      <c r="F802">
        <v>1</v>
      </c>
      <c r="G802">
        <v>318942</v>
      </c>
      <c r="H802">
        <v>318942</v>
      </c>
      <c r="I802">
        <v>318942</v>
      </c>
      <c r="J802">
        <v>318942</v>
      </c>
      <c r="K802">
        <v>318942</v>
      </c>
      <c r="L802">
        <v>318942</v>
      </c>
    </row>
    <row r="803" spans="1:12" x14ac:dyDescent="0.35">
      <c r="A803">
        <v>2025</v>
      </c>
      <c r="B803">
        <v>7</v>
      </c>
      <c r="C803" t="s">
        <v>70</v>
      </c>
      <c r="D803" t="s">
        <v>125</v>
      </c>
      <c r="E803" t="s">
        <v>126</v>
      </c>
      <c r="F803">
        <v>209</v>
      </c>
      <c r="G803">
        <v>433330</v>
      </c>
      <c r="H803">
        <v>373474</v>
      </c>
      <c r="I803">
        <v>325286</v>
      </c>
      <c r="J803">
        <v>692590</v>
      </c>
      <c r="K803">
        <v>355974</v>
      </c>
      <c r="L803">
        <v>543403</v>
      </c>
    </row>
    <row r="804" spans="1:12" x14ac:dyDescent="0.35">
      <c r="A804">
        <v>2025</v>
      </c>
      <c r="B804">
        <v>7</v>
      </c>
      <c r="C804" t="s">
        <v>70</v>
      </c>
      <c r="D804" t="s">
        <v>127</v>
      </c>
      <c r="E804" t="s">
        <v>128</v>
      </c>
      <c r="F804">
        <v>6021</v>
      </c>
      <c r="G804">
        <v>888984</v>
      </c>
      <c r="H804">
        <v>838355</v>
      </c>
      <c r="I804">
        <v>656667</v>
      </c>
      <c r="J804">
        <v>1451081</v>
      </c>
      <c r="K804">
        <v>715645</v>
      </c>
      <c r="L804">
        <v>1027703</v>
      </c>
    </row>
    <row r="805" spans="1:12" x14ac:dyDescent="0.35">
      <c r="A805">
        <v>2025</v>
      </c>
      <c r="B805">
        <v>7</v>
      </c>
      <c r="C805" t="s">
        <v>70</v>
      </c>
      <c r="D805" t="s">
        <v>129</v>
      </c>
      <c r="E805" t="s">
        <v>130</v>
      </c>
      <c r="F805">
        <v>315</v>
      </c>
      <c r="G805">
        <v>507704</v>
      </c>
      <c r="H805">
        <v>500532</v>
      </c>
      <c r="I805">
        <v>342134</v>
      </c>
      <c r="J805">
        <v>758970</v>
      </c>
      <c r="K805">
        <v>417540</v>
      </c>
      <c r="L805">
        <v>605237</v>
      </c>
    </row>
    <row r="806" spans="1:12" x14ac:dyDescent="0.35">
      <c r="A806">
        <v>2025</v>
      </c>
      <c r="B806">
        <v>7</v>
      </c>
      <c r="C806" t="s">
        <v>70</v>
      </c>
      <c r="D806" t="s">
        <v>131</v>
      </c>
      <c r="E806" t="s">
        <v>132</v>
      </c>
      <c r="F806">
        <v>37663</v>
      </c>
      <c r="G806">
        <v>522523</v>
      </c>
      <c r="H806">
        <v>491555</v>
      </c>
      <c r="I806">
        <v>333389</v>
      </c>
      <c r="J806">
        <v>887702</v>
      </c>
      <c r="K806">
        <v>441333</v>
      </c>
      <c r="L806">
        <v>587467</v>
      </c>
    </row>
    <row r="807" spans="1:12" x14ac:dyDescent="0.35">
      <c r="A807">
        <v>2025</v>
      </c>
      <c r="B807">
        <v>7</v>
      </c>
      <c r="C807" t="s">
        <v>70</v>
      </c>
      <c r="D807" t="s">
        <v>133</v>
      </c>
      <c r="E807" t="s">
        <v>134</v>
      </c>
      <c r="F807">
        <v>87021</v>
      </c>
      <c r="G807">
        <v>393160</v>
      </c>
      <c r="H807">
        <v>405040</v>
      </c>
      <c r="I807">
        <v>266776</v>
      </c>
      <c r="J807">
        <v>584647</v>
      </c>
      <c r="K807">
        <v>305889</v>
      </c>
      <c r="L807">
        <v>442540</v>
      </c>
    </row>
    <row r="808" spans="1:12" x14ac:dyDescent="0.35">
      <c r="A808">
        <v>2025</v>
      </c>
      <c r="B808">
        <v>7</v>
      </c>
      <c r="C808" t="s">
        <v>70</v>
      </c>
      <c r="D808" t="s">
        <v>135</v>
      </c>
      <c r="E808" t="s">
        <v>136</v>
      </c>
      <c r="F808">
        <v>22113</v>
      </c>
      <c r="G808">
        <v>699625</v>
      </c>
      <c r="H808">
        <v>687455</v>
      </c>
      <c r="I808">
        <v>398882</v>
      </c>
      <c r="J808">
        <v>1075239</v>
      </c>
      <c r="K808">
        <v>627737</v>
      </c>
      <c r="L808">
        <v>804512</v>
      </c>
    </row>
    <row r="809" spans="1:12" x14ac:dyDescent="0.35">
      <c r="A809">
        <v>2025</v>
      </c>
      <c r="B809">
        <v>7</v>
      </c>
      <c r="C809" t="s">
        <v>70</v>
      </c>
      <c r="D809" t="s">
        <v>137</v>
      </c>
      <c r="E809" t="s">
        <v>138</v>
      </c>
      <c r="F809">
        <v>12687</v>
      </c>
      <c r="G809">
        <v>448958</v>
      </c>
      <c r="H809">
        <v>432540</v>
      </c>
      <c r="I809">
        <v>262563</v>
      </c>
      <c r="J809">
        <v>828589</v>
      </c>
      <c r="K809">
        <v>365926</v>
      </c>
      <c r="L809">
        <v>506555</v>
      </c>
    </row>
    <row r="810" spans="1:12" x14ac:dyDescent="0.35">
      <c r="A810">
        <v>2025</v>
      </c>
      <c r="B810">
        <v>7</v>
      </c>
      <c r="C810" t="s">
        <v>70</v>
      </c>
      <c r="D810" t="s">
        <v>139</v>
      </c>
      <c r="E810" t="s">
        <v>140</v>
      </c>
      <c r="F810">
        <v>28</v>
      </c>
      <c r="G810">
        <v>625961</v>
      </c>
      <c r="H810">
        <v>630237</v>
      </c>
      <c r="I810">
        <v>518403</v>
      </c>
      <c r="J810">
        <v>741187</v>
      </c>
      <c r="K810">
        <v>607737</v>
      </c>
      <c r="L810">
        <v>642737</v>
      </c>
    </row>
    <row r="811" spans="1:12" x14ac:dyDescent="0.35">
      <c r="A811">
        <v>2025</v>
      </c>
      <c r="B811">
        <v>7</v>
      </c>
      <c r="C811" t="s">
        <v>70</v>
      </c>
      <c r="D811" t="s">
        <v>141</v>
      </c>
      <c r="E811" t="s">
        <v>142</v>
      </c>
      <c r="F811">
        <v>938</v>
      </c>
      <c r="G811">
        <v>508786</v>
      </c>
      <c r="H811">
        <v>499055</v>
      </c>
      <c r="I811">
        <v>342134</v>
      </c>
      <c r="J811">
        <v>773722</v>
      </c>
      <c r="K811">
        <v>446838</v>
      </c>
      <c r="L811">
        <v>556222</v>
      </c>
    </row>
    <row r="812" spans="1:12" x14ac:dyDescent="0.35">
      <c r="A812">
        <v>2025</v>
      </c>
      <c r="B812">
        <v>7</v>
      </c>
      <c r="C812" t="s">
        <v>70</v>
      </c>
      <c r="D812" t="s">
        <v>143</v>
      </c>
      <c r="E812" t="s">
        <v>144</v>
      </c>
      <c r="F812">
        <v>5299</v>
      </c>
      <c r="G812">
        <v>286895</v>
      </c>
      <c r="H812">
        <v>280752</v>
      </c>
      <c r="I812">
        <v>229743</v>
      </c>
      <c r="J812">
        <v>439017</v>
      </c>
      <c r="K812">
        <v>265064</v>
      </c>
      <c r="L812">
        <v>305519</v>
      </c>
    </row>
    <row r="813" spans="1:12" x14ac:dyDescent="0.35">
      <c r="A813">
        <v>2025</v>
      </c>
      <c r="B813">
        <v>7</v>
      </c>
      <c r="C813" t="s">
        <v>70</v>
      </c>
      <c r="D813" t="s">
        <v>145</v>
      </c>
      <c r="E813" t="s">
        <v>146</v>
      </c>
      <c r="F813">
        <v>117</v>
      </c>
      <c r="G813">
        <v>435516</v>
      </c>
      <c r="H813">
        <v>444485</v>
      </c>
      <c r="I813">
        <v>333573</v>
      </c>
      <c r="J813">
        <v>590804</v>
      </c>
      <c r="K813">
        <v>383155</v>
      </c>
      <c r="L813">
        <v>470544</v>
      </c>
    </row>
    <row r="814" spans="1:12" x14ac:dyDescent="0.35">
      <c r="A814">
        <v>2025</v>
      </c>
      <c r="B814">
        <v>7</v>
      </c>
      <c r="C814" t="s">
        <v>70</v>
      </c>
      <c r="D814" t="s">
        <v>147</v>
      </c>
      <c r="E814" t="s">
        <v>148</v>
      </c>
      <c r="F814">
        <v>120</v>
      </c>
      <c r="G814">
        <v>340413</v>
      </c>
      <c r="H814">
        <v>320336</v>
      </c>
      <c r="I814">
        <v>297836</v>
      </c>
      <c r="J814">
        <v>455544</v>
      </c>
      <c r="K814">
        <v>302836</v>
      </c>
      <c r="L814">
        <v>348155</v>
      </c>
    </row>
    <row r="815" spans="1:12" x14ac:dyDescent="0.35">
      <c r="A815">
        <v>2025</v>
      </c>
      <c r="B815">
        <v>7</v>
      </c>
      <c r="C815" t="s">
        <v>70</v>
      </c>
      <c r="D815" t="s">
        <v>149</v>
      </c>
      <c r="E815" t="s">
        <v>150</v>
      </c>
      <c r="F815">
        <v>1948</v>
      </c>
      <c r="G815">
        <v>405443</v>
      </c>
      <c r="H815">
        <v>373474</v>
      </c>
      <c r="I815">
        <v>297836</v>
      </c>
      <c r="J815">
        <v>735916</v>
      </c>
      <c r="K815">
        <v>344866</v>
      </c>
      <c r="L815">
        <v>431985</v>
      </c>
    </row>
    <row r="816" spans="1:12" x14ac:dyDescent="0.35">
      <c r="A816">
        <v>2025</v>
      </c>
      <c r="B816">
        <v>7</v>
      </c>
      <c r="C816" t="s">
        <v>70</v>
      </c>
      <c r="D816" t="s">
        <v>151</v>
      </c>
      <c r="E816" t="s">
        <v>152</v>
      </c>
      <c r="F816">
        <v>671</v>
      </c>
      <c r="G816">
        <v>1007131</v>
      </c>
      <c r="H816">
        <v>1044725</v>
      </c>
      <c r="I816">
        <v>690287</v>
      </c>
      <c r="J816">
        <v>1293457</v>
      </c>
      <c r="K816">
        <v>905116</v>
      </c>
      <c r="L816">
        <v>1116708</v>
      </c>
    </row>
    <row r="817" spans="1:12" x14ac:dyDescent="0.35">
      <c r="A817">
        <v>2025</v>
      </c>
      <c r="B817">
        <v>7</v>
      </c>
      <c r="C817" t="s">
        <v>70</v>
      </c>
      <c r="D817" t="s">
        <v>153</v>
      </c>
      <c r="E817" t="s">
        <v>154</v>
      </c>
      <c r="F817">
        <v>157</v>
      </c>
      <c r="G817">
        <v>646512</v>
      </c>
      <c r="H817">
        <v>668243</v>
      </c>
      <c r="I817">
        <v>406061</v>
      </c>
      <c r="J817">
        <v>851336</v>
      </c>
      <c r="K817">
        <v>544980</v>
      </c>
      <c r="L817">
        <v>762630</v>
      </c>
    </row>
    <row r="818" spans="1:12" x14ac:dyDescent="0.35">
      <c r="A818">
        <v>2025</v>
      </c>
      <c r="B818">
        <v>7</v>
      </c>
      <c r="C818" t="s">
        <v>70</v>
      </c>
      <c r="D818" t="s">
        <v>155</v>
      </c>
      <c r="E818" t="s">
        <v>156</v>
      </c>
      <c r="F818">
        <v>1011</v>
      </c>
      <c r="G818">
        <v>394224</v>
      </c>
      <c r="H818">
        <v>375322</v>
      </c>
      <c r="I818">
        <v>260064</v>
      </c>
      <c r="J818">
        <v>707824</v>
      </c>
      <c r="K818">
        <v>320655</v>
      </c>
      <c r="L818">
        <v>430729</v>
      </c>
    </row>
    <row r="819" spans="1:12" x14ac:dyDescent="0.35">
      <c r="A819">
        <v>2025</v>
      </c>
      <c r="B819">
        <v>7</v>
      </c>
      <c r="C819" t="s">
        <v>70</v>
      </c>
      <c r="D819" t="s">
        <v>157</v>
      </c>
      <c r="E819" t="s">
        <v>158</v>
      </c>
      <c r="F819">
        <v>181</v>
      </c>
      <c r="G819">
        <v>468008</v>
      </c>
      <c r="H819">
        <v>432540</v>
      </c>
      <c r="I819">
        <v>330286</v>
      </c>
      <c r="J819">
        <v>690140</v>
      </c>
      <c r="K819">
        <v>388474</v>
      </c>
      <c r="L819">
        <v>535903</v>
      </c>
    </row>
    <row r="820" spans="1:12" x14ac:dyDescent="0.35">
      <c r="A820">
        <v>2025</v>
      </c>
      <c r="B820">
        <v>7</v>
      </c>
      <c r="C820" t="s">
        <v>70</v>
      </c>
      <c r="D820" t="s">
        <v>159</v>
      </c>
      <c r="E820" t="s">
        <v>160</v>
      </c>
      <c r="F820">
        <v>415</v>
      </c>
      <c r="G820">
        <v>439406</v>
      </c>
      <c r="H820">
        <v>428044</v>
      </c>
      <c r="I820">
        <v>303573</v>
      </c>
      <c r="J820">
        <v>689353</v>
      </c>
      <c r="K820">
        <v>360790</v>
      </c>
      <c r="L820">
        <v>479104</v>
      </c>
    </row>
    <row r="821" spans="1:12" x14ac:dyDescent="0.35">
      <c r="A821">
        <v>2025</v>
      </c>
      <c r="B821">
        <v>7</v>
      </c>
      <c r="C821" t="s">
        <v>70</v>
      </c>
      <c r="D821" t="s">
        <v>161</v>
      </c>
      <c r="E821" t="s">
        <v>162</v>
      </c>
      <c r="F821">
        <v>121</v>
      </c>
      <c r="G821">
        <v>480173</v>
      </c>
      <c r="H821">
        <v>455544</v>
      </c>
      <c r="I821">
        <v>313573</v>
      </c>
      <c r="J821">
        <v>704353</v>
      </c>
      <c r="K821">
        <v>373474</v>
      </c>
      <c r="L821">
        <v>570804</v>
      </c>
    </row>
    <row r="822" spans="1:12" x14ac:dyDescent="0.35">
      <c r="A822">
        <v>2025</v>
      </c>
      <c r="B822">
        <v>8</v>
      </c>
      <c r="C822" t="s">
        <v>71</v>
      </c>
      <c r="D822" t="s">
        <v>77</v>
      </c>
      <c r="E822" t="s">
        <v>78</v>
      </c>
      <c r="F822">
        <v>4</v>
      </c>
      <c r="G822">
        <v>415954</v>
      </c>
      <c r="H822">
        <v>383796</v>
      </c>
      <c r="I822">
        <v>325655</v>
      </c>
      <c r="J822">
        <v>570570</v>
      </c>
      <c r="K822">
        <v>333155</v>
      </c>
      <c r="L822">
        <v>434436</v>
      </c>
    </row>
    <row r="823" spans="1:12" x14ac:dyDescent="0.35">
      <c r="A823">
        <v>2025</v>
      </c>
      <c r="B823">
        <v>8</v>
      </c>
      <c r="C823" t="s">
        <v>71</v>
      </c>
      <c r="D823" t="s">
        <v>79</v>
      </c>
      <c r="E823" t="s">
        <v>80</v>
      </c>
      <c r="F823">
        <v>157</v>
      </c>
      <c r="G823">
        <v>443615</v>
      </c>
      <c r="H823">
        <v>415322</v>
      </c>
      <c r="I823">
        <v>302836</v>
      </c>
      <c r="J823">
        <v>715324</v>
      </c>
      <c r="K823">
        <v>358474</v>
      </c>
      <c r="L823">
        <v>533082</v>
      </c>
    </row>
    <row r="824" spans="1:12" x14ac:dyDescent="0.35">
      <c r="A824">
        <v>2025</v>
      </c>
      <c r="B824">
        <v>8</v>
      </c>
      <c r="C824" t="s">
        <v>71</v>
      </c>
      <c r="D824" t="s">
        <v>81</v>
      </c>
      <c r="E824" t="s">
        <v>82</v>
      </c>
      <c r="F824">
        <v>19</v>
      </c>
      <c r="G824">
        <v>648031</v>
      </c>
      <c r="H824">
        <v>649081</v>
      </c>
      <c r="I824">
        <v>541690</v>
      </c>
      <c r="J824">
        <v>719351</v>
      </c>
      <c r="K824">
        <v>629868</v>
      </c>
      <c r="L824">
        <v>673379</v>
      </c>
    </row>
    <row r="825" spans="1:12" x14ac:dyDescent="0.35">
      <c r="A825">
        <v>2025</v>
      </c>
      <c r="B825">
        <v>8</v>
      </c>
      <c r="C825" t="s">
        <v>71</v>
      </c>
      <c r="D825" t="s">
        <v>83</v>
      </c>
      <c r="E825" t="s">
        <v>84</v>
      </c>
      <c r="F825">
        <v>55</v>
      </c>
      <c r="G825">
        <v>494164</v>
      </c>
      <c r="H825">
        <v>525903</v>
      </c>
      <c r="I825">
        <v>330286</v>
      </c>
      <c r="J825">
        <v>659955</v>
      </c>
      <c r="K825">
        <v>358474</v>
      </c>
      <c r="L825">
        <v>620979</v>
      </c>
    </row>
    <row r="826" spans="1:12" x14ac:dyDescent="0.35">
      <c r="A826">
        <v>2025</v>
      </c>
      <c r="B826">
        <v>8</v>
      </c>
      <c r="C826" t="s">
        <v>71</v>
      </c>
      <c r="D826" t="s">
        <v>85</v>
      </c>
      <c r="E826" t="s">
        <v>86</v>
      </c>
      <c r="F826">
        <v>1111</v>
      </c>
      <c r="G826">
        <v>503960</v>
      </c>
      <c r="H826">
        <v>478044</v>
      </c>
      <c r="I826">
        <v>302836</v>
      </c>
      <c r="J826">
        <v>735411</v>
      </c>
      <c r="K826">
        <v>412822</v>
      </c>
      <c r="L826">
        <v>604918</v>
      </c>
    </row>
    <row r="827" spans="1:12" x14ac:dyDescent="0.35">
      <c r="A827">
        <v>2025</v>
      </c>
      <c r="B827">
        <v>8</v>
      </c>
      <c r="C827" t="s">
        <v>71</v>
      </c>
      <c r="D827" t="s">
        <v>87</v>
      </c>
      <c r="E827" t="s">
        <v>88</v>
      </c>
      <c r="F827">
        <v>4</v>
      </c>
      <c r="G827">
        <v>597371</v>
      </c>
      <c r="H827">
        <v>593852</v>
      </c>
      <c r="I827">
        <v>555804</v>
      </c>
      <c r="J827">
        <v>645977</v>
      </c>
      <c r="K827">
        <v>563304</v>
      </c>
      <c r="L827">
        <v>624400</v>
      </c>
    </row>
    <row r="828" spans="1:12" x14ac:dyDescent="0.35">
      <c r="A828">
        <v>2025</v>
      </c>
      <c r="B828">
        <v>8</v>
      </c>
      <c r="C828" t="s">
        <v>71</v>
      </c>
      <c r="D828" t="s">
        <v>89</v>
      </c>
      <c r="E828" t="s">
        <v>90</v>
      </c>
      <c r="F828">
        <v>841</v>
      </c>
      <c r="G828">
        <v>484479</v>
      </c>
      <c r="H828">
        <v>449436</v>
      </c>
      <c r="I828">
        <v>302836</v>
      </c>
      <c r="J828">
        <v>748416</v>
      </c>
      <c r="K828">
        <v>389485</v>
      </c>
      <c r="L828">
        <v>580015</v>
      </c>
    </row>
    <row r="829" spans="1:12" x14ac:dyDescent="0.35">
      <c r="A829">
        <v>2025</v>
      </c>
      <c r="B829">
        <v>8</v>
      </c>
      <c r="C829" t="s">
        <v>71</v>
      </c>
      <c r="D829" t="s">
        <v>91</v>
      </c>
      <c r="E829" t="s">
        <v>92</v>
      </c>
      <c r="F829">
        <v>153</v>
      </c>
      <c r="G829">
        <v>364879</v>
      </c>
      <c r="H829">
        <v>345790</v>
      </c>
      <c r="I829">
        <v>297836</v>
      </c>
      <c r="J829">
        <v>646900</v>
      </c>
      <c r="K829">
        <v>336073</v>
      </c>
      <c r="L829">
        <v>364866</v>
      </c>
    </row>
    <row r="830" spans="1:12" x14ac:dyDescent="0.35">
      <c r="A830">
        <v>2025</v>
      </c>
      <c r="B830">
        <v>8</v>
      </c>
      <c r="C830" t="s">
        <v>71</v>
      </c>
      <c r="D830" t="s">
        <v>93</v>
      </c>
      <c r="E830" t="s">
        <v>94</v>
      </c>
      <c r="F830">
        <v>27</v>
      </c>
      <c r="G830">
        <v>360335</v>
      </c>
      <c r="H830">
        <v>343155</v>
      </c>
      <c r="I830">
        <v>302836</v>
      </c>
      <c r="J830">
        <v>583439</v>
      </c>
      <c r="K830">
        <v>325336</v>
      </c>
      <c r="L830">
        <v>386898</v>
      </c>
    </row>
    <row r="831" spans="1:12" x14ac:dyDescent="0.35">
      <c r="A831">
        <v>2025</v>
      </c>
      <c r="B831">
        <v>8</v>
      </c>
      <c r="C831" t="s">
        <v>71</v>
      </c>
      <c r="D831" t="s">
        <v>95</v>
      </c>
      <c r="E831" t="s">
        <v>96</v>
      </c>
      <c r="F831">
        <v>19</v>
      </c>
      <c r="G831">
        <v>399109</v>
      </c>
      <c r="H831">
        <v>390322</v>
      </c>
      <c r="I831">
        <v>313573</v>
      </c>
      <c r="J831">
        <v>618439</v>
      </c>
      <c r="K831">
        <v>330286</v>
      </c>
      <c r="L831">
        <v>424436</v>
      </c>
    </row>
    <row r="832" spans="1:12" x14ac:dyDescent="0.35">
      <c r="A832">
        <v>2025</v>
      </c>
      <c r="B832">
        <v>8</v>
      </c>
      <c r="C832" t="s">
        <v>71</v>
      </c>
      <c r="D832" t="s">
        <v>97</v>
      </c>
      <c r="E832" t="s">
        <v>98</v>
      </c>
      <c r="F832">
        <v>276</v>
      </c>
      <c r="G832">
        <v>413473</v>
      </c>
      <c r="H832">
        <v>372594</v>
      </c>
      <c r="I832">
        <v>302836</v>
      </c>
      <c r="J832">
        <v>695189</v>
      </c>
      <c r="K832">
        <v>349866</v>
      </c>
      <c r="L832">
        <v>421985</v>
      </c>
    </row>
    <row r="833" spans="1:12" x14ac:dyDescent="0.35">
      <c r="A833">
        <v>2025</v>
      </c>
      <c r="B833">
        <v>8</v>
      </c>
      <c r="C833" t="s">
        <v>71</v>
      </c>
      <c r="D833" t="s">
        <v>99</v>
      </c>
      <c r="E833" t="s">
        <v>100</v>
      </c>
      <c r="F833">
        <v>408</v>
      </c>
      <c r="G833">
        <v>449284</v>
      </c>
      <c r="H833">
        <v>439436</v>
      </c>
      <c r="I833">
        <v>297836</v>
      </c>
      <c r="J833">
        <v>710411</v>
      </c>
      <c r="K833">
        <v>389485</v>
      </c>
      <c r="L833">
        <v>505348</v>
      </c>
    </row>
    <row r="834" spans="1:12" x14ac:dyDescent="0.35">
      <c r="A834">
        <v>2025</v>
      </c>
      <c r="B834">
        <v>8</v>
      </c>
      <c r="C834" t="s">
        <v>71</v>
      </c>
      <c r="D834" t="s">
        <v>101</v>
      </c>
      <c r="E834" t="s">
        <v>102</v>
      </c>
      <c r="F834">
        <v>10</v>
      </c>
      <c r="G834">
        <v>546690</v>
      </c>
      <c r="H834">
        <v>559561</v>
      </c>
      <c r="I834">
        <v>352786</v>
      </c>
      <c r="J834">
        <v>675324</v>
      </c>
      <c r="K834">
        <v>440040</v>
      </c>
      <c r="L834">
        <v>645189</v>
      </c>
    </row>
    <row r="835" spans="1:12" x14ac:dyDescent="0.35">
      <c r="A835">
        <v>2025</v>
      </c>
      <c r="B835">
        <v>8</v>
      </c>
      <c r="C835" t="s">
        <v>71</v>
      </c>
      <c r="D835" t="s">
        <v>103</v>
      </c>
      <c r="E835" t="s">
        <v>104</v>
      </c>
      <c r="F835">
        <v>9</v>
      </c>
      <c r="G835">
        <v>370802</v>
      </c>
      <c r="H835">
        <v>349868</v>
      </c>
      <c r="I835">
        <v>313573</v>
      </c>
      <c r="J835">
        <v>502848</v>
      </c>
      <c r="K835">
        <v>321073</v>
      </c>
      <c r="L835">
        <v>402154</v>
      </c>
    </row>
    <row r="836" spans="1:12" x14ac:dyDescent="0.35">
      <c r="A836">
        <v>2025</v>
      </c>
      <c r="B836">
        <v>8</v>
      </c>
      <c r="C836" t="s">
        <v>71</v>
      </c>
      <c r="D836" t="s">
        <v>105</v>
      </c>
      <c r="E836" t="s">
        <v>106</v>
      </c>
      <c r="F836">
        <v>37</v>
      </c>
      <c r="G836">
        <v>447962</v>
      </c>
      <c r="H836">
        <v>399485</v>
      </c>
      <c r="I836">
        <v>313573</v>
      </c>
      <c r="J836">
        <v>697640</v>
      </c>
      <c r="K836">
        <v>357366</v>
      </c>
      <c r="L836">
        <v>535903</v>
      </c>
    </row>
    <row r="837" spans="1:12" x14ac:dyDescent="0.35">
      <c r="A837">
        <v>2025</v>
      </c>
      <c r="B837">
        <v>8</v>
      </c>
      <c r="C837" t="s">
        <v>71</v>
      </c>
      <c r="D837" t="s">
        <v>107</v>
      </c>
      <c r="E837" t="s">
        <v>108</v>
      </c>
      <c r="F837">
        <v>7</v>
      </c>
      <c r="G837">
        <v>342565</v>
      </c>
      <c r="H837">
        <v>330286</v>
      </c>
      <c r="I837">
        <v>325286</v>
      </c>
      <c r="J837">
        <v>373474</v>
      </c>
      <c r="K837">
        <v>330286</v>
      </c>
      <c r="L837">
        <v>358474</v>
      </c>
    </row>
    <row r="838" spans="1:12" x14ac:dyDescent="0.35">
      <c r="A838">
        <v>2025</v>
      </c>
      <c r="B838">
        <v>8</v>
      </c>
      <c r="C838" t="s">
        <v>71</v>
      </c>
      <c r="D838" t="s">
        <v>109</v>
      </c>
      <c r="E838" t="s">
        <v>110</v>
      </c>
      <c r="F838">
        <v>5141</v>
      </c>
      <c r="G838">
        <v>555035</v>
      </c>
      <c r="H838">
        <v>519658</v>
      </c>
      <c r="I838">
        <v>407405</v>
      </c>
      <c r="J838">
        <v>858717</v>
      </c>
      <c r="K838">
        <v>449625</v>
      </c>
      <c r="L838">
        <v>680558</v>
      </c>
    </row>
    <row r="839" spans="1:12" x14ac:dyDescent="0.35">
      <c r="A839">
        <v>2025</v>
      </c>
      <c r="B839">
        <v>8</v>
      </c>
      <c r="C839" t="s">
        <v>71</v>
      </c>
      <c r="D839" t="s">
        <v>111</v>
      </c>
      <c r="E839" t="s">
        <v>112</v>
      </c>
      <c r="F839">
        <v>16053</v>
      </c>
      <c r="G839">
        <v>338462</v>
      </c>
      <c r="H839">
        <v>318942</v>
      </c>
      <c r="I839">
        <v>247193</v>
      </c>
      <c r="J839">
        <v>684400</v>
      </c>
      <c r="K839">
        <v>288252</v>
      </c>
      <c r="L839">
        <v>358474</v>
      </c>
    </row>
    <row r="840" spans="1:12" x14ac:dyDescent="0.35">
      <c r="A840">
        <v>2025</v>
      </c>
      <c r="B840">
        <v>8</v>
      </c>
      <c r="C840" t="s">
        <v>71</v>
      </c>
      <c r="D840" t="s">
        <v>113</v>
      </c>
      <c r="E840" t="s">
        <v>114</v>
      </c>
      <c r="F840">
        <v>8942</v>
      </c>
      <c r="G840">
        <v>318824</v>
      </c>
      <c r="H840">
        <v>308942</v>
      </c>
      <c r="I840">
        <v>260064</v>
      </c>
      <c r="J840">
        <v>597418</v>
      </c>
      <c r="K840">
        <v>280986</v>
      </c>
      <c r="L840">
        <v>337552</v>
      </c>
    </row>
    <row r="841" spans="1:12" x14ac:dyDescent="0.35">
      <c r="A841">
        <v>2025</v>
      </c>
      <c r="B841">
        <v>8</v>
      </c>
      <c r="C841" t="s">
        <v>71</v>
      </c>
      <c r="D841" t="s">
        <v>115</v>
      </c>
      <c r="E841" t="s">
        <v>116</v>
      </c>
      <c r="F841">
        <v>89</v>
      </c>
      <c r="G841">
        <v>578035</v>
      </c>
      <c r="H841">
        <v>566224</v>
      </c>
      <c r="I841">
        <v>407405</v>
      </c>
      <c r="J841">
        <v>825535</v>
      </c>
      <c r="K841">
        <v>453094</v>
      </c>
      <c r="L841">
        <v>681987</v>
      </c>
    </row>
    <row r="842" spans="1:12" x14ac:dyDescent="0.35">
      <c r="A842">
        <v>2025</v>
      </c>
      <c r="B842">
        <v>8</v>
      </c>
      <c r="C842" t="s">
        <v>71</v>
      </c>
      <c r="D842" t="s">
        <v>117</v>
      </c>
      <c r="E842" t="s">
        <v>118</v>
      </c>
      <c r="F842">
        <v>412</v>
      </c>
      <c r="G842">
        <v>587046</v>
      </c>
      <c r="H842">
        <v>564972</v>
      </c>
      <c r="I842">
        <v>407405</v>
      </c>
      <c r="J842">
        <v>808035</v>
      </c>
      <c r="K842">
        <v>469941</v>
      </c>
      <c r="L842">
        <v>718835</v>
      </c>
    </row>
    <row r="843" spans="1:12" x14ac:dyDescent="0.35">
      <c r="A843">
        <v>2025</v>
      </c>
      <c r="B843">
        <v>8</v>
      </c>
      <c r="C843" t="s">
        <v>71</v>
      </c>
      <c r="D843" t="s">
        <v>119</v>
      </c>
      <c r="E843" t="s">
        <v>120</v>
      </c>
      <c r="F843">
        <v>1025</v>
      </c>
      <c r="G843">
        <v>504578</v>
      </c>
      <c r="H843">
        <v>479941</v>
      </c>
      <c r="I843">
        <v>407405</v>
      </c>
      <c r="J843">
        <v>788035</v>
      </c>
      <c r="K843">
        <v>440594</v>
      </c>
      <c r="L843">
        <v>534658</v>
      </c>
    </row>
    <row r="844" spans="1:12" x14ac:dyDescent="0.35">
      <c r="A844">
        <v>2025</v>
      </c>
      <c r="B844">
        <v>8</v>
      </c>
      <c r="C844" t="s">
        <v>71</v>
      </c>
      <c r="D844" t="s">
        <v>121</v>
      </c>
      <c r="E844" t="s">
        <v>122</v>
      </c>
      <c r="F844">
        <v>528</v>
      </c>
      <c r="G844">
        <v>449888</v>
      </c>
      <c r="H844">
        <v>446936</v>
      </c>
      <c r="I844">
        <v>313573</v>
      </c>
      <c r="J844">
        <v>690140</v>
      </c>
      <c r="K844">
        <v>392822</v>
      </c>
      <c r="L844">
        <v>507848</v>
      </c>
    </row>
    <row r="845" spans="1:12" x14ac:dyDescent="0.35">
      <c r="A845">
        <v>2025</v>
      </c>
      <c r="B845">
        <v>8</v>
      </c>
      <c r="C845" t="s">
        <v>71</v>
      </c>
      <c r="D845" t="s">
        <v>123</v>
      </c>
      <c r="E845" t="s">
        <v>124</v>
      </c>
      <c r="F845">
        <v>1</v>
      </c>
      <c r="G845">
        <v>318942</v>
      </c>
      <c r="H845">
        <v>318942</v>
      </c>
      <c r="I845">
        <v>318942</v>
      </c>
      <c r="J845">
        <v>318942</v>
      </c>
      <c r="K845">
        <v>318942</v>
      </c>
      <c r="L845">
        <v>318942</v>
      </c>
    </row>
    <row r="846" spans="1:12" x14ac:dyDescent="0.35">
      <c r="A846">
        <v>2025</v>
      </c>
      <c r="B846">
        <v>8</v>
      </c>
      <c r="C846" t="s">
        <v>71</v>
      </c>
      <c r="D846" t="s">
        <v>125</v>
      </c>
      <c r="E846" t="s">
        <v>126</v>
      </c>
      <c r="F846">
        <v>211</v>
      </c>
      <c r="G846">
        <v>435094</v>
      </c>
      <c r="H846">
        <v>373474</v>
      </c>
      <c r="I846">
        <v>325286</v>
      </c>
      <c r="J846">
        <v>692590</v>
      </c>
      <c r="K846">
        <v>355974</v>
      </c>
      <c r="L846">
        <v>543403</v>
      </c>
    </row>
    <row r="847" spans="1:12" x14ac:dyDescent="0.35">
      <c r="A847">
        <v>2025</v>
      </c>
      <c r="B847">
        <v>8</v>
      </c>
      <c r="C847" t="s">
        <v>71</v>
      </c>
      <c r="D847" t="s">
        <v>127</v>
      </c>
      <c r="E847" t="s">
        <v>128</v>
      </c>
      <c r="F847">
        <v>6097</v>
      </c>
      <c r="G847">
        <v>890449</v>
      </c>
      <c r="H847">
        <v>835721</v>
      </c>
      <c r="I847">
        <v>656667</v>
      </c>
      <c r="J847">
        <v>1451081</v>
      </c>
      <c r="K847">
        <v>715645</v>
      </c>
      <c r="L847">
        <v>1044108</v>
      </c>
    </row>
    <row r="848" spans="1:12" x14ac:dyDescent="0.35">
      <c r="A848">
        <v>2025</v>
      </c>
      <c r="B848">
        <v>8</v>
      </c>
      <c r="C848" t="s">
        <v>71</v>
      </c>
      <c r="D848" t="s">
        <v>129</v>
      </c>
      <c r="E848" t="s">
        <v>130</v>
      </c>
      <c r="F848">
        <v>326</v>
      </c>
      <c r="G848">
        <v>501545</v>
      </c>
      <c r="H848">
        <v>479314</v>
      </c>
      <c r="I848">
        <v>342134</v>
      </c>
      <c r="J848">
        <v>758970</v>
      </c>
      <c r="K848">
        <v>417540</v>
      </c>
      <c r="L848">
        <v>605237</v>
      </c>
    </row>
    <row r="849" spans="1:12" x14ac:dyDescent="0.35">
      <c r="A849">
        <v>2025</v>
      </c>
      <c r="B849">
        <v>8</v>
      </c>
      <c r="C849" t="s">
        <v>71</v>
      </c>
      <c r="D849" t="s">
        <v>131</v>
      </c>
      <c r="E849" t="s">
        <v>132</v>
      </c>
      <c r="F849">
        <v>37867</v>
      </c>
      <c r="G849">
        <v>522221</v>
      </c>
      <c r="H849">
        <v>491555</v>
      </c>
      <c r="I849">
        <v>333389</v>
      </c>
      <c r="J849">
        <v>887702</v>
      </c>
      <c r="K849">
        <v>438833</v>
      </c>
      <c r="L849">
        <v>587515</v>
      </c>
    </row>
    <row r="850" spans="1:12" x14ac:dyDescent="0.35">
      <c r="A850">
        <v>2025</v>
      </c>
      <c r="B850">
        <v>8</v>
      </c>
      <c r="C850" t="s">
        <v>71</v>
      </c>
      <c r="D850" t="s">
        <v>133</v>
      </c>
      <c r="E850" t="s">
        <v>134</v>
      </c>
      <c r="F850">
        <v>86533</v>
      </c>
      <c r="G850">
        <v>392273</v>
      </c>
      <c r="H850">
        <v>405040</v>
      </c>
      <c r="I850">
        <v>266776</v>
      </c>
      <c r="J850">
        <v>584647</v>
      </c>
      <c r="K850">
        <v>304225</v>
      </c>
      <c r="L850">
        <v>441936</v>
      </c>
    </row>
    <row r="851" spans="1:12" x14ac:dyDescent="0.35">
      <c r="A851">
        <v>2025</v>
      </c>
      <c r="B851">
        <v>8</v>
      </c>
      <c r="C851" t="s">
        <v>71</v>
      </c>
      <c r="D851" t="s">
        <v>135</v>
      </c>
      <c r="E851" t="s">
        <v>136</v>
      </c>
      <c r="F851">
        <v>22841</v>
      </c>
      <c r="G851">
        <v>696534</v>
      </c>
      <c r="H851">
        <v>684955</v>
      </c>
      <c r="I851">
        <v>398882</v>
      </c>
      <c r="J851">
        <v>1092136</v>
      </c>
      <c r="K851">
        <v>622667</v>
      </c>
      <c r="L851">
        <v>799512</v>
      </c>
    </row>
    <row r="852" spans="1:12" x14ac:dyDescent="0.35">
      <c r="A852">
        <v>2025</v>
      </c>
      <c r="B852">
        <v>8</v>
      </c>
      <c r="C852" t="s">
        <v>71</v>
      </c>
      <c r="D852" t="s">
        <v>137</v>
      </c>
      <c r="E852" t="s">
        <v>138</v>
      </c>
      <c r="F852">
        <v>12653</v>
      </c>
      <c r="G852">
        <v>448719</v>
      </c>
      <c r="H852">
        <v>431382</v>
      </c>
      <c r="I852">
        <v>262563</v>
      </c>
      <c r="J852">
        <v>818589</v>
      </c>
      <c r="K852">
        <v>365926</v>
      </c>
      <c r="L852">
        <v>506555</v>
      </c>
    </row>
    <row r="853" spans="1:12" x14ac:dyDescent="0.35">
      <c r="A853">
        <v>2025</v>
      </c>
      <c r="B853">
        <v>8</v>
      </c>
      <c r="C853" t="s">
        <v>71</v>
      </c>
      <c r="D853" t="s">
        <v>139</v>
      </c>
      <c r="E853" t="s">
        <v>140</v>
      </c>
      <c r="F853">
        <v>27</v>
      </c>
      <c r="G853">
        <v>629945</v>
      </c>
      <c r="H853">
        <v>630237</v>
      </c>
      <c r="I853">
        <v>533722</v>
      </c>
      <c r="J853">
        <v>741187</v>
      </c>
      <c r="K853">
        <v>615237</v>
      </c>
      <c r="L853">
        <v>647737</v>
      </c>
    </row>
    <row r="854" spans="1:12" x14ac:dyDescent="0.35">
      <c r="A854">
        <v>2025</v>
      </c>
      <c r="B854">
        <v>8</v>
      </c>
      <c r="C854" t="s">
        <v>71</v>
      </c>
      <c r="D854" t="s">
        <v>141</v>
      </c>
      <c r="E854" t="s">
        <v>142</v>
      </c>
      <c r="F854">
        <v>945</v>
      </c>
      <c r="G854">
        <v>508390</v>
      </c>
      <c r="H854">
        <v>499055</v>
      </c>
      <c r="I854">
        <v>342134</v>
      </c>
      <c r="J854">
        <v>758921</v>
      </c>
      <c r="K854">
        <v>448833</v>
      </c>
      <c r="L854">
        <v>553722</v>
      </c>
    </row>
    <row r="855" spans="1:12" x14ac:dyDescent="0.35">
      <c r="A855">
        <v>2025</v>
      </c>
      <c r="B855">
        <v>8</v>
      </c>
      <c r="C855" t="s">
        <v>71</v>
      </c>
      <c r="D855" t="s">
        <v>143</v>
      </c>
      <c r="E855" t="s">
        <v>144</v>
      </c>
      <c r="F855">
        <v>5321</v>
      </c>
      <c r="G855">
        <v>287437</v>
      </c>
      <c r="H855">
        <v>283486</v>
      </c>
      <c r="I855">
        <v>229743</v>
      </c>
      <c r="J855">
        <v>439017</v>
      </c>
      <c r="K855">
        <v>265297</v>
      </c>
      <c r="L855">
        <v>305519</v>
      </c>
    </row>
    <row r="856" spans="1:12" x14ac:dyDescent="0.35">
      <c r="A856">
        <v>2025</v>
      </c>
      <c r="B856">
        <v>8</v>
      </c>
      <c r="C856" t="s">
        <v>71</v>
      </c>
      <c r="D856" t="s">
        <v>145</v>
      </c>
      <c r="E856" t="s">
        <v>146</v>
      </c>
      <c r="F856">
        <v>118</v>
      </c>
      <c r="G856">
        <v>435867</v>
      </c>
      <c r="H856">
        <v>445710</v>
      </c>
      <c r="I856">
        <v>322834</v>
      </c>
      <c r="J856">
        <v>590804</v>
      </c>
      <c r="K856">
        <v>382822</v>
      </c>
      <c r="L856">
        <v>470544</v>
      </c>
    </row>
    <row r="857" spans="1:12" x14ac:dyDescent="0.35">
      <c r="A857">
        <v>2025</v>
      </c>
      <c r="B857">
        <v>8</v>
      </c>
      <c r="C857" t="s">
        <v>71</v>
      </c>
      <c r="D857" t="s">
        <v>147</v>
      </c>
      <c r="E857" t="s">
        <v>148</v>
      </c>
      <c r="F857">
        <v>126</v>
      </c>
      <c r="G857">
        <v>344213</v>
      </c>
      <c r="H857">
        <v>321073</v>
      </c>
      <c r="I857">
        <v>297836</v>
      </c>
      <c r="J857">
        <v>482257</v>
      </c>
      <c r="K857">
        <v>302836</v>
      </c>
      <c r="L857">
        <v>363290</v>
      </c>
    </row>
    <row r="858" spans="1:12" x14ac:dyDescent="0.35">
      <c r="A858">
        <v>2025</v>
      </c>
      <c r="B858">
        <v>8</v>
      </c>
      <c r="C858" t="s">
        <v>71</v>
      </c>
      <c r="D858" t="s">
        <v>149</v>
      </c>
      <c r="E858" t="s">
        <v>150</v>
      </c>
      <c r="F858">
        <v>1961</v>
      </c>
      <c r="G858">
        <v>406033</v>
      </c>
      <c r="H858">
        <v>373474</v>
      </c>
      <c r="I858">
        <v>297836</v>
      </c>
      <c r="J858">
        <v>735916</v>
      </c>
      <c r="K858">
        <v>345790</v>
      </c>
      <c r="L858">
        <v>431936</v>
      </c>
    </row>
    <row r="859" spans="1:12" x14ac:dyDescent="0.35">
      <c r="A859">
        <v>2025</v>
      </c>
      <c r="B859">
        <v>8</v>
      </c>
      <c r="C859" t="s">
        <v>71</v>
      </c>
      <c r="D859" t="s">
        <v>151</v>
      </c>
      <c r="E859" t="s">
        <v>152</v>
      </c>
      <c r="F859">
        <v>671</v>
      </c>
      <c r="G859">
        <v>1007763</v>
      </c>
      <c r="H859">
        <v>1044725</v>
      </c>
      <c r="I859">
        <v>690287</v>
      </c>
      <c r="J859">
        <v>1529212</v>
      </c>
      <c r="K859">
        <v>905116</v>
      </c>
      <c r="L859">
        <v>1116708</v>
      </c>
    </row>
    <row r="860" spans="1:12" x14ac:dyDescent="0.35">
      <c r="A860">
        <v>2025</v>
      </c>
      <c r="B860">
        <v>8</v>
      </c>
      <c r="C860" t="s">
        <v>71</v>
      </c>
      <c r="D860" t="s">
        <v>153</v>
      </c>
      <c r="E860" t="s">
        <v>154</v>
      </c>
      <c r="F860">
        <v>168</v>
      </c>
      <c r="G860">
        <v>624575</v>
      </c>
      <c r="H860">
        <v>648896</v>
      </c>
      <c r="I860">
        <v>406061</v>
      </c>
      <c r="J860">
        <v>817666</v>
      </c>
      <c r="K860">
        <v>513549</v>
      </c>
      <c r="L860">
        <v>747628</v>
      </c>
    </row>
    <row r="861" spans="1:12" x14ac:dyDescent="0.35">
      <c r="A861">
        <v>2025</v>
      </c>
      <c r="B861">
        <v>8</v>
      </c>
      <c r="C861" t="s">
        <v>71</v>
      </c>
      <c r="D861" t="s">
        <v>155</v>
      </c>
      <c r="E861" t="s">
        <v>156</v>
      </c>
      <c r="F861">
        <v>1008</v>
      </c>
      <c r="G861">
        <v>396290</v>
      </c>
      <c r="H861">
        <v>378795</v>
      </c>
      <c r="I861">
        <v>260064</v>
      </c>
      <c r="J861">
        <v>707824</v>
      </c>
      <c r="K861">
        <v>320519</v>
      </c>
      <c r="L861">
        <v>432540</v>
      </c>
    </row>
    <row r="862" spans="1:12" x14ac:dyDescent="0.35">
      <c r="A862">
        <v>2025</v>
      </c>
      <c r="B862">
        <v>8</v>
      </c>
      <c r="C862" t="s">
        <v>71</v>
      </c>
      <c r="D862" t="s">
        <v>157</v>
      </c>
      <c r="E862" t="s">
        <v>158</v>
      </c>
      <c r="F862">
        <v>183</v>
      </c>
      <c r="G862">
        <v>470480</v>
      </c>
      <c r="H862">
        <v>432540</v>
      </c>
      <c r="I862">
        <v>330286</v>
      </c>
      <c r="J862">
        <v>690140</v>
      </c>
      <c r="K862">
        <v>388474</v>
      </c>
      <c r="L862">
        <v>543403</v>
      </c>
    </row>
    <row r="863" spans="1:12" x14ac:dyDescent="0.35">
      <c r="A863">
        <v>2025</v>
      </c>
      <c r="B863">
        <v>8</v>
      </c>
      <c r="C863" t="s">
        <v>71</v>
      </c>
      <c r="D863" t="s">
        <v>159</v>
      </c>
      <c r="E863" t="s">
        <v>160</v>
      </c>
      <c r="F863">
        <v>416</v>
      </c>
      <c r="G863">
        <v>441389</v>
      </c>
      <c r="H863">
        <v>431406</v>
      </c>
      <c r="I863">
        <v>303573</v>
      </c>
      <c r="J863">
        <v>709486</v>
      </c>
      <c r="K863">
        <v>360974</v>
      </c>
      <c r="L863">
        <v>480495</v>
      </c>
    </row>
    <row r="864" spans="1:12" x14ac:dyDescent="0.35">
      <c r="A864">
        <v>2025</v>
      </c>
      <c r="B864">
        <v>8</v>
      </c>
      <c r="C864" t="s">
        <v>71</v>
      </c>
      <c r="D864" t="s">
        <v>161</v>
      </c>
      <c r="E864" t="s">
        <v>162</v>
      </c>
      <c r="F864">
        <v>122</v>
      </c>
      <c r="G864">
        <v>480038</v>
      </c>
      <c r="H864">
        <v>456770</v>
      </c>
      <c r="I864">
        <v>330286</v>
      </c>
      <c r="J864">
        <v>704353</v>
      </c>
      <c r="K864">
        <v>373474</v>
      </c>
      <c r="L864">
        <v>575467</v>
      </c>
    </row>
    <row r="865" spans="1:12" x14ac:dyDescent="0.35">
      <c r="A865">
        <v>2025</v>
      </c>
      <c r="B865">
        <v>9</v>
      </c>
      <c r="C865" t="s">
        <v>72</v>
      </c>
      <c r="D865" t="s">
        <v>77</v>
      </c>
      <c r="E865" t="s">
        <v>78</v>
      </c>
      <c r="F865">
        <v>4</v>
      </c>
      <c r="G865">
        <v>415954</v>
      </c>
      <c r="H865">
        <v>383796</v>
      </c>
      <c r="I865">
        <v>325655</v>
      </c>
      <c r="J865">
        <v>570570</v>
      </c>
      <c r="K865">
        <v>333155</v>
      </c>
      <c r="L865">
        <v>434436</v>
      </c>
    </row>
    <row r="866" spans="1:12" x14ac:dyDescent="0.35">
      <c r="A866">
        <v>2025</v>
      </c>
      <c r="B866">
        <v>9</v>
      </c>
      <c r="C866" t="s">
        <v>72</v>
      </c>
      <c r="D866" t="s">
        <v>79</v>
      </c>
      <c r="E866" t="s">
        <v>80</v>
      </c>
      <c r="F866">
        <v>151</v>
      </c>
      <c r="G866">
        <v>445348</v>
      </c>
      <c r="H866">
        <v>415322</v>
      </c>
      <c r="I866">
        <v>302836</v>
      </c>
      <c r="J866">
        <v>715324</v>
      </c>
      <c r="K866">
        <v>358474</v>
      </c>
      <c r="L866">
        <v>535582</v>
      </c>
    </row>
    <row r="867" spans="1:12" x14ac:dyDescent="0.35">
      <c r="A867">
        <v>2025</v>
      </c>
      <c r="B867">
        <v>9</v>
      </c>
      <c r="C867" t="s">
        <v>72</v>
      </c>
      <c r="D867" t="s">
        <v>81</v>
      </c>
      <c r="E867" t="s">
        <v>82</v>
      </c>
      <c r="F867">
        <v>20</v>
      </c>
      <c r="G867">
        <v>649182</v>
      </c>
      <c r="H867">
        <v>648224</v>
      </c>
      <c r="I867">
        <v>534190</v>
      </c>
      <c r="J867">
        <v>719351</v>
      </c>
      <c r="K867">
        <v>637233</v>
      </c>
      <c r="L867">
        <v>669351</v>
      </c>
    </row>
    <row r="868" spans="1:12" x14ac:dyDescent="0.35">
      <c r="A868">
        <v>2025</v>
      </c>
      <c r="B868">
        <v>9</v>
      </c>
      <c r="C868" t="s">
        <v>72</v>
      </c>
      <c r="D868" t="s">
        <v>83</v>
      </c>
      <c r="E868" t="s">
        <v>84</v>
      </c>
      <c r="F868">
        <v>55</v>
      </c>
      <c r="G868">
        <v>494164</v>
      </c>
      <c r="H868">
        <v>525903</v>
      </c>
      <c r="I868">
        <v>330286</v>
      </c>
      <c r="J868">
        <v>659955</v>
      </c>
      <c r="K868">
        <v>358474</v>
      </c>
      <c r="L868">
        <v>620979</v>
      </c>
    </row>
    <row r="869" spans="1:12" x14ac:dyDescent="0.35">
      <c r="A869">
        <v>2025</v>
      </c>
      <c r="B869">
        <v>9</v>
      </c>
      <c r="C869" t="s">
        <v>72</v>
      </c>
      <c r="D869" t="s">
        <v>85</v>
      </c>
      <c r="E869" t="s">
        <v>86</v>
      </c>
      <c r="F869">
        <v>1106</v>
      </c>
      <c r="G869">
        <v>504987</v>
      </c>
      <c r="H869">
        <v>478574</v>
      </c>
      <c r="I869">
        <v>302836</v>
      </c>
      <c r="J869">
        <v>735411</v>
      </c>
      <c r="K869">
        <v>412822</v>
      </c>
      <c r="L869">
        <v>606038</v>
      </c>
    </row>
    <row r="870" spans="1:12" x14ac:dyDescent="0.35">
      <c r="A870">
        <v>2025</v>
      </c>
      <c r="B870">
        <v>9</v>
      </c>
      <c r="C870" t="s">
        <v>72</v>
      </c>
      <c r="D870" t="s">
        <v>87</v>
      </c>
      <c r="E870" t="s">
        <v>88</v>
      </c>
      <c r="F870">
        <v>4</v>
      </c>
      <c r="G870">
        <v>597371</v>
      </c>
      <c r="H870">
        <v>593852</v>
      </c>
      <c r="I870">
        <v>555804</v>
      </c>
      <c r="J870">
        <v>645977</v>
      </c>
      <c r="K870">
        <v>563304</v>
      </c>
      <c r="L870">
        <v>624400</v>
      </c>
    </row>
    <row r="871" spans="1:12" x14ac:dyDescent="0.35">
      <c r="A871">
        <v>2025</v>
      </c>
      <c r="B871">
        <v>9</v>
      </c>
      <c r="C871" t="s">
        <v>72</v>
      </c>
      <c r="D871" t="s">
        <v>89</v>
      </c>
      <c r="E871" t="s">
        <v>90</v>
      </c>
      <c r="F871">
        <v>845</v>
      </c>
      <c r="G871">
        <v>483281</v>
      </c>
      <c r="H871">
        <v>449436</v>
      </c>
      <c r="I871">
        <v>302834</v>
      </c>
      <c r="J871">
        <v>748416</v>
      </c>
      <c r="K871">
        <v>387822</v>
      </c>
      <c r="L871">
        <v>580570</v>
      </c>
    </row>
    <row r="872" spans="1:12" x14ac:dyDescent="0.35">
      <c r="A872">
        <v>2025</v>
      </c>
      <c r="B872">
        <v>9</v>
      </c>
      <c r="C872" t="s">
        <v>72</v>
      </c>
      <c r="D872" t="s">
        <v>91</v>
      </c>
      <c r="E872" t="s">
        <v>92</v>
      </c>
      <c r="F872">
        <v>154</v>
      </c>
      <c r="G872">
        <v>365674</v>
      </c>
      <c r="H872">
        <v>345790</v>
      </c>
      <c r="I872">
        <v>297836</v>
      </c>
      <c r="J872">
        <v>646900</v>
      </c>
      <c r="K872">
        <v>336073</v>
      </c>
      <c r="L872">
        <v>364866</v>
      </c>
    </row>
    <row r="873" spans="1:12" x14ac:dyDescent="0.35">
      <c r="A873">
        <v>2025</v>
      </c>
      <c r="B873">
        <v>9</v>
      </c>
      <c r="C873" t="s">
        <v>72</v>
      </c>
      <c r="D873" t="s">
        <v>93</v>
      </c>
      <c r="E873" t="s">
        <v>94</v>
      </c>
      <c r="F873">
        <v>28</v>
      </c>
      <c r="G873">
        <v>353524</v>
      </c>
      <c r="H873">
        <v>335655</v>
      </c>
      <c r="I873">
        <v>302836</v>
      </c>
      <c r="J873">
        <v>583439</v>
      </c>
      <c r="K873">
        <v>325336</v>
      </c>
      <c r="L873">
        <v>370322</v>
      </c>
    </row>
    <row r="874" spans="1:12" x14ac:dyDescent="0.35">
      <c r="A874">
        <v>2025</v>
      </c>
      <c r="B874">
        <v>9</v>
      </c>
      <c r="C874" t="s">
        <v>72</v>
      </c>
      <c r="D874" t="s">
        <v>95</v>
      </c>
      <c r="E874" t="s">
        <v>96</v>
      </c>
      <c r="F874">
        <v>19</v>
      </c>
      <c r="G874">
        <v>398436</v>
      </c>
      <c r="H874">
        <v>390322</v>
      </c>
      <c r="I874">
        <v>313573</v>
      </c>
      <c r="J874">
        <v>618439</v>
      </c>
      <c r="K874">
        <v>330286</v>
      </c>
      <c r="L874">
        <v>424436</v>
      </c>
    </row>
    <row r="875" spans="1:12" x14ac:dyDescent="0.35">
      <c r="A875">
        <v>2025</v>
      </c>
      <c r="B875">
        <v>9</v>
      </c>
      <c r="C875" t="s">
        <v>72</v>
      </c>
      <c r="D875" t="s">
        <v>97</v>
      </c>
      <c r="E875" t="s">
        <v>98</v>
      </c>
      <c r="F875">
        <v>283</v>
      </c>
      <c r="G875">
        <v>410646</v>
      </c>
      <c r="H875">
        <v>368290</v>
      </c>
      <c r="I875">
        <v>302836</v>
      </c>
      <c r="J875">
        <v>695189</v>
      </c>
      <c r="K875">
        <v>345790</v>
      </c>
      <c r="L875">
        <v>419485</v>
      </c>
    </row>
    <row r="876" spans="1:12" x14ac:dyDescent="0.35">
      <c r="A876">
        <v>2025</v>
      </c>
      <c r="B876">
        <v>9</v>
      </c>
      <c r="C876" t="s">
        <v>72</v>
      </c>
      <c r="D876" t="s">
        <v>99</v>
      </c>
      <c r="E876" t="s">
        <v>100</v>
      </c>
      <c r="F876">
        <v>408</v>
      </c>
      <c r="G876">
        <v>450099</v>
      </c>
      <c r="H876">
        <v>439436</v>
      </c>
      <c r="I876">
        <v>297836</v>
      </c>
      <c r="J876">
        <v>710411</v>
      </c>
      <c r="K876">
        <v>388474</v>
      </c>
      <c r="L876">
        <v>507848</v>
      </c>
    </row>
    <row r="877" spans="1:12" x14ac:dyDescent="0.35">
      <c r="A877">
        <v>2025</v>
      </c>
      <c r="B877">
        <v>9</v>
      </c>
      <c r="C877" t="s">
        <v>72</v>
      </c>
      <c r="D877" t="s">
        <v>101</v>
      </c>
      <c r="E877" t="s">
        <v>102</v>
      </c>
      <c r="F877">
        <v>10</v>
      </c>
      <c r="G877">
        <v>546690</v>
      </c>
      <c r="H877">
        <v>559561</v>
      </c>
      <c r="I877">
        <v>352786</v>
      </c>
      <c r="J877">
        <v>675324</v>
      </c>
      <c r="K877">
        <v>440040</v>
      </c>
      <c r="L877">
        <v>645189</v>
      </c>
    </row>
    <row r="878" spans="1:12" x14ac:dyDescent="0.35">
      <c r="A878">
        <v>2025</v>
      </c>
      <c r="B878">
        <v>9</v>
      </c>
      <c r="C878" t="s">
        <v>72</v>
      </c>
      <c r="D878" t="s">
        <v>103</v>
      </c>
      <c r="E878" t="s">
        <v>104</v>
      </c>
      <c r="F878">
        <v>9</v>
      </c>
      <c r="G878">
        <v>364148</v>
      </c>
      <c r="H878">
        <v>344866</v>
      </c>
      <c r="I878">
        <v>313573</v>
      </c>
      <c r="J878">
        <v>502848</v>
      </c>
      <c r="K878">
        <v>321073</v>
      </c>
      <c r="L878">
        <v>388474</v>
      </c>
    </row>
    <row r="879" spans="1:12" x14ac:dyDescent="0.35">
      <c r="A879">
        <v>2025</v>
      </c>
      <c r="B879">
        <v>9</v>
      </c>
      <c r="C879" t="s">
        <v>72</v>
      </c>
      <c r="D879" t="s">
        <v>105</v>
      </c>
      <c r="E879" t="s">
        <v>106</v>
      </c>
      <c r="F879">
        <v>37</v>
      </c>
      <c r="G879">
        <v>447770</v>
      </c>
      <c r="H879">
        <v>399485</v>
      </c>
      <c r="I879">
        <v>313573</v>
      </c>
      <c r="J879">
        <v>697640</v>
      </c>
      <c r="K879">
        <v>357366</v>
      </c>
      <c r="L879">
        <v>535903</v>
      </c>
    </row>
    <row r="880" spans="1:12" x14ac:dyDescent="0.35">
      <c r="A880">
        <v>2025</v>
      </c>
      <c r="B880">
        <v>9</v>
      </c>
      <c r="C880" t="s">
        <v>72</v>
      </c>
      <c r="D880" t="s">
        <v>107</v>
      </c>
      <c r="E880" t="s">
        <v>108</v>
      </c>
      <c r="F880">
        <v>7</v>
      </c>
      <c r="G880">
        <v>343637</v>
      </c>
      <c r="H880">
        <v>330286</v>
      </c>
      <c r="I880">
        <v>325286</v>
      </c>
      <c r="J880">
        <v>380974</v>
      </c>
      <c r="K880">
        <v>330286</v>
      </c>
      <c r="L880">
        <v>358474</v>
      </c>
    </row>
    <row r="881" spans="1:12" x14ac:dyDescent="0.35">
      <c r="A881">
        <v>2025</v>
      </c>
      <c r="B881">
        <v>9</v>
      </c>
      <c r="C881" t="s">
        <v>72</v>
      </c>
      <c r="D881" t="s">
        <v>109</v>
      </c>
      <c r="E881" t="s">
        <v>110</v>
      </c>
      <c r="F881">
        <v>5142</v>
      </c>
      <c r="G881">
        <v>554709</v>
      </c>
      <c r="H881">
        <v>519658</v>
      </c>
      <c r="I881">
        <v>407405</v>
      </c>
      <c r="J881">
        <v>803035</v>
      </c>
      <c r="K881">
        <v>445594</v>
      </c>
      <c r="L881">
        <v>683564</v>
      </c>
    </row>
    <row r="882" spans="1:12" x14ac:dyDescent="0.35">
      <c r="A882">
        <v>2025</v>
      </c>
      <c r="B882">
        <v>9</v>
      </c>
      <c r="C882" t="s">
        <v>72</v>
      </c>
      <c r="D882" t="s">
        <v>111</v>
      </c>
      <c r="E882" t="s">
        <v>112</v>
      </c>
      <c r="F882">
        <v>16086</v>
      </c>
      <c r="G882">
        <v>338169</v>
      </c>
      <c r="H882">
        <v>318942</v>
      </c>
      <c r="I882">
        <v>247193</v>
      </c>
      <c r="J882">
        <v>684400</v>
      </c>
      <c r="K882">
        <v>285752</v>
      </c>
      <c r="L882">
        <v>360790</v>
      </c>
    </row>
    <row r="883" spans="1:12" x14ac:dyDescent="0.35">
      <c r="A883">
        <v>2025</v>
      </c>
      <c r="B883">
        <v>9</v>
      </c>
      <c r="C883" t="s">
        <v>72</v>
      </c>
      <c r="D883" t="s">
        <v>113</v>
      </c>
      <c r="E883" t="s">
        <v>114</v>
      </c>
      <c r="F883">
        <v>8949</v>
      </c>
      <c r="G883">
        <v>318369</v>
      </c>
      <c r="H883">
        <v>308942</v>
      </c>
      <c r="I883">
        <v>260064</v>
      </c>
      <c r="J883">
        <v>585804</v>
      </c>
      <c r="K883">
        <v>280752</v>
      </c>
      <c r="L883">
        <v>337552</v>
      </c>
    </row>
    <row r="884" spans="1:12" x14ac:dyDescent="0.35">
      <c r="A884">
        <v>2025</v>
      </c>
      <c r="B884">
        <v>9</v>
      </c>
      <c r="C884" t="s">
        <v>72</v>
      </c>
      <c r="D884" t="s">
        <v>115</v>
      </c>
      <c r="E884" t="s">
        <v>116</v>
      </c>
      <c r="F884">
        <v>89</v>
      </c>
      <c r="G884">
        <v>578546</v>
      </c>
      <c r="H884">
        <v>566224</v>
      </c>
      <c r="I884">
        <v>407405</v>
      </c>
      <c r="J884">
        <v>825535</v>
      </c>
      <c r="K884">
        <v>453094</v>
      </c>
      <c r="L884">
        <v>681987</v>
      </c>
    </row>
    <row r="885" spans="1:12" x14ac:dyDescent="0.35">
      <c r="A885">
        <v>2025</v>
      </c>
      <c r="B885">
        <v>9</v>
      </c>
      <c r="C885" t="s">
        <v>72</v>
      </c>
      <c r="D885" t="s">
        <v>117</v>
      </c>
      <c r="E885" t="s">
        <v>118</v>
      </c>
      <c r="F885">
        <v>414</v>
      </c>
      <c r="G885">
        <v>585403</v>
      </c>
      <c r="H885">
        <v>566942</v>
      </c>
      <c r="I885">
        <v>407405</v>
      </c>
      <c r="J885">
        <v>808035</v>
      </c>
      <c r="K885">
        <v>467441</v>
      </c>
      <c r="L885">
        <v>711987</v>
      </c>
    </row>
    <row r="886" spans="1:12" x14ac:dyDescent="0.35">
      <c r="A886">
        <v>2025</v>
      </c>
      <c r="B886">
        <v>9</v>
      </c>
      <c r="C886" t="s">
        <v>72</v>
      </c>
      <c r="D886" t="s">
        <v>119</v>
      </c>
      <c r="E886" t="s">
        <v>120</v>
      </c>
      <c r="F886">
        <v>1023</v>
      </c>
      <c r="G886">
        <v>504585</v>
      </c>
      <c r="H886">
        <v>479941</v>
      </c>
      <c r="I886">
        <v>407405</v>
      </c>
      <c r="J886">
        <v>788035</v>
      </c>
      <c r="K886">
        <v>440594</v>
      </c>
      <c r="L886">
        <v>535163</v>
      </c>
    </row>
    <row r="887" spans="1:12" x14ac:dyDescent="0.35">
      <c r="A887">
        <v>2025</v>
      </c>
      <c r="B887">
        <v>9</v>
      </c>
      <c r="C887" t="s">
        <v>72</v>
      </c>
      <c r="D887" t="s">
        <v>121</v>
      </c>
      <c r="E887" t="s">
        <v>122</v>
      </c>
      <c r="F887">
        <v>532</v>
      </c>
      <c r="G887">
        <v>449115</v>
      </c>
      <c r="H887">
        <v>446936</v>
      </c>
      <c r="I887">
        <v>313573</v>
      </c>
      <c r="J887">
        <v>696851</v>
      </c>
      <c r="K887">
        <v>390322</v>
      </c>
      <c r="L887">
        <v>505348</v>
      </c>
    </row>
    <row r="888" spans="1:12" x14ac:dyDescent="0.35">
      <c r="A888">
        <v>2025</v>
      </c>
      <c r="B888">
        <v>9</v>
      </c>
      <c r="C888" t="s">
        <v>72</v>
      </c>
      <c r="D888" t="s">
        <v>123</v>
      </c>
      <c r="E888" t="s">
        <v>124</v>
      </c>
      <c r="F888">
        <v>1</v>
      </c>
      <c r="G888">
        <v>318942</v>
      </c>
      <c r="H888">
        <v>318942</v>
      </c>
      <c r="I888">
        <v>318942</v>
      </c>
      <c r="J888">
        <v>318942</v>
      </c>
      <c r="K888">
        <v>318942</v>
      </c>
      <c r="L888">
        <v>318942</v>
      </c>
    </row>
    <row r="889" spans="1:12" x14ac:dyDescent="0.35">
      <c r="A889">
        <v>2025</v>
      </c>
      <c r="B889">
        <v>9</v>
      </c>
      <c r="C889" t="s">
        <v>72</v>
      </c>
      <c r="D889" t="s">
        <v>125</v>
      </c>
      <c r="E889" t="s">
        <v>126</v>
      </c>
      <c r="F889">
        <v>211</v>
      </c>
      <c r="G889">
        <v>435367</v>
      </c>
      <c r="H889">
        <v>373474</v>
      </c>
      <c r="I889">
        <v>325286</v>
      </c>
      <c r="J889">
        <v>692590</v>
      </c>
      <c r="K889">
        <v>355974</v>
      </c>
      <c r="L889">
        <v>543403</v>
      </c>
    </row>
    <row r="890" spans="1:12" x14ac:dyDescent="0.35">
      <c r="A890">
        <v>2025</v>
      </c>
      <c r="B890">
        <v>9</v>
      </c>
      <c r="C890" t="s">
        <v>72</v>
      </c>
      <c r="D890" t="s">
        <v>127</v>
      </c>
      <c r="E890" t="s">
        <v>128</v>
      </c>
      <c r="F890">
        <v>6222</v>
      </c>
      <c r="G890">
        <v>888121</v>
      </c>
      <c r="H890">
        <v>833355</v>
      </c>
      <c r="I890">
        <v>656667</v>
      </c>
      <c r="J890">
        <v>1451081</v>
      </c>
      <c r="K890">
        <v>710645</v>
      </c>
      <c r="L890">
        <v>1041608</v>
      </c>
    </row>
    <row r="891" spans="1:12" x14ac:dyDescent="0.35">
      <c r="A891">
        <v>2025</v>
      </c>
      <c r="B891">
        <v>9</v>
      </c>
      <c r="C891" t="s">
        <v>72</v>
      </c>
      <c r="D891" t="s">
        <v>129</v>
      </c>
      <c r="E891" t="s">
        <v>130</v>
      </c>
      <c r="F891">
        <v>326</v>
      </c>
      <c r="G891">
        <v>500616</v>
      </c>
      <c r="H891">
        <v>473784</v>
      </c>
      <c r="I891">
        <v>342134</v>
      </c>
      <c r="J891">
        <v>758970</v>
      </c>
      <c r="K891">
        <v>415040</v>
      </c>
      <c r="L891">
        <v>605237</v>
      </c>
    </row>
    <row r="892" spans="1:12" x14ac:dyDescent="0.35">
      <c r="A892">
        <v>2025</v>
      </c>
      <c r="B892">
        <v>9</v>
      </c>
      <c r="C892" t="s">
        <v>72</v>
      </c>
      <c r="D892" t="s">
        <v>131</v>
      </c>
      <c r="E892" t="s">
        <v>132</v>
      </c>
      <c r="F892">
        <v>37814</v>
      </c>
      <c r="G892">
        <v>521565</v>
      </c>
      <c r="H892">
        <v>489338</v>
      </c>
      <c r="I892">
        <v>333389</v>
      </c>
      <c r="J892">
        <v>887702</v>
      </c>
      <c r="K892">
        <v>438833</v>
      </c>
      <c r="L892">
        <v>585521</v>
      </c>
    </row>
    <row r="893" spans="1:12" x14ac:dyDescent="0.35">
      <c r="A893">
        <v>2025</v>
      </c>
      <c r="B893">
        <v>9</v>
      </c>
      <c r="C893" t="s">
        <v>72</v>
      </c>
      <c r="D893" t="s">
        <v>133</v>
      </c>
      <c r="E893" t="s">
        <v>134</v>
      </c>
      <c r="F893">
        <v>86473</v>
      </c>
      <c r="G893">
        <v>392274</v>
      </c>
      <c r="H893">
        <v>404904</v>
      </c>
      <c r="I893">
        <v>266776</v>
      </c>
      <c r="J893">
        <v>584647</v>
      </c>
      <c r="K893">
        <v>301725</v>
      </c>
      <c r="L893">
        <v>442540</v>
      </c>
    </row>
    <row r="894" spans="1:12" x14ac:dyDescent="0.35">
      <c r="A894">
        <v>2025</v>
      </c>
      <c r="B894">
        <v>9</v>
      </c>
      <c r="C894" t="s">
        <v>72</v>
      </c>
      <c r="D894" t="s">
        <v>135</v>
      </c>
      <c r="E894" t="s">
        <v>136</v>
      </c>
      <c r="F894">
        <v>23245</v>
      </c>
      <c r="G894">
        <v>692933</v>
      </c>
      <c r="H894">
        <v>682455</v>
      </c>
      <c r="I894">
        <v>398882</v>
      </c>
      <c r="J894">
        <v>1094096</v>
      </c>
      <c r="K894">
        <v>615237</v>
      </c>
      <c r="L894">
        <v>795633</v>
      </c>
    </row>
    <row r="895" spans="1:12" x14ac:dyDescent="0.35">
      <c r="A895">
        <v>2025</v>
      </c>
      <c r="B895">
        <v>9</v>
      </c>
      <c r="C895" t="s">
        <v>72</v>
      </c>
      <c r="D895" t="s">
        <v>137</v>
      </c>
      <c r="E895" t="s">
        <v>138</v>
      </c>
      <c r="F895">
        <v>12647</v>
      </c>
      <c r="G895">
        <v>447885</v>
      </c>
      <c r="H895">
        <v>430040</v>
      </c>
      <c r="I895">
        <v>262563</v>
      </c>
      <c r="J895">
        <v>828589</v>
      </c>
      <c r="K895">
        <v>368426</v>
      </c>
      <c r="L895">
        <v>506555</v>
      </c>
    </row>
    <row r="896" spans="1:12" x14ac:dyDescent="0.35">
      <c r="A896">
        <v>2025</v>
      </c>
      <c r="B896">
        <v>9</v>
      </c>
      <c r="C896" t="s">
        <v>72</v>
      </c>
      <c r="D896" t="s">
        <v>139</v>
      </c>
      <c r="E896" t="s">
        <v>140</v>
      </c>
      <c r="F896">
        <v>27</v>
      </c>
      <c r="G896">
        <v>629945</v>
      </c>
      <c r="H896">
        <v>630237</v>
      </c>
      <c r="I896">
        <v>533722</v>
      </c>
      <c r="J896">
        <v>741187</v>
      </c>
      <c r="K896">
        <v>615237</v>
      </c>
      <c r="L896">
        <v>647737</v>
      </c>
    </row>
    <row r="897" spans="1:12" x14ac:dyDescent="0.35">
      <c r="A897">
        <v>2025</v>
      </c>
      <c r="B897">
        <v>9</v>
      </c>
      <c r="C897" t="s">
        <v>72</v>
      </c>
      <c r="D897" t="s">
        <v>141</v>
      </c>
      <c r="E897" t="s">
        <v>142</v>
      </c>
      <c r="F897">
        <v>949</v>
      </c>
      <c r="G897">
        <v>509217</v>
      </c>
      <c r="H897">
        <v>501555</v>
      </c>
      <c r="I897">
        <v>342134</v>
      </c>
      <c r="J897">
        <v>758921</v>
      </c>
      <c r="K897">
        <v>448833</v>
      </c>
      <c r="L897">
        <v>556222</v>
      </c>
    </row>
    <row r="898" spans="1:12" x14ac:dyDescent="0.35">
      <c r="A898">
        <v>2025</v>
      </c>
      <c r="B898">
        <v>9</v>
      </c>
      <c r="C898" t="s">
        <v>72</v>
      </c>
      <c r="D898" t="s">
        <v>143</v>
      </c>
      <c r="E898" t="s">
        <v>144</v>
      </c>
      <c r="F898">
        <v>5341</v>
      </c>
      <c r="G898">
        <v>287325</v>
      </c>
      <c r="H898">
        <v>283486</v>
      </c>
      <c r="I898">
        <v>229743</v>
      </c>
      <c r="J898">
        <v>449543</v>
      </c>
      <c r="K898">
        <v>265986</v>
      </c>
      <c r="L898">
        <v>305519</v>
      </c>
    </row>
    <row r="899" spans="1:12" x14ac:dyDescent="0.35">
      <c r="A899">
        <v>2025</v>
      </c>
      <c r="B899">
        <v>9</v>
      </c>
      <c r="C899" t="s">
        <v>72</v>
      </c>
      <c r="D899" t="s">
        <v>145</v>
      </c>
      <c r="E899" t="s">
        <v>146</v>
      </c>
      <c r="F899">
        <v>118</v>
      </c>
      <c r="G899">
        <v>449766</v>
      </c>
      <c r="H899">
        <v>451985</v>
      </c>
      <c r="I899">
        <v>341073</v>
      </c>
      <c r="J899">
        <v>590804</v>
      </c>
      <c r="K899">
        <v>420322</v>
      </c>
      <c r="L899">
        <v>476936</v>
      </c>
    </row>
    <row r="900" spans="1:12" x14ac:dyDescent="0.35">
      <c r="A900">
        <v>2025</v>
      </c>
      <c r="B900">
        <v>9</v>
      </c>
      <c r="C900" t="s">
        <v>72</v>
      </c>
      <c r="D900" t="s">
        <v>147</v>
      </c>
      <c r="E900" t="s">
        <v>148</v>
      </c>
      <c r="F900">
        <v>128</v>
      </c>
      <c r="G900">
        <v>341891</v>
      </c>
      <c r="H900">
        <v>321073</v>
      </c>
      <c r="I900">
        <v>297836</v>
      </c>
      <c r="J900">
        <v>479799</v>
      </c>
      <c r="K900">
        <v>302836</v>
      </c>
      <c r="L900">
        <v>348155</v>
      </c>
    </row>
    <row r="901" spans="1:12" x14ac:dyDescent="0.35">
      <c r="A901">
        <v>2025</v>
      </c>
      <c r="B901">
        <v>9</v>
      </c>
      <c r="C901" t="s">
        <v>72</v>
      </c>
      <c r="D901" t="s">
        <v>149</v>
      </c>
      <c r="E901" t="s">
        <v>150</v>
      </c>
      <c r="F901">
        <v>1967</v>
      </c>
      <c r="G901">
        <v>406151</v>
      </c>
      <c r="H901">
        <v>373474</v>
      </c>
      <c r="I901">
        <v>297836</v>
      </c>
      <c r="J901">
        <v>735916</v>
      </c>
      <c r="K901">
        <v>345790</v>
      </c>
      <c r="L901">
        <v>431938</v>
      </c>
    </row>
    <row r="902" spans="1:12" x14ac:dyDescent="0.35">
      <c r="A902">
        <v>2025</v>
      </c>
      <c r="B902">
        <v>9</v>
      </c>
      <c r="C902" t="s">
        <v>72</v>
      </c>
      <c r="D902" t="s">
        <v>151</v>
      </c>
      <c r="E902" t="s">
        <v>152</v>
      </c>
      <c r="F902">
        <v>672</v>
      </c>
      <c r="G902">
        <v>1007829</v>
      </c>
      <c r="H902">
        <v>1044725</v>
      </c>
      <c r="I902">
        <v>690287</v>
      </c>
      <c r="J902">
        <v>1293457</v>
      </c>
      <c r="K902">
        <v>905116</v>
      </c>
      <c r="L902">
        <v>1116708</v>
      </c>
    </row>
    <row r="903" spans="1:12" x14ac:dyDescent="0.35">
      <c r="A903">
        <v>2025</v>
      </c>
      <c r="B903">
        <v>9</v>
      </c>
      <c r="C903" t="s">
        <v>72</v>
      </c>
      <c r="D903" t="s">
        <v>153</v>
      </c>
      <c r="E903" t="s">
        <v>154</v>
      </c>
      <c r="F903">
        <v>169</v>
      </c>
      <c r="G903">
        <v>622910</v>
      </c>
      <c r="H903">
        <v>648895</v>
      </c>
      <c r="I903">
        <v>406061</v>
      </c>
      <c r="J903">
        <v>817666</v>
      </c>
      <c r="K903">
        <v>513549</v>
      </c>
      <c r="L903">
        <v>738280</v>
      </c>
    </row>
    <row r="904" spans="1:12" x14ac:dyDescent="0.35">
      <c r="A904">
        <v>2025</v>
      </c>
      <c r="B904">
        <v>9</v>
      </c>
      <c r="C904" t="s">
        <v>72</v>
      </c>
      <c r="D904" t="s">
        <v>155</v>
      </c>
      <c r="E904" t="s">
        <v>156</v>
      </c>
      <c r="F904">
        <v>1008</v>
      </c>
      <c r="G904">
        <v>395478</v>
      </c>
      <c r="H904">
        <v>376134</v>
      </c>
      <c r="I904">
        <v>260064</v>
      </c>
      <c r="J904">
        <v>707824</v>
      </c>
      <c r="K904">
        <v>320519</v>
      </c>
      <c r="L904">
        <v>431936</v>
      </c>
    </row>
    <row r="905" spans="1:12" x14ac:dyDescent="0.35">
      <c r="A905">
        <v>2025</v>
      </c>
      <c r="B905">
        <v>9</v>
      </c>
      <c r="C905" t="s">
        <v>72</v>
      </c>
      <c r="D905" t="s">
        <v>157</v>
      </c>
      <c r="E905" t="s">
        <v>158</v>
      </c>
      <c r="F905">
        <v>183</v>
      </c>
      <c r="G905">
        <v>471600</v>
      </c>
      <c r="H905">
        <v>432540</v>
      </c>
      <c r="I905">
        <v>330286</v>
      </c>
      <c r="J905">
        <v>690140</v>
      </c>
      <c r="K905">
        <v>388474</v>
      </c>
      <c r="L905">
        <v>543403</v>
      </c>
    </row>
    <row r="906" spans="1:12" x14ac:dyDescent="0.35">
      <c r="A906">
        <v>2025</v>
      </c>
      <c r="B906">
        <v>9</v>
      </c>
      <c r="C906" t="s">
        <v>72</v>
      </c>
      <c r="D906" t="s">
        <v>159</v>
      </c>
      <c r="E906" t="s">
        <v>160</v>
      </c>
      <c r="F906">
        <v>416</v>
      </c>
      <c r="G906">
        <v>440667</v>
      </c>
      <c r="H906">
        <v>429485</v>
      </c>
      <c r="I906">
        <v>303573</v>
      </c>
      <c r="J906">
        <v>704351</v>
      </c>
      <c r="K906">
        <v>360974</v>
      </c>
      <c r="L906">
        <v>475495</v>
      </c>
    </row>
    <row r="907" spans="1:12" x14ac:dyDescent="0.35">
      <c r="A907">
        <v>2025</v>
      </c>
      <c r="B907">
        <v>9</v>
      </c>
      <c r="C907" t="s">
        <v>72</v>
      </c>
      <c r="D907" t="s">
        <v>161</v>
      </c>
      <c r="E907" t="s">
        <v>162</v>
      </c>
      <c r="F907">
        <v>121</v>
      </c>
      <c r="G907">
        <v>481853</v>
      </c>
      <c r="H907">
        <v>457995</v>
      </c>
      <c r="I907">
        <v>325655</v>
      </c>
      <c r="J907">
        <v>724851</v>
      </c>
      <c r="K907">
        <v>373474</v>
      </c>
      <c r="L907">
        <v>570804</v>
      </c>
    </row>
    <row r="908" spans="1:12" x14ac:dyDescent="0.35">
      <c r="A908">
        <v>2025</v>
      </c>
      <c r="B908">
        <v>10</v>
      </c>
      <c r="C908" t="s">
        <v>73</v>
      </c>
      <c r="D908" t="s">
        <v>77</v>
      </c>
      <c r="E908" t="s">
        <v>78</v>
      </c>
      <c r="F908">
        <v>4</v>
      </c>
      <c r="G908">
        <v>415954</v>
      </c>
      <c r="H908">
        <v>383796</v>
      </c>
      <c r="I908">
        <v>325655</v>
      </c>
      <c r="J908">
        <v>570570</v>
      </c>
      <c r="K908">
        <v>333155</v>
      </c>
      <c r="L908">
        <v>434436</v>
      </c>
    </row>
    <row r="909" spans="1:12" x14ac:dyDescent="0.35">
      <c r="A909">
        <v>2025</v>
      </c>
      <c r="B909">
        <v>10</v>
      </c>
      <c r="C909" t="s">
        <v>73</v>
      </c>
      <c r="D909" t="s">
        <v>79</v>
      </c>
      <c r="E909" t="s">
        <v>80</v>
      </c>
      <c r="F909">
        <v>151</v>
      </c>
      <c r="G909">
        <v>446169</v>
      </c>
      <c r="H909">
        <v>415322</v>
      </c>
      <c r="I909">
        <v>302836</v>
      </c>
      <c r="J909">
        <v>715324</v>
      </c>
      <c r="K909">
        <v>358474</v>
      </c>
      <c r="L909">
        <v>535582</v>
      </c>
    </row>
    <row r="910" spans="1:12" x14ac:dyDescent="0.35">
      <c r="A910">
        <v>2025</v>
      </c>
      <c r="B910">
        <v>10</v>
      </c>
      <c r="C910" t="s">
        <v>73</v>
      </c>
      <c r="D910" t="s">
        <v>81</v>
      </c>
      <c r="E910" t="s">
        <v>82</v>
      </c>
      <c r="F910">
        <v>20</v>
      </c>
      <c r="G910">
        <v>649557</v>
      </c>
      <c r="H910">
        <v>648224</v>
      </c>
      <c r="I910">
        <v>534190</v>
      </c>
      <c r="J910">
        <v>719351</v>
      </c>
      <c r="K910">
        <v>637233</v>
      </c>
      <c r="L910">
        <v>669351</v>
      </c>
    </row>
    <row r="911" spans="1:12" x14ac:dyDescent="0.35">
      <c r="A911">
        <v>2025</v>
      </c>
      <c r="B911">
        <v>10</v>
      </c>
      <c r="C911" t="s">
        <v>73</v>
      </c>
      <c r="D911" t="s">
        <v>83</v>
      </c>
      <c r="E911" t="s">
        <v>84</v>
      </c>
      <c r="F911">
        <v>55</v>
      </c>
      <c r="G911">
        <v>493891</v>
      </c>
      <c r="H911">
        <v>523403</v>
      </c>
      <c r="I911">
        <v>330286</v>
      </c>
      <c r="J911">
        <v>659955</v>
      </c>
      <c r="K911">
        <v>358474</v>
      </c>
      <c r="L911">
        <v>620979</v>
      </c>
    </row>
    <row r="912" spans="1:12" x14ac:dyDescent="0.35">
      <c r="A912">
        <v>2025</v>
      </c>
      <c r="B912">
        <v>10</v>
      </c>
      <c r="C912" t="s">
        <v>73</v>
      </c>
      <c r="D912" t="s">
        <v>85</v>
      </c>
      <c r="E912" t="s">
        <v>86</v>
      </c>
      <c r="F912">
        <v>1117</v>
      </c>
      <c r="G912">
        <v>503717</v>
      </c>
      <c r="H912">
        <v>478044</v>
      </c>
      <c r="I912">
        <v>302836</v>
      </c>
      <c r="J912">
        <v>735411</v>
      </c>
      <c r="K912">
        <v>411985</v>
      </c>
      <c r="L912">
        <v>603538</v>
      </c>
    </row>
    <row r="913" spans="1:12" x14ac:dyDescent="0.35">
      <c r="A913">
        <v>2025</v>
      </c>
      <c r="B913">
        <v>10</v>
      </c>
      <c r="C913" t="s">
        <v>73</v>
      </c>
      <c r="D913" t="s">
        <v>87</v>
      </c>
      <c r="E913" t="s">
        <v>88</v>
      </c>
      <c r="F913">
        <v>4</v>
      </c>
      <c r="G913">
        <v>597371</v>
      </c>
      <c r="H913">
        <v>593852</v>
      </c>
      <c r="I913">
        <v>555804</v>
      </c>
      <c r="J913">
        <v>645977</v>
      </c>
      <c r="K913">
        <v>563304</v>
      </c>
      <c r="L913">
        <v>624400</v>
      </c>
    </row>
    <row r="914" spans="1:12" x14ac:dyDescent="0.35">
      <c r="A914">
        <v>2025</v>
      </c>
      <c r="B914">
        <v>10</v>
      </c>
      <c r="C914" t="s">
        <v>73</v>
      </c>
      <c r="D914" t="s">
        <v>89</v>
      </c>
      <c r="E914" t="s">
        <v>90</v>
      </c>
      <c r="F914">
        <v>845</v>
      </c>
      <c r="G914">
        <v>483272</v>
      </c>
      <c r="H914">
        <v>449436</v>
      </c>
      <c r="I914">
        <v>302834</v>
      </c>
      <c r="J914">
        <v>748416</v>
      </c>
      <c r="K914">
        <v>387822</v>
      </c>
      <c r="L914">
        <v>583070</v>
      </c>
    </row>
    <row r="915" spans="1:12" x14ac:dyDescent="0.35">
      <c r="A915">
        <v>2025</v>
      </c>
      <c r="B915">
        <v>10</v>
      </c>
      <c r="C915" t="s">
        <v>73</v>
      </c>
      <c r="D915" t="s">
        <v>91</v>
      </c>
      <c r="E915" t="s">
        <v>92</v>
      </c>
      <c r="F915">
        <v>155</v>
      </c>
      <c r="G915">
        <v>365087</v>
      </c>
      <c r="H915">
        <v>345790</v>
      </c>
      <c r="I915">
        <v>297836</v>
      </c>
      <c r="J915">
        <v>646900</v>
      </c>
      <c r="K915">
        <v>337366</v>
      </c>
      <c r="L915">
        <v>364866</v>
      </c>
    </row>
    <row r="916" spans="1:12" x14ac:dyDescent="0.35">
      <c r="A916">
        <v>2025</v>
      </c>
      <c r="B916">
        <v>10</v>
      </c>
      <c r="C916" t="s">
        <v>73</v>
      </c>
      <c r="D916" t="s">
        <v>93</v>
      </c>
      <c r="E916" t="s">
        <v>94</v>
      </c>
      <c r="F916">
        <v>28</v>
      </c>
      <c r="G916">
        <v>351454</v>
      </c>
      <c r="H916">
        <v>335655</v>
      </c>
      <c r="I916">
        <v>302836</v>
      </c>
      <c r="J916">
        <v>583439</v>
      </c>
      <c r="K916">
        <v>325336</v>
      </c>
      <c r="L916">
        <v>360655</v>
      </c>
    </row>
    <row r="917" spans="1:12" x14ac:dyDescent="0.35">
      <c r="A917">
        <v>2025</v>
      </c>
      <c r="B917">
        <v>10</v>
      </c>
      <c r="C917" t="s">
        <v>73</v>
      </c>
      <c r="D917" t="s">
        <v>95</v>
      </c>
      <c r="E917" t="s">
        <v>96</v>
      </c>
      <c r="F917">
        <v>19</v>
      </c>
      <c r="G917">
        <v>399707</v>
      </c>
      <c r="H917">
        <v>390322</v>
      </c>
      <c r="I917">
        <v>313573</v>
      </c>
      <c r="J917">
        <v>618439</v>
      </c>
      <c r="K917">
        <v>330286</v>
      </c>
      <c r="L917">
        <v>429485</v>
      </c>
    </row>
    <row r="918" spans="1:12" x14ac:dyDescent="0.35">
      <c r="A918">
        <v>2025</v>
      </c>
      <c r="B918">
        <v>10</v>
      </c>
      <c r="C918" t="s">
        <v>73</v>
      </c>
      <c r="D918" t="s">
        <v>97</v>
      </c>
      <c r="E918" t="s">
        <v>98</v>
      </c>
      <c r="F918">
        <v>283</v>
      </c>
      <c r="G918">
        <v>411163</v>
      </c>
      <c r="H918">
        <v>368290</v>
      </c>
      <c r="I918">
        <v>302836</v>
      </c>
      <c r="J918">
        <v>695189</v>
      </c>
      <c r="K918">
        <v>345790</v>
      </c>
      <c r="L918">
        <v>419485</v>
      </c>
    </row>
    <row r="919" spans="1:12" x14ac:dyDescent="0.35">
      <c r="A919">
        <v>2025</v>
      </c>
      <c r="B919">
        <v>10</v>
      </c>
      <c r="C919" t="s">
        <v>73</v>
      </c>
      <c r="D919" t="s">
        <v>99</v>
      </c>
      <c r="E919" t="s">
        <v>100</v>
      </c>
      <c r="F919">
        <v>410</v>
      </c>
      <c r="G919">
        <v>450425</v>
      </c>
      <c r="H919">
        <v>439436</v>
      </c>
      <c r="I919">
        <v>302836</v>
      </c>
      <c r="J919">
        <v>710411</v>
      </c>
      <c r="K919">
        <v>389485</v>
      </c>
      <c r="L919">
        <v>507848</v>
      </c>
    </row>
    <row r="920" spans="1:12" x14ac:dyDescent="0.35">
      <c r="A920">
        <v>2025</v>
      </c>
      <c r="B920">
        <v>10</v>
      </c>
      <c r="C920" t="s">
        <v>73</v>
      </c>
      <c r="D920" t="s">
        <v>101</v>
      </c>
      <c r="E920" t="s">
        <v>102</v>
      </c>
      <c r="F920">
        <v>10</v>
      </c>
      <c r="G920">
        <v>555281</v>
      </c>
      <c r="H920">
        <v>581038</v>
      </c>
      <c r="I920">
        <v>352786</v>
      </c>
      <c r="J920">
        <v>675324</v>
      </c>
      <c r="K920">
        <v>440040</v>
      </c>
      <c r="L920">
        <v>645189</v>
      </c>
    </row>
    <row r="921" spans="1:12" x14ac:dyDescent="0.35">
      <c r="A921">
        <v>2025</v>
      </c>
      <c r="B921">
        <v>10</v>
      </c>
      <c r="C921" t="s">
        <v>73</v>
      </c>
      <c r="D921" t="s">
        <v>103</v>
      </c>
      <c r="E921" t="s">
        <v>104</v>
      </c>
      <c r="F921">
        <v>10</v>
      </c>
      <c r="G921">
        <v>361512</v>
      </c>
      <c r="H921">
        <v>341326</v>
      </c>
      <c r="I921">
        <v>313573</v>
      </c>
      <c r="J921">
        <v>502848</v>
      </c>
      <c r="K921">
        <v>321073</v>
      </c>
      <c r="L921">
        <v>388474</v>
      </c>
    </row>
    <row r="922" spans="1:12" x14ac:dyDescent="0.35">
      <c r="A922">
        <v>2025</v>
      </c>
      <c r="B922">
        <v>10</v>
      </c>
      <c r="C922" t="s">
        <v>73</v>
      </c>
      <c r="D922" t="s">
        <v>105</v>
      </c>
      <c r="E922" t="s">
        <v>106</v>
      </c>
      <c r="F922">
        <v>37</v>
      </c>
      <c r="G922">
        <v>447549</v>
      </c>
      <c r="H922">
        <v>399485</v>
      </c>
      <c r="I922">
        <v>313573</v>
      </c>
      <c r="J922">
        <v>697640</v>
      </c>
      <c r="K922">
        <v>357366</v>
      </c>
      <c r="L922">
        <v>535903</v>
      </c>
    </row>
    <row r="923" spans="1:12" x14ac:dyDescent="0.35">
      <c r="A923">
        <v>2025</v>
      </c>
      <c r="B923">
        <v>10</v>
      </c>
      <c r="C923" t="s">
        <v>73</v>
      </c>
      <c r="D923" t="s">
        <v>107</v>
      </c>
      <c r="E923" t="s">
        <v>108</v>
      </c>
      <c r="F923">
        <v>7</v>
      </c>
      <c r="G923">
        <v>345780</v>
      </c>
      <c r="H923">
        <v>345286</v>
      </c>
      <c r="I923">
        <v>325286</v>
      </c>
      <c r="J923">
        <v>380974</v>
      </c>
      <c r="K923">
        <v>330286</v>
      </c>
      <c r="L923">
        <v>358474</v>
      </c>
    </row>
    <row r="924" spans="1:12" x14ac:dyDescent="0.35">
      <c r="A924">
        <v>2025</v>
      </c>
      <c r="B924">
        <v>10</v>
      </c>
      <c r="C924" t="s">
        <v>73</v>
      </c>
      <c r="D924" t="s">
        <v>109</v>
      </c>
      <c r="E924" t="s">
        <v>110</v>
      </c>
      <c r="F924">
        <v>5144</v>
      </c>
      <c r="G924">
        <v>555196</v>
      </c>
      <c r="H924">
        <v>519658</v>
      </c>
      <c r="I924">
        <v>407405</v>
      </c>
      <c r="J924">
        <v>803035</v>
      </c>
      <c r="K924">
        <v>445595</v>
      </c>
      <c r="L924">
        <v>683564</v>
      </c>
    </row>
    <row r="925" spans="1:12" x14ac:dyDescent="0.35">
      <c r="A925">
        <v>2025</v>
      </c>
      <c r="B925">
        <v>10</v>
      </c>
      <c r="C925" t="s">
        <v>73</v>
      </c>
      <c r="D925" t="s">
        <v>111</v>
      </c>
      <c r="E925" t="s">
        <v>112</v>
      </c>
      <c r="F925">
        <v>16114</v>
      </c>
      <c r="G925">
        <v>338245</v>
      </c>
      <c r="H925">
        <v>318942</v>
      </c>
      <c r="I925">
        <v>247193</v>
      </c>
      <c r="J925">
        <v>694927</v>
      </c>
      <c r="K925">
        <v>285752</v>
      </c>
      <c r="L925">
        <v>360974</v>
      </c>
    </row>
    <row r="926" spans="1:12" x14ac:dyDescent="0.35">
      <c r="A926">
        <v>2025</v>
      </c>
      <c r="B926">
        <v>10</v>
      </c>
      <c r="C926" t="s">
        <v>73</v>
      </c>
      <c r="D926" t="s">
        <v>113</v>
      </c>
      <c r="E926" t="s">
        <v>114</v>
      </c>
      <c r="F926">
        <v>8983</v>
      </c>
      <c r="G926">
        <v>318226</v>
      </c>
      <c r="H926">
        <v>308942</v>
      </c>
      <c r="I926">
        <v>260064</v>
      </c>
      <c r="J926">
        <v>585804</v>
      </c>
      <c r="K926">
        <v>280752</v>
      </c>
      <c r="L926">
        <v>337552</v>
      </c>
    </row>
    <row r="927" spans="1:12" x14ac:dyDescent="0.35">
      <c r="A927">
        <v>2025</v>
      </c>
      <c r="B927">
        <v>10</v>
      </c>
      <c r="C927" t="s">
        <v>73</v>
      </c>
      <c r="D927" t="s">
        <v>115</v>
      </c>
      <c r="E927" t="s">
        <v>116</v>
      </c>
      <c r="F927">
        <v>89</v>
      </c>
      <c r="G927">
        <v>577769</v>
      </c>
      <c r="H927">
        <v>563722</v>
      </c>
      <c r="I927">
        <v>407405</v>
      </c>
      <c r="J927">
        <v>825535</v>
      </c>
      <c r="K927">
        <v>453094</v>
      </c>
      <c r="L927">
        <v>681987</v>
      </c>
    </row>
    <row r="928" spans="1:12" x14ac:dyDescent="0.35">
      <c r="A928">
        <v>2025</v>
      </c>
      <c r="B928">
        <v>10</v>
      </c>
      <c r="C928" t="s">
        <v>73</v>
      </c>
      <c r="D928" t="s">
        <v>117</v>
      </c>
      <c r="E928" t="s">
        <v>118</v>
      </c>
      <c r="F928">
        <v>414</v>
      </c>
      <c r="G928">
        <v>586675</v>
      </c>
      <c r="H928">
        <v>568913</v>
      </c>
      <c r="I928">
        <v>407405</v>
      </c>
      <c r="J928">
        <v>808035</v>
      </c>
      <c r="K928">
        <v>468094</v>
      </c>
      <c r="L928">
        <v>713564</v>
      </c>
    </row>
    <row r="929" spans="1:12" x14ac:dyDescent="0.35">
      <c r="A929">
        <v>2025</v>
      </c>
      <c r="B929">
        <v>10</v>
      </c>
      <c r="C929" t="s">
        <v>73</v>
      </c>
      <c r="D929" t="s">
        <v>119</v>
      </c>
      <c r="E929" t="s">
        <v>120</v>
      </c>
      <c r="F929">
        <v>1015</v>
      </c>
      <c r="G929">
        <v>503990</v>
      </c>
      <c r="H929">
        <v>479941</v>
      </c>
      <c r="I929">
        <v>407405</v>
      </c>
      <c r="J929">
        <v>788035</v>
      </c>
      <c r="K929">
        <v>440594</v>
      </c>
      <c r="L929">
        <v>534658</v>
      </c>
    </row>
    <row r="930" spans="1:12" x14ac:dyDescent="0.35">
      <c r="A930">
        <v>2025</v>
      </c>
      <c r="B930">
        <v>10</v>
      </c>
      <c r="C930" t="s">
        <v>73</v>
      </c>
      <c r="D930" t="s">
        <v>121</v>
      </c>
      <c r="E930" t="s">
        <v>122</v>
      </c>
      <c r="F930">
        <v>532</v>
      </c>
      <c r="G930">
        <v>449904</v>
      </c>
      <c r="H930">
        <v>446937</v>
      </c>
      <c r="I930">
        <v>313573</v>
      </c>
      <c r="J930">
        <v>696851</v>
      </c>
      <c r="K930">
        <v>393795</v>
      </c>
      <c r="L930">
        <v>510348</v>
      </c>
    </row>
    <row r="931" spans="1:12" x14ac:dyDescent="0.35">
      <c r="A931">
        <v>2025</v>
      </c>
      <c r="B931">
        <v>10</v>
      </c>
      <c r="C931" t="s">
        <v>73</v>
      </c>
      <c r="D931" t="s">
        <v>123</v>
      </c>
      <c r="E931" t="s">
        <v>124</v>
      </c>
      <c r="F931">
        <v>1</v>
      </c>
      <c r="G931">
        <v>318942</v>
      </c>
      <c r="H931">
        <v>318942</v>
      </c>
      <c r="I931">
        <v>318942</v>
      </c>
      <c r="J931">
        <v>318942</v>
      </c>
      <c r="K931">
        <v>318942</v>
      </c>
      <c r="L931">
        <v>318942</v>
      </c>
    </row>
    <row r="932" spans="1:12" x14ac:dyDescent="0.35">
      <c r="A932">
        <v>2025</v>
      </c>
      <c r="B932">
        <v>10</v>
      </c>
      <c r="C932" t="s">
        <v>73</v>
      </c>
      <c r="D932" t="s">
        <v>125</v>
      </c>
      <c r="E932" t="s">
        <v>126</v>
      </c>
      <c r="F932">
        <v>211</v>
      </c>
      <c r="G932">
        <v>435543</v>
      </c>
      <c r="H932">
        <v>373474</v>
      </c>
      <c r="I932">
        <v>325286</v>
      </c>
      <c r="J932">
        <v>707591</v>
      </c>
      <c r="K932">
        <v>355974</v>
      </c>
      <c r="L932">
        <v>543403</v>
      </c>
    </row>
    <row r="933" spans="1:12" x14ac:dyDescent="0.35">
      <c r="A933">
        <v>2025</v>
      </c>
      <c r="B933">
        <v>10</v>
      </c>
      <c r="C933" t="s">
        <v>73</v>
      </c>
      <c r="D933" t="s">
        <v>127</v>
      </c>
      <c r="E933" t="s">
        <v>128</v>
      </c>
      <c r="F933">
        <v>6190</v>
      </c>
      <c r="G933">
        <v>894079</v>
      </c>
      <c r="H933">
        <v>840855</v>
      </c>
      <c r="I933">
        <v>656667</v>
      </c>
      <c r="J933">
        <v>1459353</v>
      </c>
      <c r="K933">
        <v>710645</v>
      </c>
      <c r="L933">
        <v>1044108</v>
      </c>
    </row>
    <row r="934" spans="1:12" x14ac:dyDescent="0.35">
      <c r="A934">
        <v>2025</v>
      </c>
      <c r="B934">
        <v>10</v>
      </c>
      <c r="C934" t="s">
        <v>73</v>
      </c>
      <c r="D934" t="s">
        <v>129</v>
      </c>
      <c r="E934" t="s">
        <v>130</v>
      </c>
      <c r="F934">
        <v>323</v>
      </c>
      <c r="G934">
        <v>504145</v>
      </c>
      <c r="H934">
        <v>474523</v>
      </c>
      <c r="I934">
        <v>342134</v>
      </c>
      <c r="J934">
        <v>758970</v>
      </c>
      <c r="K934">
        <v>416936</v>
      </c>
      <c r="L934">
        <v>612737</v>
      </c>
    </row>
    <row r="935" spans="1:12" x14ac:dyDescent="0.35">
      <c r="A935">
        <v>2025</v>
      </c>
      <c r="B935">
        <v>10</v>
      </c>
      <c r="C935" t="s">
        <v>73</v>
      </c>
      <c r="D935" t="s">
        <v>131</v>
      </c>
      <c r="E935" t="s">
        <v>132</v>
      </c>
      <c r="F935">
        <v>37899</v>
      </c>
      <c r="G935">
        <v>521726</v>
      </c>
      <c r="H935">
        <v>491555</v>
      </c>
      <c r="I935">
        <v>333389</v>
      </c>
      <c r="J935">
        <v>887702</v>
      </c>
      <c r="K935">
        <v>441333</v>
      </c>
      <c r="L935">
        <v>587467</v>
      </c>
    </row>
    <row r="936" spans="1:12" x14ac:dyDescent="0.35">
      <c r="A936">
        <v>2025</v>
      </c>
      <c r="B936">
        <v>10</v>
      </c>
      <c r="C936" t="s">
        <v>73</v>
      </c>
      <c r="D936" t="s">
        <v>133</v>
      </c>
      <c r="E936" t="s">
        <v>134</v>
      </c>
      <c r="F936">
        <v>89618</v>
      </c>
      <c r="G936">
        <v>390414</v>
      </c>
      <c r="H936">
        <v>402540</v>
      </c>
      <c r="I936">
        <v>266776</v>
      </c>
      <c r="J936">
        <v>584647</v>
      </c>
      <c r="K936">
        <v>298672</v>
      </c>
      <c r="L936">
        <v>446936</v>
      </c>
    </row>
    <row r="937" spans="1:12" x14ac:dyDescent="0.35">
      <c r="A937">
        <v>2025</v>
      </c>
      <c r="B937">
        <v>10</v>
      </c>
      <c r="C937" t="s">
        <v>73</v>
      </c>
      <c r="D937" t="s">
        <v>135</v>
      </c>
      <c r="E937" t="s">
        <v>136</v>
      </c>
      <c r="F937">
        <v>23435</v>
      </c>
      <c r="G937">
        <v>691753</v>
      </c>
      <c r="H937">
        <v>682455</v>
      </c>
      <c r="I937">
        <v>398882</v>
      </c>
      <c r="J937">
        <v>1034206</v>
      </c>
      <c r="K937">
        <v>614548</v>
      </c>
      <c r="L937">
        <v>791089</v>
      </c>
    </row>
    <row r="938" spans="1:12" x14ac:dyDescent="0.35">
      <c r="A938">
        <v>2025</v>
      </c>
      <c r="B938">
        <v>10</v>
      </c>
      <c r="C938" t="s">
        <v>73</v>
      </c>
      <c r="D938" t="s">
        <v>137</v>
      </c>
      <c r="E938" t="s">
        <v>138</v>
      </c>
      <c r="F938">
        <v>12661</v>
      </c>
      <c r="G938">
        <v>448586</v>
      </c>
      <c r="H938">
        <v>431936</v>
      </c>
      <c r="I938">
        <v>262563</v>
      </c>
      <c r="J938">
        <v>828589</v>
      </c>
      <c r="K938">
        <v>365926</v>
      </c>
      <c r="L938">
        <v>509055</v>
      </c>
    </row>
    <row r="939" spans="1:12" x14ac:dyDescent="0.35">
      <c r="A939">
        <v>2025</v>
      </c>
      <c r="B939">
        <v>10</v>
      </c>
      <c r="C939" t="s">
        <v>73</v>
      </c>
      <c r="D939" t="s">
        <v>139</v>
      </c>
      <c r="E939" t="s">
        <v>140</v>
      </c>
      <c r="F939">
        <v>26</v>
      </c>
      <c r="G939">
        <v>625955</v>
      </c>
      <c r="H939">
        <v>631487</v>
      </c>
      <c r="I939">
        <v>533722</v>
      </c>
      <c r="J939">
        <v>723970</v>
      </c>
      <c r="K939">
        <v>607737</v>
      </c>
      <c r="L939">
        <v>642737</v>
      </c>
    </row>
    <row r="940" spans="1:12" x14ac:dyDescent="0.35">
      <c r="A940">
        <v>2025</v>
      </c>
      <c r="B940">
        <v>10</v>
      </c>
      <c r="C940" t="s">
        <v>73</v>
      </c>
      <c r="D940" t="s">
        <v>141</v>
      </c>
      <c r="E940" t="s">
        <v>142</v>
      </c>
      <c r="F940">
        <v>979</v>
      </c>
      <c r="G940">
        <v>506401</v>
      </c>
      <c r="H940">
        <v>501555</v>
      </c>
      <c r="I940">
        <v>342134</v>
      </c>
      <c r="J940">
        <v>758921</v>
      </c>
      <c r="K940">
        <v>446838</v>
      </c>
      <c r="L940">
        <v>548724</v>
      </c>
    </row>
    <row r="941" spans="1:12" x14ac:dyDescent="0.35">
      <c r="A941">
        <v>2025</v>
      </c>
      <c r="B941">
        <v>10</v>
      </c>
      <c r="C941" t="s">
        <v>73</v>
      </c>
      <c r="D941" t="s">
        <v>143</v>
      </c>
      <c r="E941" t="s">
        <v>144</v>
      </c>
      <c r="F941">
        <v>5352</v>
      </c>
      <c r="G941">
        <v>287591</v>
      </c>
      <c r="H941">
        <v>283486</v>
      </c>
      <c r="I941">
        <v>229743</v>
      </c>
      <c r="J941">
        <v>439017</v>
      </c>
      <c r="K941">
        <v>265986</v>
      </c>
      <c r="L941">
        <v>305519</v>
      </c>
    </row>
    <row r="942" spans="1:12" x14ac:dyDescent="0.35">
      <c r="A942">
        <v>2025</v>
      </c>
      <c r="B942">
        <v>10</v>
      </c>
      <c r="C942" t="s">
        <v>73</v>
      </c>
      <c r="D942" t="s">
        <v>145</v>
      </c>
      <c r="E942" t="s">
        <v>146</v>
      </c>
      <c r="F942">
        <v>118</v>
      </c>
      <c r="G942">
        <v>438180</v>
      </c>
      <c r="H942">
        <v>446936</v>
      </c>
      <c r="I942">
        <v>341073</v>
      </c>
      <c r="J942">
        <v>590804</v>
      </c>
      <c r="K942">
        <v>382824</v>
      </c>
      <c r="L942">
        <v>470544</v>
      </c>
    </row>
    <row r="943" spans="1:12" x14ac:dyDescent="0.35">
      <c r="A943">
        <v>2025</v>
      </c>
      <c r="B943">
        <v>10</v>
      </c>
      <c r="C943" t="s">
        <v>73</v>
      </c>
      <c r="D943" t="s">
        <v>147</v>
      </c>
      <c r="E943" t="s">
        <v>148</v>
      </c>
      <c r="F943">
        <v>127</v>
      </c>
      <c r="G943">
        <v>342179</v>
      </c>
      <c r="H943">
        <v>321073</v>
      </c>
      <c r="I943">
        <v>297836</v>
      </c>
      <c r="J943">
        <v>455544</v>
      </c>
      <c r="K943">
        <v>307836</v>
      </c>
      <c r="L943">
        <v>351073</v>
      </c>
    </row>
    <row r="944" spans="1:12" x14ac:dyDescent="0.35">
      <c r="A944">
        <v>2025</v>
      </c>
      <c r="B944">
        <v>10</v>
      </c>
      <c r="C944" t="s">
        <v>73</v>
      </c>
      <c r="D944" t="s">
        <v>149</v>
      </c>
      <c r="E944" t="s">
        <v>150</v>
      </c>
      <c r="F944">
        <v>1968</v>
      </c>
      <c r="G944">
        <v>406284</v>
      </c>
      <c r="H944">
        <v>373474</v>
      </c>
      <c r="I944">
        <v>297836</v>
      </c>
      <c r="J944">
        <v>735916</v>
      </c>
      <c r="K944">
        <v>345790</v>
      </c>
      <c r="L944">
        <v>431936</v>
      </c>
    </row>
    <row r="945" spans="1:12" x14ac:dyDescent="0.35">
      <c r="A945">
        <v>2025</v>
      </c>
      <c r="B945">
        <v>10</v>
      </c>
      <c r="C945" t="s">
        <v>73</v>
      </c>
      <c r="D945" t="s">
        <v>151</v>
      </c>
      <c r="E945" t="s">
        <v>152</v>
      </c>
      <c r="F945">
        <v>671</v>
      </c>
      <c r="G945">
        <v>1007556</v>
      </c>
      <c r="H945">
        <v>1044725</v>
      </c>
      <c r="I945">
        <v>690287</v>
      </c>
      <c r="J945">
        <v>1369208</v>
      </c>
      <c r="K945">
        <v>905116</v>
      </c>
      <c r="L945">
        <v>1116708</v>
      </c>
    </row>
    <row r="946" spans="1:12" x14ac:dyDescent="0.35">
      <c r="A946">
        <v>2025</v>
      </c>
      <c r="B946">
        <v>10</v>
      </c>
      <c r="C946" t="s">
        <v>73</v>
      </c>
      <c r="D946" t="s">
        <v>153</v>
      </c>
      <c r="E946" t="s">
        <v>154</v>
      </c>
      <c r="F946">
        <v>169</v>
      </c>
      <c r="G946">
        <v>621789</v>
      </c>
      <c r="H946">
        <v>638897</v>
      </c>
      <c r="I946">
        <v>406061</v>
      </c>
      <c r="J946">
        <v>817666</v>
      </c>
      <c r="K946">
        <v>513549</v>
      </c>
      <c r="L946">
        <v>738280</v>
      </c>
    </row>
    <row r="947" spans="1:12" x14ac:dyDescent="0.35">
      <c r="A947">
        <v>2025</v>
      </c>
      <c r="B947">
        <v>10</v>
      </c>
      <c r="C947" t="s">
        <v>73</v>
      </c>
      <c r="D947" t="s">
        <v>155</v>
      </c>
      <c r="E947" t="s">
        <v>156</v>
      </c>
      <c r="F947">
        <v>1010</v>
      </c>
      <c r="G947">
        <v>395123</v>
      </c>
      <c r="H947">
        <v>377058</v>
      </c>
      <c r="I947">
        <v>260064</v>
      </c>
      <c r="J947">
        <v>707824</v>
      </c>
      <c r="K947">
        <v>320519</v>
      </c>
      <c r="L947">
        <v>431936</v>
      </c>
    </row>
    <row r="948" spans="1:12" x14ac:dyDescent="0.35">
      <c r="A948">
        <v>2025</v>
      </c>
      <c r="B948">
        <v>10</v>
      </c>
      <c r="C948" t="s">
        <v>73</v>
      </c>
      <c r="D948" t="s">
        <v>157</v>
      </c>
      <c r="E948" t="s">
        <v>158</v>
      </c>
      <c r="F948">
        <v>183</v>
      </c>
      <c r="G948">
        <v>472291</v>
      </c>
      <c r="H948">
        <v>432540</v>
      </c>
      <c r="I948">
        <v>330286</v>
      </c>
      <c r="J948">
        <v>690140</v>
      </c>
      <c r="K948">
        <v>392822</v>
      </c>
      <c r="L948">
        <v>543403</v>
      </c>
    </row>
    <row r="949" spans="1:12" x14ac:dyDescent="0.35">
      <c r="A949">
        <v>2025</v>
      </c>
      <c r="B949">
        <v>10</v>
      </c>
      <c r="C949" t="s">
        <v>73</v>
      </c>
      <c r="D949" t="s">
        <v>159</v>
      </c>
      <c r="E949" t="s">
        <v>160</v>
      </c>
      <c r="F949">
        <v>417</v>
      </c>
      <c r="G949">
        <v>440407</v>
      </c>
      <c r="H949">
        <v>429436</v>
      </c>
      <c r="I949">
        <v>303573</v>
      </c>
      <c r="J949">
        <v>704351</v>
      </c>
      <c r="K949">
        <v>360974</v>
      </c>
      <c r="L949">
        <v>479104</v>
      </c>
    </row>
    <row r="950" spans="1:12" x14ac:dyDescent="0.35">
      <c r="A950">
        <v>2025</v>
      </c>
      <c r="B950">
        <v>10</v>
      </c>
      <c r="C950" t="s">
        <v>73</v>
      </c>
      <c r="D950" t="s">
        <v>161</v>
      </c>
      <c r="E950" t="s">
        <v>162</v>
      </c>
      <c r="F950">
        <v>122</v>
      </c>
      <c r="G950">
        <v>480681</v>
      </c>
      <c r="H950">
        <v>456770</v>
      </c>
      <c r="I950">
        <v>325655</v>
      </c>
      <c r="J950">
        <v>704353</v>
      </c>
      <c r="K950">
        <v>373474</v>
      </c>
      <c r="L950">
        <v>570804</v>
      </c>
    </row>
    <row r="951" spans="1:12" x14ac:dyDescent="0.35">
      <c r="A951">
        <v>2025</v>
      </c>
      <c r="B951">
        <v>11</v>
      </c>
      <c r="C951" t="s">
        <v>74</v>
      </c>
      <c r="D951" t="s">
        <v>77</v>
      </c>
      <c r="E951" t="s">
        <v>78</v>
      </c>
      <c r="F951">
        <v>4</v>
      </c>
      <c r="G951">
        <v>415954</v>
      </c>
      <c r="H951">
        <v>383796</v>
      </c>
      <c r="I951">
        <v>325655</v>
      </c>
      <c r="J951">
        <v>570570</v>
      </c>
      <c r="K951">
        <v>333155</v>
      </c>
      <c r="L951">
        <v>434436</v>
      </c>
    </row>
    <row r="952" spans="1:12" x14ac:dyDescent="0.35">
      <c r="A952">
        <v>2025</v>
      </c>
      <c r="B952">
        <v>11</v>
      </c>
      <c r="C952" t="s">
        <v>74</v>
      </c>
      <c r="D952" t="s">
        <v>79</v>
      </c>
      <c r="E952" t="s">
        <v>80</v>
      </c>
      <c r="F952">
        <v>148</v>
      </c>
      <c r="G952">
        <v>444209</v>
      </c>
      <c r="H952">
        <v>414904</v>
      </c>
      <c r="I952">
        <v>302836</v>
      </c>
      <c r="J952">
        <v>715324</v>
      </c>
      <c r="K952">
        <v>358474</v>
      </c>
      <c r="L952">
        <v>521690</v>
      </c>
    </row>
    <row r="953" spans="1:12" x14ac:dyDescent="0.35">
      <c r="A953">
        <v>2025</v>
      </c>
      <c r="B953">
        <v>11</v>
      </c>
      <c r="C953" t="s">
        <v>74</v>
      </c>
      <c r="D953" t="s">
        <v>81</v>
      </c>
      <c r="E953" t="s">
        <v>82</v>
      </c>
      <c r="F953">
        <v>22</v>
      </c>
      <c r="G953">
        <v>646854</v>
      </c>
      <c r="H953">
        <v>644800</v>
      </c>
      <c r="I953">
        <v>534190</v>
      </c>
      <c r="J953">
        <v>719351</v>
      </c>
      <c r="K953">
        <v>629868</v>
      </c>
      <c r="L953">
        <v>671581</v>
      </c>
    </row>
    <row r="954" spans="1:12" x14ac:dyDescent="0.35">
      <c r="A954">
        <v>2025</v>
      </c>
      <c r="B954">
        <v>11</v>
      </c>
      <c r="C954" t="s">
        <v>74</v>
      </c>
      <c r="D954" t="s">
        <v>83</v>
      </c>
      <c r="E954" t="s">
        <v>84</v>
      </c>
      <c r="F954">
        <v>55</v>
      </c>
      <c r="G954">
        <v>494028</v>
      </c>
      <c r="H954">
        <v>523403</v>
      </c>
      <c r="I954">
        <v>330286</v>
      </c>
      <c r="J954">
        <v>659955</v>
      </c>
      <c r="K954">
        <v>358474</v>
      </c>
      <c r="L954">
        <v>620979</v>
      </c>
    </row>
    <row r="955" spans="1:12" x14ac:dyDescent="0.35">
      <c r="A955">
        <v>2025</v>
      </c>
      <c r="B955">
        <v>11</v>
      </c>
      <c r="C955" t="s">
        <v>74</v>
      </c>
      <c r="D955" t="s">
        <v>85</v>
      </c>
      <c r="E955" t="s">
        <v>86</v>
      </c>
      <c r="F955">
        <v>1126</v>
      </c>
      <c r="G955">
        <v>503024</v>
      </c>
      <c r="H955">
        <v>477238</v>
      </c>
      <c r="I955">
        <v>302836</v>
      </c>
      <c r="J955">
        <v>735411</v>
      </c>
      <c r="K955">
        <v>410322</v>
      </c>
      <c r="L955">
        <v>603439</v>
      </c>
    </row>
    <row r="956" spans="1:12" x14ac:dyDescent="0.35">
      <c r="A956">
        <v>2025</v>
      </c>
      <c r="B956">
        <v>11</v>
      </c>
      <c r="C956" t="s">
        <v>74</v>
      </c>
      <c r="D956" t="s">
        <v>87</v>
      </c>
      <c r="E956" t="s">
        <v>88</v>
      </c>
      <c r="F956">
        <v>4</v>
      </c>
      <c r="G956">
        <v>597371</v>
      </c>
      <c r="H956">
        <v>593852</v>
      </c>
      <c r="I956">
        <v>555804</v>
      </c>
      <c r="J956">
        <v>645977</v>
      </c>
      <c r="K956">
        <v>563304</v>
      </c>
      <c r="L956">
        <v>624400</v>
      </c>
    </row>
    <row r="957" spans="1:12" x14ac:dyDescent="0.35">
      <c r="A957">
        <v>2025</v>
      </c>
      <c r="B957">
        <v>11</v>
      </c>
      <c r="C957" t="s">
        <v>74</v>
      </c>
      <c r="D957" t="s">
        <v>89</v>
      </c>
      <c r="E957" t="s">
        <v>90</v>
      </c>
      <c r="F957">
        <v>851</v>
      </c>
      <c r="G957">
        <v>483267</v>
      </c>
      <c r="H957">
        <v>449436</v>
      </c>
      <c r="I957">
        <v>302834</v>
      </c>
      <c r="J957">
        <v>748416</v>
      </c>
      <c r="K957">
        <v>387822</v>
      </c>
      <c r="L957">
        <v>591360</v>
      </c>
    </row>
    <row r="958" spans="1:12" x14ac:dyDescent="0.35">
      <c r="A958">
        <v>2025</v>
      </c>
      <c r="B958">
        <v>11</v>
      </c>
      <c r="C958" t="s">
        <v>74</v>
      </c>
      <c r="D958" t="s">
        <v>91</v>
      </c>
      <c r="E958" t="s">
        <v>92</v>
      </c>
      <c r="F958">
        <v>155</v>
      </c>
      <c r="G958">
        <v>365604</v>
      </c>
      <c r="H958">
        <v>345790</v>
      </c>
      <c r="I958">
        <v>297836</v>
      </c>
      <c r="J958">
        <v>646900</v>
      </c>
      <c r="K958">
        <v>337366</v>
      </c>
      <c r="L958">
        <v>365974</v>
      </c>
    </row>
    <row r="959" spans="1:12" x14ac:dyDescent="0.35">
      <c r="A959">
        <v>2025</v>
      </c>
      <c r="B959">
        <v>11</v>
      </c>
      <c r="C959" t="s">
        <v>74</v>
      </c>
      <c r="D959" t="s">
        <v>93</v>
      </c>
      <c r="E959" t="s">
        <v>94</v>
      </c>
      <c r="F959">
        <v>28</v>
      </c>
      <c r="G959">
        <v>351454</v>
      </c>
      <c r="H959">
        <v>335655</v>
      </c>
      <c r="I959">
        <v>302836</v>
      </c>
      <c r="J959">
        <v>583439</v>
      </c>
      <c r="K959">
        <v>325336</v>
      </c>
      <c r="L959">
        <v>360655</v>
      </c>
    </row>
    <row r="960" spans="1:12" x14ac:dyDescent="0.35">
      <c r="A960">
        <v>2025</v>
      </c>
      <c r="B960">
        <v>11</v>
      </c>
      <c r="C960" t="s">
        <v>74</v>
      </c>
      <c r="D960" t="s">
        <v>95</v>
      </c>
      <c r="E960" t="s">
        <v>96</v>
      </c>
      <c r="F960">
        <v>19</v>
      </c>
      <c r="G960">
        <v>399707</v>
      </c>
      <c r="H960">
        <v>390322</v>
      </c>
      <c r="I960">
        <v>313573</v>
      </c>
      <c r="J960">
        <v>618439</v>
      </c>
      <c r="K960">
        <v>330286</v>
      </c>
      <c r="L960">
        <v>429485</v>
      </c>
    </row>
    <row r="961" spans="1:12" x14ac:dyDescent="0.35">
      <c r="A961">
        <v>2025</v>
      </c>
      <c r="B961">
        <v>11</v>
      </c>
      <c r="C961" t="s">
        <v>74</v>
      </c>
      <c r="D961" t="s">
        <v>97</v>
      </c>
      <c r="E961" t="s">
        <v>98</v>
      </c>
      <c r="F961">
        <v>283</v>
      </c>
      <c r="G961">
        <v>413492</v>
      </c>
      <c r="H961">
        <v>373474</v>
      </c>
      <c r="I961">
        <v>302836</v>
      </c>
      <c r="J961">
        <v>695189</v>
      </c>
      <c r="K961">
        <v>353290</v>
      </c>
      <c r="L961">
        <v>421985</v>
      </c>
    </row>
    <row r="962" spans="1:12" x14ac:dyDescent="0.35">
      <c r="A962">
        <v>2025</v>
      </c>
      <c r="B962">
        <v>11</v>
      </c>
      <c r="C962" t="s">
        <v>74</v>
      </c>
      <c r="D962" t="s">
        <v>99</v>
      </c>
      <c r="E962" t="s">
        <v>100</v>
      </c>
      <c r="F962">
        <v>409</v>
      </c>
      <c r="G962">
        <v>451202</v>
      </c>
      <c r="H962">
        <v>439436</v>
      </c>
      <c r="I962">
        <v>302836</v>
      </c>
      <c r="J962">
        <v>710411</v>
      </c>
      <c r="K962">
        <v>389485</v>
      </c>
      <c r="L962">
        <v>507848</v>
      </c>
    </row>
    <row r="963" spans="1:12" x14ac:dyDescent="0.35">
      <c r="A963">
        <v>2025</v>
      </c>
      <c r="B963">
        <v>11</v>
      </c>
      <c r="C963" t="s">
        <v>74</v>
      </c>
      <c r="D963" t="s">
        <v>101</v>
      </c>
      <c r="E963" t="s">
        <v>102</v>
      </c>
      <c r="F963">
        <v>10</v>
      </c>
      <c r="G963">
        <v>555281</v>
      </c>
      <c r="H963">
        <v>581038</v>
      </c>
      <c r="I963">
        <v>352786</v>
      </c>
      <c r="J963">
        <v>675324</v>
      </c>
      <c r="K963">
        <v>440040</v>
      </c>
      <c r="L963">
        <v>645189</v>
      </c>
    </row>
    <row r="964" spans="1:12" x14ac:dyDescent="0.35">
      <c r="A964">
        <v>2025</v>
      </c>
      <c r="B964">
        <v>11</v>
      </c>
      <c r="C964" t="s">
        <v>74</v>
      </c>
      <c r="D964" t="s">
        <v>103</v>
      </c>
      <c r="E964" t="s">
        <v>104</v>
      </c>
      <c r="F964">
        <v>10</v>
      </c>
      <c r="G964">
        <v>361512</v>
      </c>
      <c r="H964">
        <v>341326</v>
      </c>
      <c r="I964">
        <v>313573</v>
      </c>
      <c r="J964">
        <v>502848</v>
      </c>
      <c r="K964">
        <v>321073</v>
      </c>
      <c r="L964">
        <v>388474</v>
      </c>
    </row>
    <row r="965" spans="1:12" x14ac:dyDescent="0.35">
      <c r="A965">
        <v>2025</v>
      </c>
      <c r="B965">
        <v>11</v>
      </c>
      <c r="C965" t="s">
        <v>74</v>
      </c>
      <c r="D965" t="s">
        <v>105</v>
      </c>
      <c r="E965" t="s">
        <v>106</v>
      </c>
      <c r="F965">
        <v>37</v>
      </c>
      <c r="G965">
        <v>450357</v>
      </c>
      <c r="H965">
        <v>406985</v>
      </c>
      <c r="I965">
        <v>313573</v>
      </c>
      <c r="J965">
        <v>697640</v>
      </c>
      <c r="K965">
        <v>357366</v>
      </c>
      <c r="L965">
        <v>535903</v>
      </c>
    </row>
    <row r="966" spans="1:12" x14ac:dyDescent="0.35">
      <c r="A966">
        <v>2025</v>
      </c>
      <c r="B966">
        <v>11</v>
      </c>
      <c r="C966" t="s">
        <v>74</v>
      </c>
      <c r="D966" t="s">
        <v>107</v>
      </c>
      <c r="E966" t="s">
        <v>108</v>
      </c>
      <c r="F966">
        <v>7</v>
      </c>
      <c r="G966">
        <v>345780</v>
      </c>
      <c r="H966">
        <v>345286</v>
      </c>
      <c r="I966">
        <v>325286</v>
      </c>
      <c r="J966">
        <v>380974</v>
      </c>
      <c r="K966">
        <v>330286</v>
      </c>
      <c r="L966">
        <v>358474</v>
      </c>
    </row>
    <row r="967" spans="1:12" x14ac:dyDescent="0.35">
      <c r="A967">
        <v>2025</v>
      </c>
      <c r="B967">
        <v>11</v>
      </c>
      <c r="C967" t="s">
        <v>74</v>
      </c>
      <c r="D967" t="s">
        <v>109</v>
      </c>
      <c r="E967" t="s">
        <v>110</v>
      </c>
      <c r="F967">
        <v>5146</v>
      </c>
      <c r="G967">
        <v>555346</v>
      </c>
      <c r="H967">
        <v>519658</v>
      </c>
      <c r="I967">
        <v>407405</v>
      </c>
      <c r="J967">
        <v>803035</v>
      </c>
      <c r="K967">
        <v>446985</v>
      </c>
      <c r="L967">
        <v>683564</v>
      </c>
    </row>
    <row r="968" spans="1:12" x14ac:dyDescent="0.35">
      <c r="A968">
        <v>2025</v>
      </c>
      <c r="B968">
        <v>11</v>
      </c>
      <c r="C968" t="s">
        <v>74</v>
      </c>
      <c r="D968" t="s">
        <v>111</v>
      </c>
      <c r="E968" t="s">
        <v>112</v>
      </c>
      <c r="F968">
        <v>16191</v>
      </c>
      <c r="G968">
        <v>338112</v>
      </c>
      <c r="H968">
        <v>318942</v>
      </c>
      <c r="I968">
        <v>247193</v>
      </c>
      <c r="J968">
        <v>684400</v>
      </c>
      <c r="K968">
        <v>285752</v>
      </c>
      <c r="L968">
        <v>360974</v>
      </c>
    </row>
    <row r="969" spans="1:12" x14ac:dyDescent="0.35">
      <c r="A969">
        <v>2025</v>
      </c>
      <c r="B969">
        <v>11</v>
      </c>
      <c r="C969" t="s">
        <v>74</v>
      </c>
      <c r="D969" t="s">
        <v>113</v>
      </c>
      <c r="E969" t="s">
        <v>114</v>
      </c>
      <c r="F969">
        <v>9022</v>
      </c>
      <c r="G969">
        <v>318260</v>
      </c>
      <c r="H969">
        <v>308370</v>
      </c>
      <c r="I969">
        <v>260064</v>
      </c>
      <c r="J969">
        <v>585804</v>
      </c>
      <c r="K969">
        <v>280752</v>
      </c>
      <c r="L969">
        <v>337552</v>
      </c>
    </row>
    <row r="970" spans="1:12" x14ac:dyDescent="0.35">
      <c r="A970">
        <v>2025</v>
      </c>
      <c r="B970">
        <v>11</v>
      </c>
      <c r="C970" t="s">
        <v>74</v>
      </c>
      <c r="D970" t="s">
        <v>115</v>
      </c>
      <c r="E970" t="s">
        <v>116</v>
      </c>
      <c r="F970">
        <v>89</v>
      </c>
      <c r="G970">
        <v>578825</v>
      </c>
      <c r="H970">
        <v>563722</v>
      </c>
      <c r="I970">
        <v>407405</v>
      </c>
      <c r="J970">
        <v>825535</v>
      </c>
      <c r="K970">
        <v>453094</v>
      </c>
      <c r="L970">
        <v>681987</v>
      </c>
    </row>
    <row r="971" spans="1:12" x14ac:dyDescent="0.35">
      <c r="A971">
        <v>2025</v>
      </c>
      <c r="B971">
        <v>11</v>
      </c>
      <c r="C971" t="s">
        <v>74</v>
      </c>
      <c r="D971" t="s">
        <v>117</v>
      </c>
      <c r="E971" t="s">
        <v>118</v>
      </c>
      <c r="F971">
        <v>414</v>
      </c>
      <c r="G971">
        <v>586398</v>
      </c>
      <c r="H971">
        <v>566942</v>
      </c>
      <c r="I971">
        <v>407405</v>
      </c>
      <c r="J971">
        <v>808035</v>
      </c>
      <c r="K971">
        <v>468094</v>
      </c>
      <c r="L971">
        <v>711987</v>
      </c>
    </row>
    <row r="972" spans="1:12" x14ac:dyDescent="0.35">
      <c r="A972">
        <v>2025</v>
      </c>
      <c r="B972">
        <v>11</v>
      </c>
      <c r="C972" t="s">
        <v>74</v>
      </c>
      <c r="D972" t="s">
        <v>119</v>
      </c>
      <c r="E972" t="s">
        <v>120</v>
      </c>
      <c r="F972">
        <v>1015</v>
      </c>
      <c r="G972">
        <v>504225</v>
      </c>
      <c r="H972">
        <v>479941</v>
      </c>
      <c r="I972">
        <v>407405</v>
      </c>
      <c r="J972">
        <v>788035</v>
      </c>
      <c r="K972">
        <v>440594</v>
      </c>
      <c r="L972">
        <v>534658</v>
      </c>
    </row>
    <row r="973" spans="1:12" x14ac:dyDescent="0.35">
      <c r="A973">
        <v>2025</v>
      </c>
      <c r="B973">
        <v>11</v>
      </c>
      <c r="C973" t="s">
        <v>74</v>
      </c>
      <c r="D973" t="s">
        <v>121</v>
      </c>
      <c r="E973" t="s">
        <v>122</v>
      </c>
      <c r="F973">
        <v>534</v>
      </c>
      <c r="G973">
        <v>450217</v>
      </c>
      <c r="H973">
        <v>446936</v>
      </c>
      <c r="I973">
        <v>313573</v>
      </c>
      <c r="J973">
        <v>696851</v>
      </c>
      <c r="K973">
        <v>393795</v>
      </c>
      <c r="L973">
        <v>510348</v>
      </c>
    </row>
    <row r="974" spans="1:12" x14ac:dyDescent="0.35">
      <c r="A974">
        <v>2025</v>
      </c>
      <c r="B974">
        <v>11</v>
      </c>
      <c r="C974" t="s">
        <v>74</v>
      </c>
      <c r="D974" t="s">
        <v>123</v>
      </c>
      <c r="E974" t="s">
        <v>124</v>
      </c>
      <c r="F974">
        <v>1</v>
      </c>
      <c r="G974">
        <v>318942</v>
      </c>
      <c r="H974">
        <v>318942</v>
      </c>
      <c r="I974">
        <v>318942</v>
      </c>
      <c r="J974">
        <v>318942</v>
      </c>
      <c r="K974">
        <v>318942</v>
      </c>
      <c r="L974">
        <v>318942</v>
      </c>
    </row>
    <row r="975" spans="1:12" x14ac:dyDescent="0.35">
      <c r="A975">
        <v>2025</v>
      </c>
      <c r="B975">
        <v>11</v>
      </c>
      <c r="C975" t="s">
        <v>74</v>
      </c>
      <c r="D975" t="s">
        <v>125</v>
      </c>
      <c r="E975" t="s">
        <v>126</v>
      </c>
      <c r="F975">
        <v>212</v>
      </c>
      <c r="G975">
        <v>438521</v>
      </c>
      <c r="H975">
        <v>373474</v>
      </c>
      <c r="I975">
        <v>325286</v>
      </c>
      <c r="J975">
        <v>692590</v>
      </c>
      <c r="K975">
        <v>355974</v>
      </c>
      <c r="L975">
        <v>555804</v>
      </c>
    </row>
    <row r="976" spans="1:12" x14ac:dyDescent="0.35">
      <c r="A976">
        <v>2025</v>
      </c>
      <c r="B976">
        <v>11</v>
      </c>
      <c r="C976" t="s">
        <v>74</v>
      </c>
      <c r="D976" t="s">
        <v>127</v>
      </c>
      <c r="E976" t="s">
        <v>128</v>
      </c>
      <c r="F976">
        <v>6209</v>
      </c>
      <c r="G976">
        <v>893631</v>
      </c>
      <c r="H976">
        <v>838355</v>
      </c>
      <c r="I976">
        <v>656667</v>
      </c>
      <c r="J976">
        <v>1474303</v>
      </c>
      <c r="K976">
        <v>715645</v>
      </c>
      <c r="L976">
        <v>1055697</v>
      </c>
    </row>
    <row r="977" spans="1:12" x14ac:dyDescent="0.35">
      <c r="A977">
        <v>2025</v>
      </c>
      <c r="B977">
        <v>11</v>
      </c>
      <c r="C977" t="s">
        <v>74</v>
      </c>
      <c r="D977" t="s">
        <v>129</v>
      </c>
      <c r="E977" t="s">
        <v>130</v>
      </c>
      <c r="F977">
        <v>325</v>
      </c>
      <c r="G977">
        <v>505200</v>
      </c>
      <c r="H977">
        <v>474523</v>
      </c>
      <c r="I977">
        <v>342134</v>
      </c>
      <c r="J977">
        <v>758970</v>
      </c>
      <c r="K977">
        <v>412540</v>
      </c>
      <c r="L977">
        <v>612737</v>
      </c>
    </row>
    <row r="978" spans="1:12" x14ac:dyDescent="0.35">
      <c r="A978">
        <v>2025</v>
      </c>
      <c r="B978">
        <v>11</v>
      </c>
      <c r="C978" t="s">
        <v>74</v>
      </c>
      <c r="D978" t="s">
        <v>131</v>
      </c>
      <c r="E978" t="s">
        <v>132</v>
      </c>
      <c r="F978">
        <v>37890</v>
      </c>
      <c r="G978">
        <v>522234</v>
      </c>
      <c r="H978">
        <v>491555</v>
      </c>
      <c r="I978">
        <v>333389</v>
      </c>
      <c r="J978">
        <v>887702</v>
      </c>
      <c r="K978">
        <v>441333</v>
      </c>
      <c r="L978">
        <v>587515</v>
      </c>
    </row>
    <row r="979" spans="1:12" x14ac:dyDescent="0.35">
      <c r="A979">
        <v>2025</v>
      </c>
      <c r="B979">
        <v>11</v>
      </c>
      <c r="C979" t="s">
        <v>74</v>
      </c>
      <c r="D979" t="s">
        <v>133</v>
      </c>
      <c r="E979" t="s">
        <v>134</v>
      </c>
      <c r="F979">
        <v>89799</v>
      </c>
      <c r="G979">
        <v>390342</v>
      </c>
      <c r="H979">
        <v>402540</v>
      </c>
      <c r="I979">
        <v>266776</v>
      </c>
      <c r="J979">
        <v>584647</v>
      </c>
      <c r="K979">
        <v>298672</v>
      </c>
      <c r="L979">
        <v>446936</v>
      </c>
    </row>
    <row r="980" spans="1:12" x14ac:dyDescent="0.35">
      <c r="A980">
        <v>2025</v>
      </c>
      <c r="B980">
        <v>11</v>
      </c>
      <c r="C980" t="s">
        <v>74</v>
      </c>
      <c r="D980" t="s">
        <v>135</v>
      </c>
      <c r="E980" t="s">
        <v>136</v>
      </c>
      <c r="F980">
        <v>23536</v>
      </c>
      <c r="G980">
        <v>692375</v>
      </c>
      <c r="H980">
        <v>681434</v>
      </c>
      <c r="I980">
        <v>398882</v>
      </c>
      <c r="J980">
        <v>1120700</v>
      </c>
      <c r="K980">
        <v>614967</v>
      </c>
      <c r="L980">
        <v>791089</v>
      </c>
    </row>
    <row r="981" spans="1:12" x14ac:dyDescent="0.35">
      <c r="A981">
        <v>2025</v>
      </c>
      <c r="B981">
        <v>11</v>
      </c>
      <c r="C981" t="s">
        <v>74</v>
      </c>
      <c r="D981" t="s">
        <v>137</v>
      </c>
      <c r="E981" t="s">
        <v>138</v>
      </c>
      <c r="F981">
        <v>12672</v>
      </c>
      <c r="G981">
        <v>448744</v>
      </c>
      <c r="H981">
        <v>433044</v>
      </c>
      <c r="I981">
        <v>262563</v>
      </c>
      <c r="J981">
        <v>828589</v>
      </c>
      <c r="K981">
        <v>365926</v>
      </c>
      <c r="L981">
        <v>509239</v>
      </c>
    </row>
    <row r="982" spans="1:12" x14ac:dyDescent="0.35">
      <c r="A982">
        <v>2025</v>
      </c>
      <c r="B982">
        <v>11</v>
      </c>
      <c r="C982" t="s">
        <v>74</v>
      </c>
      <c r="D982" t="s">
        <v>139</v>
      </c>
      <c r="E982" t="s">
        <v>140</v>
      </c>
      <c r="F982">
        <v>25</v>
      </c>
      <c r="G982">
        <v>628444</v>
      </c>
      <c r="H982">
        <v>630237</v>
      </c>
      <c r="I982">
        <v>533722</v>
      </c>
      <c r="J982">
        <v>723970</v>
      </c>
      <c r="K982">
        <v>615237</v>
      </c>
      <c r="L982">
        <v>642737</v>
      </c>
    </row>
    <row r="983" spans="1:12" x14ac:dyDescent="0.35">
      <c r="A983">
        <v>2025</v>
      </c>
      <c r="B983">
        <v>11</v>
      </c>
      <c r="C983" t="s">
        <v>74</v>
      </c>
      <c r="D983" t="s">
        <v>141</v>
      </c>
      <c r="E983" t="s">
        <v>142</v>
      </c>
      <c r="F983">
        <v>1002</v>
      </c>
      <c r="G983">
        <v>506924</v>
      </c>
      <c r="H983">
        <v>501555</v>
      </c>
      <c r="I983">
        <v>342134</v>
      </c>
      <c r="J983">
        <v>758921</v>
      </c>
      <c r="K983">
        <v>448833</v>
      </c>
      <c r="L983">
        <v>551222</v>
      </c>
    </row>
    <row r="984" spans="1:12" x14ac:dyDescent="0.35">
      <c r="A984">
        <v>2025</v>
      </c>
      <c r="B984">
        <v>11</v>
      </c>
      <c r="C984" t="s">
        <v>74</v>
      </c>
      <c r="D984" t="s">
        <v>143</v>
      </c>
      <c r="E984" t="s">
        <v>144</v>
      </c>
      <c r="F984">
        <v>5363</v>
      </c>
      <c r="G984">
        <v>287573</v>
      </c>
      <c r="H984">
        <v>283486</v>
      </c>
      <c r="I984">
        <v>229743</v>
      </c>
      <c r="J984">
        <v>439017</v>
      </c>
      <c r="K984">
        <v>265986</v>
      </c>
      <c r="L984">
        <v>305519</v>
      </c>
    </row>
    <row r="985" spans="1:12" x14ac:dyDescent="0.35">
      <c r="A985">
        <v>2025</v>
      </c>
      <c r="B985">
        <v>11</v>
      </c>
      <c r="C985" t="s">
        <v>74</v>
      </c>
      <c r="D985" t="s">
        <v>145</v>
      </c>
      <c r="E985" t="s">
        <v>146</v>
      </c>
      <c r="F985">
        <v>118</v>
      </c>
      <c r="G985">
        <v>438449</v>
      </c>
      <c r="H985">
        <v>446936</v>
      </c>
      <c r="I985">
        <v>341073</v>
      </c>
      <c r="J985">
        <v>590806</v>
      </c>
      <c r="K985">
        <v>382824</v>
      </c>
      <c r="L985">
        <v>470544</v>
      </c>
    </row>
    <row r="986" spans="1:12" x14ac:dyDescent="0.35">
      <c r="A986">
        <v>2025</v>
      </c>
      <c r="B986">
        <v>11</v>
      </c>
      <c r="C986" t="s">
        <v>74</v>
      </c>
      <c r="D986" t="s">
        <v>147</v>
      </c>
      <c r="E986" t="s">
        <v>148</v>
      </c>
      <c r="F986">
        <v>127</v>
      </c>
      <c r="G986">
        <v>342591</v>
      </c>
      <c r="H986">
        <v>321073</v>
      </c>
      <c r="I986">
        <v>297836</v>
      </c>
      <c r="J986">
        <v>455544</v>
      </c>
      <c r="K986">
        <v>307836</v>
      </c>
      <c r="L986">
        <v>351073</v>
      </c>
    </row>
    <row r="987" spans="1:12" x14ac:dyDescent="0.35">
      <c r="A987">
        <v>2025</v>
      </c>
      <c r="B987">
        <v>11</v>
      </c>
      <c r="C987" t="s">
        <v>74</v>
      </c>
      <c r="D987" t="s">
        <v>149</v>
      </c>
      <c r="E987" t="s">
        <v>150</v>
      </c>
      <c r="F987">
        <v>1971</v>
      </c>
      <c r="G987">
        <v>406184</v>
      </c>
      <c r="H987">
        <v>373474</v>
      </c>
      <c r="I987">
        <v>297836</v>
      </c>
      <c r="J987">
        <v>735916</v>
      </c>
      <c r="K987">
        <v>345790</v>
      </c>
      <c r="L987">
        <v>431936</v>
      </c>
    </row>
    <row r="988" spans="1:12" x14ac:dyDescent="0.35">
      <c r="A988">
        <v>2025</v>
      </c>
      <c r="B988">
        <v>11</v>
      </c>
      <c r="C988" t="s">
        <v>74</v>
      </c>
      <c r="D988" t="s">
        <v>151</v>
      </c>
      <c r="E988" t="s">
        <v>152</v>
      </c>
      <c r="F988">
        <v>695</v>
      </c>
      <c r="G988">
        <v>1047388</v>
      </c>
      <c r="H988">
        <v>1052225</v>
      </c>
      <c r="I988">
        <v>690287</v>
      </c>
      <c r="J988">
        <v>1506425</v>
      </c>
      <c r="K988">
        <v>920118</v>
      </c>
      <c r="L988">
        <v>1196241</v>
      </c>
    </row>
    <row r="989" spans="1:12" x14ac:dyDescent="0.35">
      <c r="A989">
        <v>2025</v>
      </c>
      <c r="B989">
        <v>11</v>
      </c>
      <c r="C989" t="s">
        <v>74</v>
      </c>
      <c r="D989" t="s">
        <v>153</v>
      </c>
      <c r="E989" t="s">
        <v>154</v>
      </c>
      <c r="F989">
        <v>169</v>
      </c>
      <c r="G989">
        <v>621922</v>
      </c>
      <c r="H989">
        <v>638897</v>
      </c>
      <c r="I989">
        <v>411062</v>
      </c>
      <c r="J989">
        <v>817666</v>
      </c>
      <c r="K989">
        <v>513549</v>
      </c>
      <c r="L989">
        <v>738280</v>
      </c>
    </row>
    <row r="990" spans="1:12" x14ac:dyDescent="0.35">
      <c r="A990">
        <v>2025</v>
      </c>
      <c r="B990">
        <v>11</v>
      </c>
      <c r="C990" t="s">
        <v>74</v>
      </c>
      <c r="D990" t="s">
        <v>155</v>
      </c>
      <c r="E990" t="s">
        <v>156</v>
      </c>
      <c r="F990">
        <v>1010</v>
      </c>
      <c r="G990">
        <v>395036</v>
      </c>
      <c r="H990">
        <v>376134</v>
      </c>
      <c r="I990">
        <v>260064</v>
      </c>
      <c r="J990">
        <v>707824</v>
      </c>
      <c r="K990">
        <v>320519</v>
      </c>
      <c r="L990">
        <v>431985</v>
      </c>
    </row>
    <row r="991" spans="1:12" x14ac:dyDescent="0.35">
      <c r="A991">
        <v>2025</v>
      </c>
      <c r="B991">
        <v>11</v>
      </c>
      <c r="C991" t="s">
        <v>74</v>
      </c>
      <c r="D991" t="s">
        <v>157</v>
      </c>
      <c r="E991" t="s">
        <v>158</v>
      </c>
      <c r="F991">
        <v>183</v>
      </c>
      <c r="G991">
        <v>471471</v>
      </c>
      <c r="H991">
        <v>432540</v>
      </c>
      <c r="I991">
        <v>330286</v>
      </c>
      <c r="J991">
        <v>690140</v>
      </c>
      <c r="K991">
        <v>392822</v>
      </c>
      <c r="L991">
        <v>545903</v>
      </c>
    </row>
    <row r="992" spans="1:12" x14ac:dyDescent="0.35">
      <c r="A992">
        <v>2025</v>
      </c>
      <c r="B992">
        <v>11</v>
      </c>
      <c r="C992" t="s">
        <v>74</v>
      </c>
      <c r="D992" t="s">
        <v>159</v>
      </c>
      <c r="E992" t="s">
        <v>160</v>
      </c>
      <c r="F992">
        <v>417</v>
      </c>
      <c r="G992">
        <v>441072</v>
      </c>
      <c r="H992">
        <v>429485</v>
      </c>
      <c r="I992">
        <v>302836</v>
      </c>
      <c r="J992">
        <v>704351</v>
      </c>
      <c r="K992">
        <v>360974</v>
      </c>
      <c r="L992">
        <v>479104</v>
      </c>
    </row>
    <row r="993" spans="1:12" x14ac:dyDescent="0.35">
      <c r="A993">
        <v>2025</v>
      </c>
      <c r="B993">
        <v>11</v>
      </c>
      <c r="C993" t="s">
        <v>74</v>
      </c>
      <c r="D993" t="s">
        <v>161</v>
      </c>
      <c r="E993" t="s">
        <v>162</v>
      </c>
      <c r="F993">
        <v>122</v>
      </c>
      <c r="G993">
        <v>483347</v>
      </c>
      <c r="H993">
        <v>459294</v>
      </c>
      <c r="I993">
        <v>325655</v>
      </c>
      <c r="J993">
        <v>704353</v>
      </c>
      <c r="K993">
        <v>373474</v>
      </c>
      <c r="L993">
        <v>578304</v>
      </c>
    </row>
    <row r="994" spans="1:12" x14ac:dyDescent="0.35">
      <c r="A994">
        <v>2025</v>
      </c>
      <c r="B994">
        <v>12</v>
      </c>
      <c r="C994" t="s">
        <v>75</v>
      </c>
      <c r="D994" t="s">
        <v>77</v>
      </c>
      <c r="E994" t="s">
        <v>78</v>
      </c>
      <c r="F994">
        <v>4</v>
      </c>
      <c r="G994">
        <v>415954</v>
      </c>
      <c r="H994">
        <v>383796</v>
      </c>
      <c r="I994">
        <v>325655</v>
      </c>
      <c r="J994">
        <v>570570</v>
      </c>
      <c r="K994">
        <v>333155</v>
      </c>
      <c r="L994">
        <v>434436</v>
      </c>
    </row>
    <row r="995" spans="1:12" x14ac:dyDescent="0.35">
      <c r="A995">
        <v>2025</v>
      </c>
      <c r="B995">
        <v>12</v>
      </c>
      <c r="C995" t="s">
        <v>75</v>
      </c>
      <c r="D995" t="s">
        <v>79</v>
      </c>
      <c r="E995" t="s">
        <v>80</v>
      </c>
      <c r="F995">
        <v>148</v>
      </c>
      <c r="G995">
        <v>444338</v>
      </c>
      <c r="H995">
        <v>414904</v>
      </c>
      <c r="I995">
        <v>310336</v>
      </c>
      <c r="J995">
        <v>715324</v>
      </c>
      <c r="K995">
        <v>358474</v>
      </c>
      <c r="L995">
        <v>521690</v>
      </c>
    </row>
    <row r="996" spans="1:12" x14ac:dyDescent="0.35">
      <c r="A996">
        <v>2025</v>
      </c>
      <c r="B996">
        <v>12</v>
      </c>
      <c r="C996" t="s">
        <v>75</v>
      </c>
      <c r="D996" t="s">
        <v>81</v>
      </c>
      <c r="E996" t="s">
        <v>82</v>
      </c>
      <c r="F996">
        <v>22</v>
      </c>
      <c r="G996">
        <v>648222</v>
      </c>
      <c r="H996">
        <v>644800</v>
      </c>
      <c r="I996">
        <v>534190</v>
      </c>
      <c r="J996">
        <v>711851</v>
      </c>
      <c r="K996">
        <v>629868</v>
      </c>
      <c r="L996">
        <v>671581</v>
      </c>
    </row>
    <row r="997" spans="1:12" x14ac:dyDescent="0.35">
      <c r="A997">
        <v>2025</v>
      </c>
      <c r="B997">
        <v>12</v>
      </c>
      <c r="C997" t="s">
        <v>75</v>
      </c>
      <c r="D997" t="s">
        <v>83</v>
      </c>
      <c r="E997" t="s">
        <v>84</v>
      </c>
      <c r="F997">
        <v>55</v>
      </c>
      <c r="G997">
        <v>494638</v>
      </c>
      <c r="H997">
        <v>523403</v>
      </c>
      <c r="I997">
        <v>330286</v>
      </c>
      <c r="J997">
        <v>659955</v>
      </c>
      <c r="K997">
        <v>358474</v>
      </c>
      <c r="L997">
        <v>620979</v>
      </c>
    </row>
    <row r="998" spans="1:12" x14ac:dyDescent="0.35">
      <c r="A998">
        <v>2025</v>
      </c>
      <c r="B998">
        <v>12</v>
      </c>
      <c r="C998" t="s">
        <v>75</v>
      </c>
      <c r="D998" t="s">
        <v>85</v>
      </c>
      <c r="E998" t="s">
        <v>86</v>
      </c>
      <c r="F998">
        <v>1127</v>
      </c>
      <c r="G998">
        <v>503907</v>
      </c>
      <c r="H998">
        <v>477540</v>
      </c>
      <c r="I998">
        <v>302836</v>
      </c>
      <c r="J998">
        <v>735411</v>
      </c>
      <c r="K998">
        <v>411985</v>
      </c>
      <c r="L998">
        <v>606359</v>
      </c>
    </row>
    <row r="999" spans="1:12" x14ac:dyDescent="0.35">
      <c r="A999">
        <v>2025</v>
      </c>
      <c r="B999">
        <v>12</v>
      </c>
      <c r="C999" t="s">
        <v>75</v>
      </c>
      <c r="D999" t="s">
        <v>87</v>
      </c>
      <c r="E999" t="s">
        <v>88</v>
      </c>
      <c r="F999">
        <v>4</v>
      </c>
      <c r="G999">
        <v>597371</v>
      </c>
      <c r="H999">
        <v>593852</v>
      </c>
      <c r="I999">
        <v>555804</v>
      </c>
      <c r="J999">
        <v>645977</v>
      </c>
      <c r="K999">
        <v>563304</v>
      </c>
      <c r="L999">
        <v>624400</v>
      </c>
    </row>
    <row r="1000" spans="1:12" x14ac:dyDescent="0.35">
      <c r="A1000">
        <v>2025</v>
      </c>
      <c r="B1000">
        <v>12</v>
      </c>
      <c r="C1000" t="s">
        <v>75</v>
      </c>
      <c r="D1000" t="s">
        <v>89</v>
      </c>
      <c r="E1000" t="s">
        <v>90</v>
      </c>
      <c r="F1000">
        <v>854</v>
      </c>
      <c r="G1000">
        <v>482716</v>
      </c>
      <c r="H1000">
        <v>449436</v>
      </c>
      <c r="I1000">
        <v>302834</v>
      </c>
      <c r="J1000">
        <v>748416</v>
      </c>
      <c r="K1000">
        <v>387822</v>
      </c>
      <c r="L1000">
        <v>591360</v>
      </c>
    </row>
    <row r="1001" spans="1:12" x14ac:dyDescent="0.35">
      <c r="A1001">
        <v>2025</v>
      </c>
      <c r="B1001">
        <v>12</v>
      </c>
      <c r="C1001" t="s">
        <v>75</v>
      </c>
      <c r="D1001" t="s">
        <v>91</v>
      </c>
      <c r="E1001" t="s">
        <v>92</v>
      </c>
      <c r="F1001">
        <v>154</v>
      </c>
      <c r="G1001">
        <v>364383</v>
      </c>
      <c r="H1001">
        <v>345790</v>
      </c>
      <c r="I1001">
        <v>297836</v>
      </c>
      <c r="J1001">
        <v>646900</v>
      </c>
      <c r="K1001">
        <v>337366</v>
      </c>
      <c r="L1001">
        <v>364866</v>
      </c>
    </row>
    <row r="1002" spans="1:12" x14ac:dyDescent="0.35">
      <c r="A1002">
        <v>2025</v>
      </c>
      <c r="B1002">
        <v>12</v>
      </c>
      <c r="C1002" t="s">
        <v>75</v>
      </c>
      <c r="D1002" t="s">
        <v>93</v>
      </c>
      <c r="E1002" t="s">
        <v>94</v>
      </c>
      <c r="F1002">
        <v>27</v>
      </c>
      <c r="G1002">
        <v>352785</v>
      </c>
      <c r="H1002">
        <v>335655</v>
      </c>
      <c r="I1002">
        <v>302836</v>
      </c>
      <c r="J1002">
        <v>583439</v>
      </c>
      <c r="K1002">
        <v>325336</v>
      </c>
      <c r="L1002">
        <v>370322</v>
      </c>
    </row>
    <row r="1003" spans="1:12" x14ac:dyDescent="0.35">
      <c r="A1003">
        <v>2025</v>
      </c>
      <c r="B1003">
        <v>12</v>
      </c>
      <c r="C1003" t="s">
        <v>75</v>
      </c>
      <c r="D1003" t="s">
        <v>95</v>
      </c>
      <c r="E1003" t="s">
        <v>96</v>
      </c>
      <c r="F1003">
        <v>19</v>
      </c>
      <c r="G1003">
        <v>400626</v>
      </c>
      <c r="H1003">
        <v>390322</v>
      </c>
      <c r="I1003">
        <v>313573</v>
      </c>
      <c r="J1003">
        <v>618439</v>
      </c>
      <c r="K1003">
        <v>330286</v>
      </c>
      <c r="L1003">
        <v>431936</v>
      </c>
    </row>
    <row r="1004" spans="1:12" x14ac:dyDescent="0.35">
      <c r="A1004">
        <v>2025</v>
      </c>
      <c r="B1004">
        <v>12</v>
      </c>
      <c r="C1004" t="s">
        <v>75</v>
      </c>
      <c r="D1004" t="s">
        <v>97</v>
      </c>
      <c r="E1004" t="s">
        <v>98</v>
      </c>
      <c r="F1004">
        <v>284</v>
      </c>
      <c r="G1004">
        <v>413180</v>
      </c>
      <c r="H1004">
        <v>375322</v>
      </c>
      <c r="I1004">
        <v>297836</v>
      </c>
      <c r="J1004">
        <v>695189</v>
      </c>
      <c r="K1004">
        <v>353290</v>
      </c>
      <c r="L1004">
        <v>419485</v>
      </c>
    </row>
    <row r="1005" spans="1:12" x14ac:dyDescent="0.35">
      <c r="A1005">
        <v>2025</v>
      </c>
      <c r="B1005">
        <v>12</v>
      </c>
      <c r="C1005" t="s">
        <v>75</v>
      </c>
      <c r="D1005" t="s">
        <v>99</v>
      </c>
      <c r="E1005" t="s">
        <v>100</v>
      </c>
      <c r="F1005">
        <v>406</v>
      </c>
      <c r="G1005">
        <v>451851</v>
      </c>
      <c r="H1005">
        <v>439762</v>
      </c>
      <c r="I1005">
        <v>302836</v>
      </c>
      <c r="J1005">
        <v>710411</v>
      </c>
      <c r="K1005">
        <v>389485</v>
      </c>
      <c r="L1005">
        <v>508403</v>
      </c>
    </row>
    <row r="1006" spans="1:12" x14ac:dyDescent="0.35">
      <c r="A1006">
        <v>2025</v>
      </c>
      <c r="B1006">
        <v>12</v>
      </c>
      <c r="C1006" t="s">
        <v>75</v>
      </c>
      <c r="D1006" t="s">
        <v>101</v>
      </c>
      <c r="E1006" t="s">
        <v>102</v>
      </c>
      <c r="F1006">
        <v>10</v>
      </c>
      <c r="G1006">
        <v>555281</v>
      </c>
      <c r="H1006">
        <v>581038</v>
      </c>
      <c r="I1006">
        <v>352786</v>
      </c>
      <c r="J1006">
        <v>675324</v>
      </c>
      <c r="K1006">
        <v>440040</v>
      </c>
      <c r="L1006">
        <v>645189</v>
      </c>
    </row>
    <row r="1007" spans="1:12" x14ac:dyDescent="0.35">
      <c r="A1007">
        <v>2025</v>
      </c>
      <c r="B1007">
        <v>12</v>
      </c>
      <c r="C1007" t="s">
        <v>75</v>
      </c>
      <c r="D1007" t="s">
        <v>103</v>
      </c>
      <c r="E1007" t="s">
        <v>104</v>
      </c>
      <c r="F1007">
        <v>10</v>
      </c>
      <c r="G1007">
        <v>361512</v>
      </c>
      <c r="H1007">
        <v>341326</v>
      </c>
      <c r="I1007">
        <v>313573</v>
      </c>
      <c r="J1007">
        <v>502848</v>
      </c>
      <c r="K1007">
        <v>321073</v>
      </c>
      <c r="L1007">
        <v>388474</v>
      </c>
    </row>
    <row r="1008" spans="1:12" x14ac:dyDescent="0.35">
      <c r="A1008">
        <v>2025</v>
      </c>
      <c r="B1008">
        <v>12</v>
      </c>
      <c r="C1008" t="s">
        <v>75</v>
      </c>
      <c r="D1008" t="s">
        <v>105</v>
      </c>
      <c r="E1008" t="s">
        <v>106</v>
      </c>
      <c r="F1008">
        <v>37</v>
      </c>
      <c r="G1008">
        <v>454749</v>
      </c>
      <c r="H1008">
        <v>416936</v>
      </c>
      <c r="I1008">
        <v>313573</v>
      </c>
      <c r="J1008">
        <v>697640</v>
      </c>
      <c r="K1008">
        <v>364866</v>
      </c>
      <c r="L1008">
        <v>555804</v>
      </c>
    </row>
    <row r="1009" spans="1:12" x14ac:dyDescent="0.35">
      <c r="A1009">
        <v>2025</v>
      </c>
      <c r="B1009">
        <v>12</v>
      </c>
      <c r="C1009" t="s">
        <v>75</v>
      </c>
      <c r="D1009" t="s">
        <v>107</v>
      </c>
      <c r="E1009" t="s">
        <v>108</v>
      </c>
      <c r="F1009">
        <v>7</v>
      </c>
      <c r="G1009">
        <v>345780</v>
      </c>
      <c r="H1009">
        <v>345286</v>
      </c>
      <c r="I1009">
        <v>325286</v>
      </c>
      <c r="J1009">
        <v>380974</v>
      </c>
      <c r="K1009">
        <v>330286</v>
      </c>
      <c r="L1009">
        <v>358474</v>
      </c>
    </row>
    <row r="1010" spans="1:12" x14ac:dyDescent="0.35">
      <c r="A1010">
        <v>2025</v>
      </c>
      <c r="B1010">
        <v>12</v>
      </c>
      <c r="C1010" t="s">
        <v>75</v>
      </c>
      <c r="D1010" t="s">
        <v>109</v>
      </c>
      <c r="E1010" t="s">
        <v>110</v>
      </c>
      <c r="F1010">
        <v>5136</v>
      </c>
      <c r="G1010">
        <v>555856</v>
      </c>
      <c r="H1010">
        <v>519658</v>
      </c>
      <c r="I1010">
        <v>407405</v>
      </c>
      <c r="J1010">
        <v>803035</v>
      </c>
      <c r="K1010">
        <v>447404</v>
      </c>
      <c r="L1010">
        <v>684537</v>
      </c>
    </row>
    <row r="1011" spans="1:12" x14ac:dyDescent="0.35">
      <c r="A1011">
        <v>2025</v>
      </c>
      <c r="B1011">
        <v>12</v>
      </c>
      <c r="C1011" t="s">
        <v>75</v>
      </c>
      <c r="D1011" t="s">
        <v>111</v>
      </c>
      <c r="E1011" t="s">
        <v>112</v>
      </c>
      <c r="F1011">
        <v>16184</v>
      </c>
      <c r="G1011">
        <v>338343</v>
      </c>
      <c r="H1011">
        <v>318942</v>
      </c>
      <c r="I1011">
        <v>247193</v>
      </c>
      <c r="J1011">
        <v>684400</v>
      </c>
      <c r="K1011">
        <v>285752</v>
      </c>
      <c r="L1011">
        <v>361295</v>
      </c>
    </row>
    <row r="1012" spans="1:12" x14ac:dyDescent="0.35">
      <c r="A1012">
        <v>2025</v>
      </c>
      <c r="B1012">
        <v>12</v>
      </c>
      <c r="C1012" t="s">
        <v>75</v>
      </c>
      <c r="D1012" t="s">
        <v>113</v>
      </c>
      <c r="E1012" t="s">
        <v>114</v>
      </c>
      <c r="F1012">
        <v>9009</v>
      </c>
      <c r="G1012">
        <v>318459</v>
      </c>
      <c r="H1012">
        <v>308942</v>
      </c>
      <c r="I1012">
        <v>260064</v>
      </c>
      <c r="J1012">
        <v>585804</v>
      </c>
      <c r="K1012">
        <v>280752</v>
      </c>
      <c r="L1012">
        <v>337552</v>
      </c>
    </row>
    <row r="1013" spans="1:12" x14ac:dyDescent="0.35">
      <c r="A1013">
        <v>2025</v>
      </c>
      <c r="B1013">
        <v>12</v>
      </c>
      <c r="C1013" t="s">
        <v>75</v>
      </c>
      <c r="D1013" t="s">
        <v>115</v>
      </c>
      <c r="E1013" t="s">
        <v>116</v>
      </c>
      <c r="F1013">
        <v>87</v>
      </c>
      <c r="G1013">
        <v>578425</v>
      </c>
      <c r="H1013">
        <v>563722</v>
      </c>
      <c r="I1013">
        <v>407405</v>
      </c>
      <c r="J1013">
        <v>825535</v>
      </c>
      <c r="K1013">
        <v>453094</v>
      </c>
      <c r="L1013">
        <v>688564</v>
      </c>
    </row>
    <row r="1014" spans="1:12" x14ac:dyDescent="0.35">
      <c r="A1014">
        <v>2025</v>
      </c>
      <c r="B1014">
        <v>12</v>
      </c>
      <c r="C1014" t="s">
        <v>75</v>
      </c>
      <c r="D1014" t="s">
        <v>117</v>
      </c>
      <c r="E1014" t="s">
        <v>118</v>
      </c>
      <c r="F1014">
        <v>415</v>
      </c>
      <c r="G1014">
        <v>586638</v>
      </c>
      <c r="H1014">
        <v>567663</v>
      </c>
      <c r="I1014">
        <v>407405</v>
      </c>
      <c r="J1014">
        <v>808035</v>
      </c>
      <c r="K1014">
        <v>468094</v>
      </c>
      <c r="L1014">
        <v>718564</v>
      </c>
    </row>
    <row r="1015" spans="1:12" x14ac:dyDescent="0.35">
      <c r="A1015">
        <v>2025</v>
      </c>
      <c r="B1015">
        <v>12</v>
      </c>
      <c r="C1015" t="s">
        <v>75</v>
      </c>
      <c r="D1015" t="s">
        <v>119</v>
      </c>
      <c r="E1015" t="s">
        <v>120</v>
      </c>
      <c r="F1015">
        <v>1010</v>
      </c>
      <c r="G1015">
        <v>504652</v>
      </c>
      <c r="H1015">
        <v>479941</v>
      </c>
      <c r="I1015">
        <v>407405</v>
      </c>
      <c r="J1015">
        <v>788035</v>
      </c>
      <c r="K1015">
        <v>440594</v>
      </c>
      <c r="L1015">
        <v>534658</v>
      </c>
    </row>
    <row r="1016" spans="1:12" x14ac:dyDescent="0.35">
      <c r="A1016">
        <v>2025</v>
      </c>
      <c r="B1016">
        <v>12</v>
      </c>
      <c r="C1016" t="s">
        <v>75</v>
      </c>
      <c r="D1016" t="s">
        <v>121</v>
      </c>
      <c r="E1016" t="s">
        <v>122</v>
      </c>
      <c r="F1016">
        <v>547</v>
      </c>
      <c r="G1016">
        <v>452114</v>
      </c>
      <c r="H1016">
        <v>446936</v>
      </c>
      <c r="I1016">
        <v>313573</v>
      </c>
      <c r="J1016">
        <v>696851</v>
      </c>
      <c r="K1016">
        <v>397822</v>
      </c>
      <c r="L1016">
        <v>510348</v>
      </c>
    </row>
    <row r="1017" spans="1:12" x14ac:dyDescent="0.35">
      <c r="A1017">
        <v>2025</v>
      </c>
      <c r="B1017">
        <v>12</v>
      </c>
      <c r="C1017" t="s">
        <v>75</v>
      </c>
      <c r="D1017" t="s">
        <v>123</v>
      </c>
      <c r="E1017" t="s">
        <v>124</v>
      </c>
      <c r="F1017">
        <v>1</v>
      </c>
      <c r="G1017">
        <v>318942</v>
      </c>
      <c r="H1017">
        <v>318942</v>
      </c>
      <c r="I1017">
        <v>318942</v>
      </c>
      <c r="J1017">
        <v>318942</v>
      </c>
      <c r="K1017">
        <v>318942</v>
      </c>
      <c r="L1017">
        <v>318942</v>
      </c>
    </row>
    <row r="1018" spans="1:12" x14ac:dyDescent="0.35">
      <c r="A1018">
        <v>2025</v>
      </c>
      <c r="B1018">
        <v>12</v>
      </c>
      <c r="C1018" t="s">
        <v>75</v>
      </c>
      <c r="D1018" t="s">
        <v>125</v>
      </c>
      <c r="E1018" t="s">
        <v>126</v>
      </c>
      <c r="F1018">
        <v>212</v>
      </c>
      <c r="G1018">
        <v>439785</v>
      </c>
      <c r="H1018">
        <v>373474</v>
      </c>
      <c r="I1018">
        <v>325286</v>
      </c>
      <c r="J1018">
        <v>692590</v>
      </c>
      <c r="K1018">
        <v>357366</v>
      </c>
      <c r="L1018">
        <v>561038</v>
      </c>
    </row>
    <row r="1019" spans="1:12" x14ac:dyDescent="0.35">
      <c r="A1019">
        <v>2025</v>
      </c>
      <c r="B1019">
        <v>12</v>
      </c>
      <c r="C1019" t="s">
        <v>75</v>
      </c>
      <c r="D1019" t="s">
        <v>127</v>
      </c>
      <c r="E1019" t="s">
        <v>128</v>
      </c>
      <c r="F1019">
        <v>6242</v>
      </c>
      <c r="G1019">
        <v>893475</v>
      </c>
      <c r="H1019">
        <v>838355</v>
      </c>
      <c r="I1019">
        <v>656667</v>
      </c>
      <c r="J1019">
        <v>1451081</v>
      </c>
      <c r="K1019">
        <v>718145</v>
      </c>
      <c r="L1019">
        <v>1056608</v>
      </c>
    </row>
    <row r="1020" spans="1:12" x14ac:dyDescent="0.35">
      <c r="A1020">
        <v>2025</v>
      </c>
      <c r="B1020">
        <v>12</v>
      </c>
      <c r="C1020" t="s">
        <v>75</v>
      </c>
      <c r="D1020" t="s">
        <v>129</v>
      </c>
      <c r="E1020" t="s">
        <v>130</v>
      </c>
      <c r="F1020">
        <v>324</v>
      </c>
      <c r="G1020">
        <v>505603</v>
      </c>
      <c r="H1020">
        <v>472023</v>
      </c>
      <c r="I1020">
        <v>342134</v>
      </c>
      <c r="J1020">
        <v>758970</v>
      </c>
      <c r="K1020">
        <v>412540</v>
      </c>
      <c r="L1020">
        <v>612737</v>
      </c>
    </row>
    <row r="1021" spans="1:12" x14ac:dyDescent="0.35">
      <c r="A1021">
        <v>2025</v>
      </c>
      <c r="B1021">
        <v>12</v>
      </c>
      <c r="C1021" t="s">
        <v>75</v>
      </c>
      <c r="D1021" t="s">
        <v>131</v>
      </c>
      <c r="E1021" t="s">
        <v>132</v>
      </c>
      <c r="F1021">
        <v>37811</v>
      </c>
      <c r="G1021">
        <v>524230</v>
      </c>
      <c r="H1021">
        <v>491555</v>
      </c>
      <c r="I1021">
        <v>333389</v>
      </c>
      <c r="J1021">
        <v>887702</v>
      </c>
      <c r="K1021">
        <v>441838</v>
      </c>
      <c r="L1021">
        <v>587515</v>
      </c>
    </row>
    <row r="1022" spans="1:12" x14ac:dyDescent="0.35">
      <c r="A1022">
        <v>2025</v>
      </c>
      <c r="B1022">
        <v>12</v>
      </c>
      <c r="C1022" t="s">
        <v>75</v>
      </c>
      <c r="D1022" t="s">
        <v>133</v>
      </c>
      <c r="E1022" t="s">
        <v>134</v>
      </c>
      <c r="F1022">
        <v>89712</v>
      </c>
      <c r="G1022">
        <v>390186</v>
      </c>
      <c r="H1022">
        <v>402540</v>
      </c>
      <c r="I1022">
        <v>266776</v>
      </c>
      <c r="J1022">
        <v>584647</v>
      </c>
      <c r="K1022">
        <v>298672</v>
      </c>
      <c r="L1022">
        <v>446936</v>
      </c>
    </row>
    <row r="1023" spans="1:12" x14ac:dyDescent="0.35">
      <c r="A1023">
        <v>2025</v>
      </c>
      <c r="B1023">
        <v>12</v>
      </c>
      <c r="C1023" t="s">
        <v>75</v>
      </c>
      <c r="D1023" t="s">
        <v>135</v>
      </c>
      <c r="E1023" t="s">
        <v>136</v>
      </c>
      <c r="F1023">
        <v>23843</v>
      </c>
      <c r="G1023">
        <v>694530</v>
      </c>
      <c r="H1023">
        <v>689955</v>
      </c>
      <c r="I1023">
        <v>398882</v>
      </c>
      <c r="J1023">
        <v>1034206</v>
      </c>
      <c r="K1023">
        <v>612737</v>
      </c>
      <c r="L1023">
        <v>795448</v>
      </c>
    </row>
    <row r="1024" spans="1:12" x14ac:dyDescent="0.35">
      <c r="A1024">
        <v>2025</v>
      </c>
      <c r="B1024">
        <v>12</v>
      </c>
      <c r="C1024" t="s">
        <v>75</v>
      </c>
      <c r="D1024" t="s">
        <v>137</v>
      </c>
      <c r="E1024" t="s">
        <v>138</v>
      </c>
      <c r="F1024">
        <v>12591</v>
      </c>
      <c r="G1024">
        <v>448654</v>
      </c>
      <c r="H1024">
        <v>433044</v>
      </c>
      <c r="I1024">
        <v>262563</v>
      </c>
      <c r="J1024">
        <v>828589</v>
      </c>
      <c r="K1024">
        <v>365926</v>
      </c>
      <c r="L1024">
        <v>509055</v>
      </c>
    </row>
    <row r="1025" spans="1:12" x14ac:dyDescent="0.35">
      <c r="A1025">
        <v>2025</v>
      </c>
      <c r="B1025">
        <v>12</v>
      </c>
      <c r="C1025" t="s">
        <v>75</v>
      </c>
      <c r="D1025" t="s">
        <v>139</v>
      </c>
      <c r="E1025" t="s">
        <v>140</v>
      </c>
      <c r="F1025">
        <v>25</v>
      </c>
      <c r="G1025">
        <v>628144</v>
      </c>
      <c r="H1025">
        <v>630237</v>
      </c>
      <c r="I1025">
        <v>533722</v>
      </c>
      <c r="J1025">
        <v>723970</v>
      </c>
      <c r="K1025">
        <v>615237</v>
      </c>
      <c r="L1025">
        <v>642737</v>
      </c>
    </row>
    <row r="1026" spans="1:12" x14ac:dyDescent="0.35">
      <c r="A1026">
        <v>2025</v>
      </c>
      <c r="B1026">
        <v>12</v>
      </c>
      <c r="C1026" t="s">
        <v>75</v>
      </c>
      <c r="D1026" t="s">
        <v>141</v>
      </c>
      <c r="E1026" t="s">
        <v>142</v>
      </c>
      <c r="F1026">
        <v>1003</v>
      </c>
      <c r="G1026">
        <v>507493</v>
      </c>
      <c r="H1026">
        <v>501555</v>
      </c>
      <c r="I1026">
        <v>342134</v>
      </c>
      <c r="J1026">
        <v>758687</v>
      </c>
      <c r="K1026">
        <v>451838</v>
      </c>
      <c r="L1026">
        <v>548722</v>
      </c>
    </row>
    <row r="1027" spans="1:12" x14ac:dyDescent="0.35">
      <c r="A1027">
        <v>2025</v>
      </c>
      <c r="B1027">
        <v>12</v>
      </c>
      <c r="C1027" t="s">
        <v>75</v>
      </c>
      <c r="D1027" t="s">
        <v>143</v>
      </c>
      <c r="E1027" t="s">
        <v>144</v>
      </c>
      <c r="F1027">
        <v>5349</v>
      </c>
      <c r="G1027">
        <v>287679</v>
      </c>
      <c r="H1027">
        <v>283486</v>
      </c>
      <c r="I1027">
        <v>229743</v>
      </c>
      <c r="J1027">
        <v>439017</v>
      </c>
      <c r="K1027">
        <v>265986</v>
      </c>
      <c r="L1027">
        <v>305519</v>
      </c>
    </row>
    <row r="1028" spans="1:12" x14ac:dyDescent="0.35">
      <c r="A1028">
        <v>2025</v>
      </c>
      <c r="B1028">
        <v>12</v>
      </c>
      <c r="C1028" t="s">
        <v>75</v>
      </c>
      <c r="D1028" t="s">
        <v>145</v>
      </c>
      <c r="E1028" t="s">
        <v>146</v>
      </c>
      <c r="F1028">
        <v>118</v>
      </c>
      <c r="G1028">
        <v>438449</v>
      </c>
      <c r="H1028">
        <v>446936</v>
      </c>
      <c r="I1028">
        <v>341073</v>
      </c>
      <c r="J1028">
        <v>590806</v>
      </c>
      <c r="K1028">
        <v>382824</v>
      </c>
      <c r="L1028">
        <v>470544</v>
      </c>
    </row>
    <row r="1029" spans="1:12" x14ac:dyDescent="0.35">
      <c r="A1029">
        <v>2025</v>
      </c>
      <c r="B1029">
        <v>12</v>
      </c>
      <c r="C1029" t="s">
        <v>75</v>
      </c>
      <c r="D1029" t="s">
        <v>147</v>
      </c>
      <c r="E1029" t="s">
        <v>148</v>
      </c>
      <c r="F1029">
        <v>129</v>
      </c>
      <c r="G1029">
        <v>343435</v>
      </c>
      <c r="H1029">
        <v>321073</v>
      </c>
      <c r="I1029">
        <v>297836</v>
      </c>
      <c r="J1029">
        <v>455544</v>
      </c>
      <c r="K1029">
        <v>310336</v>
      </c>
      <c r="L1029">
        <v>351073</v>
      </c>
    </row>
    <row r="1030" spans="1:12" x14ac:dyDescent="0.35">
      <c r="A1030">
        <v>2025</v>
      </c>
      <c r="B1030">
        <v>12</v>
      </c>
      <c r="C1030" t="s">
        <v>75</v>
      </c>
      <c r="D1030" t="s">
        <v>149</v>
      </c>
      <c r="E1030" t="s">
        <v>150</v>
      </c>
      <c r="F1030">
        <v>1971</v>
      </c>
      <c r="G1030">
        <v>406607</v>
      </c>
      <c r="H1030">
        <v>373474</v>
      </c>
      <c r="I1030">
        <v>297836</v>
      </c>
      <c r="J1030">
        <v>735916</v>
      </c>
      <c r="K1030">
        <v>345790</v>
      </c>
      <c r="L1030">
        <v>431936</v>
      </c>
    </row>
    <row r="1031" spans="1:12" x14ac:dyDescent="0.35">
      <c r="A1031">
        <v>2025</v>
      </c>
      <c r="B1031">
        <v>12</v>
      </c>
      <c r="C1031" t="s">
        <v>75</v>
      </c>
      <c r="D1031" t="s">
        <v>151</v>
      </c>
      <c r="E1031" t="s">
        <v>152</v>
      </c>
      <c r="F1031">
        <v>687</v>
      </c>
      <c r="G1031">
        <v>1005298</v>
      </c>
      <c r="H1031">
        <v>1036585</v>
      </c>
      <c r="I1031">
        <v>690287</v>
      </c>
      <c r="J1031">
        <v>1293457</v>
      </c>
      <c r="K1031">
        <v>904477</v>
      </c>
      <c r="L1031">
        <v>1116708</v>
      </c>
    </row>
    <row r="1032" spans="1:12" x14ac:dyDescent="0.35">
      <c r="A1032">
        <v>2025</v>
      </c>
      <c r="B1032">
        <v>12</v>
      </c>
      <c r="C1032" t="s">
        <v>75</v>
      </c>
      <c r="D1032" t="s">
        <v>153</v>
      </c>
      <c r="E1032" t="s">
        <v>154</v>
      </c>
      <c r="F1032">
        <v>169</v>
      </c>
      <c r="G1032">
        <v>621759</v>
      </c>
      <c r="H1032">
        <v>638897</v>
      </c>
      <c r="I1032">
        <v>411062</v>
      </c>
      <c r="J1032">
        <v>817666</v>
      </c>
      <c r="K1032">
        <v>513549</v>
      </c>
      <c r="L1032">
        <v>738280</v>
      </c>
    </row>
    <row r="1033" spans="1:12" x14ac:dyDescent="0.35">
      <c r="A1033">
        <v>2025</v>
      </c>
      <c r="B1033">
        <v>12</v>
      </c>
      <c r="C1033" t="s">
        <v>75</v>
      </c>
      <c r="D1033" t="s">
        <v>155</v>
      </c>
      <c r="E1033" t="s">
        <v>156</v>
      </c>
      <c r="F1033">
        <v>1006</v>
      </c>
      <c r="G1033">
        <v>395481</v>
      </c>
      <c r="H1033">
        <v>378795</v>
      </c>
      <c r="I1033">
        <v>262564</v>
      </c>
      <c r="J1033">
        <v>707824</v>
      </c>
      <c r="K1033">
        <v>320519</v>
      </c>
      <c r="L1033">
        <v>432540</v>
      </c>
    </row>
    <row r="1034" spans="1:12" x14ac:dyDescent="0.35">
      <c r="A1034">
        <v>2025</v>
      </c>
      <c r="B1034">
        <v>12</v>
      </c>
      <c r="C1034" t="s">
        <v>75</v>
      </c>
      <c r="D1034" t="s">
        <v>157</v>
      </c>
      <c r="E1034" t="s">
        <v>158</v>
      </c>
      <c r="F1034">
        <v>182</v>
      </c>
      <c r="G1034">
        <v>471121</v>
      </c>
      <c r="H1034">
        <v>432540</v>
      </c>
      <c r="I1034">
        <v>330286</v>
      </c>
      <c r="J1034">
        <v>690140</v>
      </c>
      <c r="K1034">
        <v>392822</v>
      </c>
      <c r="L1034">
        <v>543403</v>
      </c>
    </row>
    <row r="1035" spans="1:12" x14ac:dyDescent="0.35">
      <c r="A1035">
        <v>2025</v>
      </c>
      <c r="B1035">
        <v>12</v>
      </c>
      <c r="C1035" t="s">
        <v>75</v>
      </c>
      <c r="D1035" t="s">
        <v>159</v>
      </c>
      <c r="E1035" t="s">
        <v>160</v>
      </c>
      <c r="F1035">
        <v>419</v>
      </c>
      <c r="G1035">
        <v>441979</v>
      </c>
      <c r="H1035">
        <v>429485</v>
      </c>
      <c r="I1035">
        <v>302836</v>
      </c>
      <c r="J1035">
        <v>704351</v>
      </c>
      <c r="K1035">
        <v>360974</v>
      </c>
      <c r="L1035">
        <v>480495</v>
      </c>
    </row>
    <row r="1036" spans="1:12" x14ac:dyDescent="0.35">
      <c r="A1036">
        <v>2025</v>
      </c>
      <c r="B1036">
        <v>12</v>
      </c>
      <c r="C1036" t="s">
        <v>75</v>
      </c>
      <c r="D1036" t="s">
        <v>161</v>
      </c>
      <c r="E1036" t="s">
        <v>162</v>
      </c>
      <c r="F1036">
        <v>122</v>
      </c>
      <c r="G1036">
        <v>484446</v>
      </c>
      <c r="H1036">
        <v>458020</v>
      </c>
      <c r="I1036">
        <v>325655</v>
      </c>
      <c r="J1036">
        <v>704353</v>
      </c>
      <c r="K1036">
        <v>373474</v>
      </c>
      <c r="L1036">
        <v>576038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7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163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164</v>
      </c>
      <c r="E5" t="s">
        <v>165</v>
      </c>
      <c r="F5">
        <v>73</v>
      </c>
      <c r="G5">
        <v>308662</v>
      </c>
      <c r="H5">
        <v>307563</v>
      </c>
      <c r="I5">
        <v>270064</v>
      </c>
      <c r="J5">
        <v>365052</v>
      </c>
      <c r="K5">
        <v>290986</v>
      </c>
      <c r="L5">
        <v>321442</v>
      </c>
    </row>
    <row r="6" spans="1:12" x14ac:dyDescent="0.35">
      <c r="A6">
        <v>2024</v>
      </c>
      <c r="B6">
        <v>1</v>
      </c>
      <c r="C6" t="s">
        <v>42</v>
      </c>
      <c r="D6" t="s">
        <v>166</v>
      </c>
      <c r="E6" t="s">
        <v>167</v>
      </c>
      <c r="F6">
        <v>2661</v>
      </c>
      <c r="G6">
        <v>251962</v>
      </c>
      <c r="H6">
        <v>231922</v>
      </c>
      <c r="I6">
        <v>191417</v>
      </c>
      <c r="J6">
        <v>465963</v>
      </c>
      <c r="K6">
        <v>212526</v>
      </c>
      <c r="L6">
        <v>275986</v>
      </c>
    </row>
    <row r="7" spans="1:12" x14ac:dyDescent="0.35">
      <c r="A7">
        <v>2024</v>
      </c>
      <c r="B7">
        <v>1</v>
      </c>
      <c r="C7" t="s">
        <v>42</v>
      </c>
      <c r="D7" t="s">
        <v>168</v>
      </c>
      <c r="E7" t="s">
        <v>169</v>
      </c>
      <c r="F7">
        <v>41</v>
      </c>
      <c r="G7">
        <v>292069</v>
      </c>
      <c r="H7">
        <v>285752</v>
      </c>
      <c r="I7">
        <v>262564</v>
      </c>
      <c r="J7">
        <v>330519</v>
      </c>
      <c r="K7">
        <v>270986</v>
      </c>
      <c r="L7">
        <v>313252</v>
      </c>
    </row>
    <row r="8" spans="1:12" x14ac:dyDescent="0.35">
      <c r="A8">
        <v>2024</v>
      </c>
      <c r="B8">
        <v>1</v>
      </c>
      <c r="C8" t="s">
        <v>42</v>
      </c>
      <c r="D8" t="s">
        <v>170</v>
      </c>
      <c r="E8" t="s">
        <v>171</v>
      </c>
      <c r="F8">
        <v>12</v>
      </c>
      <c r="G8">
        <v>281832</v>
      </c>
      <c r="H8">
        <v>285064</v>
      </c>
      <c r="I8">
        <v>262564</v>
      </c>
      <c r="J8">
        <v>298486</v>
      </c>
      <c r="K8">
        <v>275986</v>
      </c>
      <c r="L8">
        <v>290986</v>
      </c>
    </row>
    <row r="9" spans="1:12" x14ac:dyDescent="0.35">
      <c r="A9">
        <v>2024</v>
      </c>
      <c r="B9">
        <v>1</v>
      </c>
      <c r="C9" t="s">
        <v>42</v>
      </c>
      <c r="D9" t="s">
        <v>172</v>
      </c>
      <c r="E9" t="s">
        <v>173</v>
      </c>
      <c r="F9">
        <v>642</v>
      </c>
      <c r="G9">
        <v>240686</v>
      </c>
      <c r="H9">
        <v>240765</v>
      </c>
      <c r="I9">
        <v>207526</v>
      </c>
      <c r="J9">
        <v>289324</v>
      </c>
      <c r="K9">
        <v>227895</v>
      </c>
      <c r="L9">
        <v>250395</v>
      </c>
    </row>
    <row r="10" spans="1:12" x14ac:dyDescent="0.35">
      <c r="A10">
        <v>2024</v>
      </c>
      <c r="B10">
        <v>1</v>
      </c>
      <c r="C10" t="s">
        <v>42</v>
      </c>
      <c r="D10" t="s">
        <v>174</v>
      </c>
      <c r="E10" t="s">
        <v>175</v>
      </c>
      <c r="F10">
        <v>97</v>
      </c>
      <c r="G10">
        <v>282788</v>
      </c>
      <c r="H10">
        <v>280512</v>
      </c>
      <c r="I10">
        <v>262564</v>
      </c>
      <c r="J10">
        <v>320752</v>
      </c>
      <c r="K10">
        <v>275986</v>
      </c>
      <c r="L10">
        <v>290986</v>
      </c>
    </row>
    <row r="11" spans="1:12" x14ac:dyDescent="0.35">
      <c r="A11">
        <v>2024</v>
      </c>
      <c r="B11">
        <v>1</v>
      </c>
      <c r="C11" t="s">
        <v>42</v>
      </c>
      <c r="D11" t="s">
        <v>176</v>
      </c>
      <c r="E11" t="s">
        <v>177</v>
      </c>
      <c r="F11">
        <v>5</v>
      </c>
      <c r="G11">
        <v>368556</v>
      </c>
      <c r="H11">
        <v>371295</v>
      </c>
      <c r="I11">
        <v>280063</v>
      </c>
      <c r="J11">
        <v>445729</v>
      </c>
      <c r="K11">
        <v>365974</v>
      </c>
      <c r="L11">
        <v>379719</v>
      </c>
    </row>
    <row r="12" spans="1:12" x14ac:dyDescent="0.35">
      <c r="A12">
        <v>2024</v>
      </c>
      <c r="B12">
        <v>1</v>
      </c>
      <c r="C12" t="s">
        <v>42</v>
      </c>
      <c r="D12" t="s">
        <v>178</v>
      </c>
      <c r="E12" t="s">
        <v>179</v>
      </c>
      <c r="F12">
        <v>26</v>
      </c>
      <c r="G12">
        <v>282332</v>
      </c>
      <c r="H12">
        <v>275986</v>
      </c>
      <c r="I12">
        <v>275986</v>
      </c>
      <c r="J12">
        <v>298486</v>
      </c>
      <c r="K12">
        <v>275986</v>
      </c>
      <c r="L12">
        <v>290986</v>
      </c>
    </row>
    <row r="13" spans="1:12" x14ac:dyDescent="0.35">
      <c r="A13">
        <v>2024</v>
      </c>
      <c r="B13">
        <v>1</v>
      </c>
      <c r="C13" t="s">
        <v>42</v>
      </c>
      <c r="D13" t="s">
        <v>180</v>
      </c>
      <c r="E13" t="s">
        <v>181</v>
      </c>
      <c r="F13">
        <v>3947</v>
      </c>
      <c r="G13">
        <v>321010</v>
      </c>
      <c r="H13">
        <v>313019</v>
      </c>
      <c r="I13">
        <v>260064</v>
      </c>
      <c r="J13">
        <v>466517</v>
      </c>
      <c r="K13">
        <v>288252</v>
      </c>
      <c r="L13">
        <v>343019</v>
      </c>
    </row>
    <row r="14" spans="1:12" x14ac:dyDescent="0.35">
      <c r="A14">
        <v>2024</v>
      </c>
      <c r="B14">
        <v>1</v>
      </c>
      <c r="C14" t="s">
        <v>42</v>
      </c>
      <c r="D14" t="s">
        <v>182</v>
      </c>
      <c r="E14" t="s">
        <v>183</v>
      </c>
      <c r="F14">
        <v>149</v>
      </c>
      <c r="G14">
        <v>353901</v>
      </c>
      <c r="H14">
        <v>333942</v>
      </c>
      <c r="I14">
        <v>262564</v>
      </c>
      <c r="J14">
        <v>466517</v>
      </c>
      <c r="K14">
        <v>305519</v>
      </c>
      <c r="L14">
        <v>399719</v>
      </c>
    </row>
    <row r="15" spans="1:12" x14ac:dyDescent="0.35">
      <c r="A15">
        <v>2024</v>
      </c>
      <c r="B15">
        <v>1</v>
      </c>
      <c r="C15" t="s">
        <v>42</v>
      </c>
      <c r="D15" t="s">
        <v>184</v>
      </c>
      <c r="E15" t="s">
        <v>185</v>
      </c>
      <c r="F15">
        <v>2</v>
      </c>
      <c r="G15">
        <v>364029</v>
      </c>
      <c r="H15">
        <v>364029</v>
      </c>
      <c r="I15">
        <v>328573</v>
      </c>
      <c r="J15">
        <v>399485</v>
      </c>
      <c r="K15">
        <v>328573</v>
      </c>
      <c r="L15">
        <v>399485</v>
      </c>
    </row>
    <row r="16" spans="1:12" x14ac:dyDescent="0.35">
      <c r="A16">
        <v>2024</v>
      </c>
      <c r="B16">
        <v>1</v>
      </c>
      <c r="C16" t="s">
        <v>42</v>
      </c>
      <c r="D16" t="s">
        <v>186</v>
      </c>
      <c r="E16" t="s">
        <v>187</v>
      </c>
      <c r="F16">
        <v>865</v>
      </c>
      <c r="G16">
        <v>283456</v>
      </c>
      <c r="H16">
        <v>275986</v>
      </c>
      <c r="I16">
        <v>260064</v>
      </c>
      <c r="J16">
        <v>510348</v>
      </c>
      <c r="K16">
        <v>270986</v>
      </c>
      <c r="L16">
        <v>290986</v>
      </c>
    </row>
    <row r="17" spans="1:12" x14ac:dyDescent="0.35">
      <c r="A17">
        <v>2024</v>
      </c>
      <c r="B17">
        <v>1</v>
      </c>
      <c r="C17" t="s">
        <v>42</v>
      </c>
      <c r="D17" t="s">
        <v>188</v>
      </c>
      <c r="E17" t="s">
        <v>189</v>
      </c>
      <c r="F17">
        <v>931</v>
      </c>
      <c r="G17">
        <v>415170</v>
      </c>
      <c r="H17">
        <v>388241</v>
      </c>
      <c r="I17">
        <v>309915</v>
      </c>
      <c r="J17">
        <v>722630</v>
      </c>
      <c r="K17">
        <v>357134</v>
      </c>
      <c r="L17">
        <v>461234</v>
      </c>
    </row>
    <row r="18" spans="1:12" x14ac:dyDescent="0.35">
      <c r="A18">
        <v>2024</v>
      </c>
      <c r="B18">
        <v>1</v>
      </c>
      <c r="C18" t="s">
        <v>42</v>
      </c>
      <c r="D18" t="s">
        <v>190</v>
      </c>
      <c r="E18" t="s">
        <v>191</v>
      </c>
      <c r="F18">
        <v>13330</v>
      </c>
      <c r="G18">
        <v>275575</v>
      </c>
      <c r="H18">
        <v>252427</v>
      </c>
      <c r="I18">
        <v>191417</v>
      </c>
      <c r="J18">
        <v>625289</v>
      </c>
      <c r="K18">
        <v>220395</v>
      </c>
      <c r="L18">
        <v>310336</v>
      </c>
    </row>
    <row r="19" spans="1:12" x14ac:dyDescent="0.35">
      <c r="A19">
        <v>2024</v>
      </c>
      <c r="B19">
        <v>1</v>
      </c>
      <c r="C19" t="s">
        <v>42</v>
      </c>
      <c r="D19" t="s">
        <v>192</v>
      </c>
      <c r="E19" t="s">
        <v>193</v>
      </c>
      <c r="F19">
        <v>146</v>
      </c>
      <c r="G19">
        <v>320625</v>
      </c>
      <c r="H19">
        <v>313136</v>
      </c>
      <c r="I19">
        <v>262564</v>
      </c>
      <c r="J19">
        <v>435729</v>
      </c>
      <c r="K19">
        <v>298252</v>
      </c>
      <c r="L19">
        <v>335519</v>
      </c>
    </row>
    <row r="20" spans="1:12" x14ac:dyDescent="0.35">
      <c r="A20">
        <v>2024</v>
      </c>
      <c r="B20">
        <v>1</v>
      </c>
      <c r="C20" t="s">
        <v>42</v>
      </c>
      <c r="D20" t="s">
        <v>194</v>
      </c>
      <c r="E20" t="s">
        <v>195</v>
      </c>
      <c r="F20">
        <v>3529</v>
      </c>
      <c r="G20">
        <v>274167</v>
      </c>
      <c r="H20">
        <v>246184</v>
      </c>
      <c r="I20">
        <v>206184</v>
      </c>
      <c r="J20">
        <v>597515</v>
      </c>
      <c r="K20">
        <v>228684</v>
      </c>
      <c r="L20">
        <v>310986</v>
      </c>
    </row>
    <row r="21" spans="1:12" x14ac:dyDescent="0.35">
      <c r="A21">
        <v>2024</v>
      </c>
      <c r="B21">
        <v>1</v>
      </c>
      <c r="C21" t="s">
        <v>42</v>
      </c>
      <c r="D21" t="s">
        <v>196</v>
      </c>
      <c r="E21" t="s">
        <v>197</v>
      </c>
      <c r="F21">
        <v>2457</v>
      </c>
      <c r="G21">
        <v>321804</v>
      </c>
      <c r="H21">
        <v>313575</v>
      </c>
      <c r="I21">
        <v>203868</v>
      </c>
      <c r="J21">
        <v>578070</v>
      </c>
      <c r="K21">
        <v>265988</v>
      </c>
      <c r="L21">
        <v>385322</v>
      </c>
    </row>
    <row r="22" spans="1:12" x14ac:dyDescent="0.35">
      <c r="A22">
        <v>2024</v>
      </c>
      <c r="B22">
        <v>1</v>
      </c>
      <c r="C22" t="s">
        <v>42</v>
      </c>
      <c r="D22" t="s">
        <v>198</v>
      </c>
      <c r="E22" t="s">
        <v>199</v>
      </c>
      <c r="F22">
        <v>154</v>
      </c>
      <c r="G22">
        <v>412582</v>
      </c>
      <c r="H22">
        <v>406985</v>
      </c>
      <c r="I22">
        <v>313573</v>
      </c>
      <c r="J22">
        <v>560804</v>
      </c>
      <c r="K22">
        <v>390322</v>
      </c>
      <c r="L22">
        <v>424485</v>
      </c>
    </row>
    <row r="23" spans="1:12" x14ac:dyDescent="0.35">
      <c r="A23">
        <v>2024</v>
      </c>
      <c r="B23">
        <v>1</v>
      </c>
      <c r="C23" t="s">
        <v>42</v>
      </c>
      <c r="D23" t="s">
        <v>200</v>
      </c>
      <c r="E23" t="s">
        <v>201</v>
      </c>
      <c r="F23">
        <v>436</v>
      </c>
      <c r="G23">
        <v>352834</v>
      </c>
      <c r="H23">
        <v>349263</v>
      </c>
      <c r="I23">
        <v>270988</v>
      </c>
      <c r="J23">
        <v>470544</v>
      </c>
      <c r="K23">
        <v>308575</v>
      </c>
      <c r="L23">
        <v>393795</v>
      </c>
    </row>
    <row r="24" spans="1:12" x14ac:dyDescent="0.35">
      <c r="A24">
        <v>2024</v>
      </c>
      <c r="B24">
        <v>1</v>
      </c>
      <c r="C24" t="s">
        <v>42</v>
      </c>
      <c r="D24" t="s">
        <v>202</v>
      </c>
      <c r="E24" t="s">
        <v>203</v>
      </c>
      <c r="F24">
        <v>1228</v>
      </c>
      <c r="G24">
        <v>307775</v>
      </c>
      <c r="H24">
        <v>298252</v>
      </c>
      <c r="I24">
        <v>194102</v>
      </c>
      <c r="J24">
        <v>460963</v>
      </c>
      <c r="K24">
        <v>264509</v>
      </c>
      <c r="L24">
        <v>361295</v>
      </c>
    </row>
    <row r="25" spans="1:12" x14ac:dyDescent="0.35">
      <c r="A25">
        <v>2024</v>
      </c>
      <c r="B25">
        <v>1</v>
      </c>
      <c r="C25" t="s">
        <v>42</v>
      </c>
      <c r="D25" t="s">
        <v>204</v>
      </c>
      <c r="E25" t="s">
        <v>205</v>
      </c>
      <c r="F25">
        <v>366</v>
      </c>
      <c r="G25">
        <v>376795</v>
      </c>
      <c r="H25">
        <v>375322</v>
      </c>
      <c r="I25">
        <v>262564</v>
      </c>
      <c r="J25">
        <v>582515</v>
      </c>
      <c r="K25">
        <v>328019</v>
      </c>
      <c r="L25">
        <v>416985</v>
      </c>
    </row>
    <row r="26" spans="1:12" x14ac:dyDescent="0.35">
      <c r="A26">
        <v>2024</v>
      </c>
      <c r="B26">
        <v>1</v>
      </c>
      <c r="C26" t="s">
        <v>42</v>
      </c>
      <c r="D26" t="s">
        <v>206</v>
      </c>
      <c r="E26" t="s">
        <v>207</v>
      </c>
      <c r="F26">
        <v>2422</v>
      </c>
      <c r="G26">
        <v>293681</v>
      </c>
      <c r="H26">
        <v>283486</v>
      </c>
      <c r="I26">
        <v>239743</v>
      </c>
      <c r="J26">
        <v>458463</v>
      </c>
      <c r="K26">
        <v>273671</v>
      </c>
      <c r="L26">
        <v>300752</v>
      </c>
    </row>
    <row r="27" spans="1:12" x14ac:dyDescent="0.35">
      <c r="A27">
        <v>2024</v>
      </c>
      <c r="B27">
        <v>1</v>
      </c>
      <c r="C27" t="s">
        <v>42</v>
      </c>
      <c r="D27" t="s">
        <v>208</v>
      </c>
      <c r="E27" t="s">
        <v>209</v>
      </c>
      <c r="F27">
        <v>5</v>
      </c>
      <c r="G27">
        <v>260157</v>
      </c>
      <c r="H27">
        <v>261590</v>
      </c>
      <c r="I27">
        <v>250716</v>
      </c>
      <c r="J27">
        <v>266590</v>
      </c>
      <c r="K27">
        <v>255297</v>
      </c>
      <c r="L27">
        <v>266590</v>
      </c>
    </row>
    <row r="28" spans="1:12" x14ac:dyDescent="0.35">
      <c r="A28">
        <v>2024</v>
      </c>
      <c r="B28">
        <v>1</v>
      </c>
      <c r="C28" t="s">
        <v>42</v>
      </c>
      <c r="D28" t="s">
        <v>210</v>
      </c>
      <c r="E28" t="s">
        <v>211</v>
      </c>
      <c r="F28">
        <v>3</v>
      </c>
      <c r="G28">
        <v>351656</v>
      </c>
      <c r="H28">
        <v>328807</v>
      </c>
      <c r="I28">
        <v>328019</v>
      </c>
      <c r="J28">
        <v>398143</v>
      </c>
      <c r="K28">
        <v>328807</v>
      </c>
      <c r="L28">
        <v>398143</v>
      </c>
    </row>
    <row r="29" spans="1:12" x14ac:dyDescent="0.35">
      <c r="A29">
        <v>2024</v>
      </c>
      <c r="B29">
        <v>2</v>
      </c>
      <c r="C29" t="s">
        <v>63</v>
      </c>
      <c r="D29" t="s">
        <v>164</v>
      </c>
      <c r="E29" t="s">
        <v>165</v>
      </c>
      <c r="F29">
        <v>73</v>
      </c>
      <c r="G29">
        <v>309669</v>
      </c>
      <c r="H29">
        <v>308019</v>
      </c>
      <c r="I29">
        <v>270064</v>
      </c>
      <c r="J29">
        <v>365052</v>
      </c>
      <c r="K29">
        <v>290986</v>
      </c>
      <c r="L29">
        <v>326442</v>
      </c>
    </row>
    <row r="30" spans="1:12" x14ac:dyDescent="0.35">
      <c r="A30">
        <v>2024</v>
      </c>
      <c r="B30">
        <v>2</v>
      </c>
      <c r="C30" t="s">
        <v>63</v>
      </c>
      <c r="D30" t="s">
        <v>166</v>
      </c>
      <c r="E30" t="s">
        <v>167</v>
      </c>
      <c r="F30">
        <v>2707</v>
      </c>
      <c r="G30">
        <v>251922</v>
      </c>
      <c r="H30">
        <v>232398</v>
      </c>
      <c r="I30">
        <v>191417</v>
      </c>
      <c r="J30">
        <v>453229</v>
      </c>
      <c r="K30">
        <v>212895</v>
      </c>
      <c r="L30">
        <v>275986</v>
      </c>
    </row>
    <row r="31" spans="1:12" x14ac:dyDescent="0.35">
      <c r="A31">
        <v>2024</v>
      </c>
      <c r="B31">
        <v>2</v>
      </c>
      <c r="C31" t="s">
        <v>63</v>
      </c>
      <c r="D31" t="s">
        <v>168</v>
      </c>
      <c r="E31" t="s">
        <v>169</v>
      </c>
      <c r="F31">
        <v>48</v>
      </c>
      <c r="G31">
        <v>289740</v>
      </c>
      <c r="H31">
        <v>286978</v>
      </c>
      <c r="I31">
        <v>262564</v>
      </c>
      <c r="J31">
        <v>330519</v>
      </c>
      <c r="K31">
        <v>270064</v>
      </c>
      <c r="L31">
        <v>313019</v>
      </c>
    </row>
    <row r="32" spans="1:12" x14ac:dyDescent="0.35">
      <c r="A32">
        <v>2024</v>
      </c>
      <c r="B32">
        <v>2</v>
      </c>
      <c r="C32" t="s">
        <v>63</v>
      </c>
      <c r="D32" t="s">
        <v>170</v>
      </c>
      <c r="E32" t="s">
        <v>171</v>
      </c>
      <c r="F32">
        <v>12</v>
      </c>
      <c r="G32">
        <v>282457</v>
      </c>
      <c r="H32">
        <v>285064</v>
      </c>
      <c r="I32">
        <v>262564</v>
      </c>
      <c r="J32">
        <v>298486</v>
      </c>
      <c r="K32">
        <v>283486</v>
      </c>
      <c r="L32">
        <v>290986</v>
      </c>
    </row>
    <row r="33" spans="1:12" x14ac:dyDescent="0.35">
      <c r="A33">
        <v>2024</v>
      </c>
      <c r="B33">
        <v>2</v>
      </c>
      <c r="C33" t="s">
        <v>63</v>
      </c>
      <c r="D33" t="s">
        <v>172</v>
      </c>
      <c r="E33" t="s">
        <v>173</v>
      </c>
      <c r="F33">
        <v>643</v>
      </c>
      <c r="G33">
        <v>244047</v>
      </c>
      <c r="H33">
        <v>242895</v>
      </c>
      <c r="I33">
        <v>207710</v>
      </c>
      <c r="J33">
        <v>289324</v>
      </c>
      <c r="K33">
        <v>230995</v>
      </c>
      <c r="L33">
        <v>255297</v>
      </c>
    </row>
    <row r="34" spans="1:12" x14ac:dyDescent="0.35">
      <c r="A34">
        <v>2024</v>
      </c>
      <c r="B34">
        <v>2</v>
      </c>
      <c r="C34" t="s">
        <v>63</v>
      </c>
      <c r="D34" t="s">
        <v>174</v>
      </c>
      <c r="E34" t="s">
        <v>175</v>
      </c>
      <c r="F34">
        <v>107</v>
      </c>
      <c r="G34">
        <v>282210</v>
      </c>
      <c r="H34">
        <v>276615</v>
      </c>
      <c r="I34">
        <v>262564</v>
      </c>
      <c r="J34">
        <v>329334</v>
      </c>
      <c r="K34">
        <v>272564</v>
      </c>
      <c r="L34">
        <v>290986</v>
      </c>
    </row>
    <row r="35" spans="1:12" x14ac:dyDescent="0.35">
      <c r="A35">
        <v>2024</v>
      </c>
      <c r="B35">
        <v>2</v>
      </c>
      <c r="C35" t="s">
        <v>63</v>
      </c>
      <c r="D35" t="s">
        <v>176</v>
      </c>
      <c r="E35" t="s">
        <v>177</v>
      </c>
      <c r="F35">
        <v>5</v>
      </c>
      <c r="G35">
        <v>368556</v>
      </c>
      <c r="H35">
        <v>371295</v>
      </c>
      <c r="I35">
        <v>280063</v>
      </c>
      <c r="J35">
        <v>445729</v>
      </c>
      <c r="K35">
        <v>365974</v>
      </c>
      <c r="L35">
        <v>379719</v>
      </c>
    </row>
    <row r="36" spans="1:12" x14ac:dyDescent="0.35">
      <c r="A36">
        <v>2024</v>
      </c>
      <c r="B36">
        <v>2</v>
      </c>
      <c r="C36" t="s">
        <v>63</v>
      </c>
      <c r="D36" t="s">
        <v>178</v>
      </c>
      <c r="E36" t="s">
        <v>179</v>
      </c>
      <c r="F36">
        <v>26</v>
      </c>
      <c r="G36">
        <v>281755</v>
      </c>
      <c r="H36">
        <v>275986</v>
      </c>
      <c r="I36">
        <v>275986</v>
      </c>
      <c r="J36">
        <v>298486</v>
      </c>
      <c r="K36">
        <v>275986</v>
      </c>
      <c r="L36">
        <v>290986</v>
      </c>
    </row>
    <row r="37" spans="1:12" x14ac:dyDescent="0.35">
      <c r="A37">
        <v>2024</v>
      </c>
      <c r="B37">
        <v>2</v>
      </c>
      <c r="C37" t="s">
        <v>63</v>
      </c>
      <c r="D37" t="s">
        <v>180</v>
      </c>
      <c r="E37" t="s">
        <v>181</v>
      </c>
      <c r="F37">
        <v>3954</v>
      </c>
      <c r="G37">
        <v>321358</v>
      </c>
      <c r="H37">
        <v>313020</v>
      </c>
      <c r="I37">
        <v>260064</v>
      </c>
      <c r="J37">
        <v>466517</v>
      </c>
      <c r="K37">
        <v>285988</v>
      </c>
      <c r="L37">
        <v>342552</v>
      </c>
    </row>
    <row r="38" spans="1:12" x14ac:dyDescent="0.35">
      <c r="A38">
        <v>2024</v>
      </c>
      <c r="B38">
        <v>2</v>
      </c>
      <c r="C38" t="s">
        <v>63</v>
      </c>
      <c r="D38" t="s">
        <v>182</v>
      </c>
      <c r="E38" t="s">
        <v>183</v>
      </c>
      <c r="F38">
        <v>150</v>
      </c>
      <c r="G38">
        <v>354453</v>
      </c>
      <c r="H38">
        <v>340074</v>
      </c>
      <c r="I38">
        <v>262564</v>
      </c>
      <c r="J38">
        <v>466517</v>
      </c>
      <c r="K38">
        <v>305519</v>
      </c>
      <c r="L38">
        <v>399719</v>
      </c>
    </row>
    <row r="39" spans="1:12" x14ac:dyDescent="0.35">
      <c r="A39">
        <v>2024</v>
      </c>
      <c r="B39">
        <v>2</v>
      </c>
      <c r="C39" t="s">
        <v>63</v>
      </c>
      <c r="D39" t="s">
        <v>184</v>
      </c>
      <c r="E39" t="s">
        <v>185</v>
      </c>
      <c r="F39">
        <v>2</v>
      </c>
      <c r="G39">
        <v>364029</v>
      </c>
      <c r="H39">
        <v>364029</v>
      </c>
      <c r="I39">
        <v>328573</v>
      </c>
      <c r="J39">
        <v>399485</v>
      </c>
      <c r="K39">
        <v>328573</v>
      </c>
      <c r="L39">
        <v>399485</v>
      </c>
    </row>
    <row r="40" spans="1:12" x14ac:dyDescent="0.35">
      <c r="A40">
        <v>2024</v>
      </c>
      <c r="B40">
        <v>2</v>
      </c>
      <c r="C40" t="s">
        <v>63</v>
      </c>
      <c r="D40" t="s">
        <v>186</v>
      </c>
      <c r="E40" t="s">
        <v>187</v>
      </c>
      <c r="F40">
        <v>880</v>
      </c>
      <c r="G40">
        <v>284639</v>
      </c>
      <c r="H40">
        <v>278487</v>
      </c>
      <c r="I40">
        <v>260064</v>
      </c>
      <c r="J40">
        <v>510348</v>
      </c>
      <c r="K40">
        <v>272564</v>
      </c>
      <c r="L40">
        <v>292564</v>
      </c>
    </row>
    <row r="41" spans="1:12" x14ac:dyDescent="0.35">
      <c r="A41">
        <v>2024</v>
      </c>
      <c r="B41">
        <v>2</v>
      </c>
      <c r="C41" t="s">
        <v>63</v>
      </c>
      <c r="D41" t="s">
        <v>188</v>
      </c>
      <c r="E41" t="s">
        <v>189</v>
      </c>
      <c r="F41">
        <v>963</v>
      </c>
      <c r="G41">
        <v>414883</v>
      </c>
      <c r="H41">
        <v>388241</v>
      </c>
      <c r="I41">
        <v>309915</v>
      </c>
      <c r="J41">
        <v>722630</v>
      </c>
      <c r="K41">
        <v>362134</v>
      </c>
      <c r="L41">
        <v>458734</v>
      </c>
    </row>
    <row r="42" spans="1:12" x14ac:dyDescent="0.35">
      <c r="A42">
        <v>2024</v>
      </c>
      <c r="B42">
        <v>2</v>
      </c>
      <c r="C42" t="s">
        <v>63</v>
      </c>
      <c r="D42" t="s">
        <v>190</v>
      </c>
      <c r="E42" t="s">
        <v>191</v>
      </c>
      <c r="F42">
        <v>13683</v>
      </c>
      <c r="G42">
        <v>278031</v>
      </c>
      <c r="H42">
        <v>253819</v>
      </c>
      <c r="I42">
        <v>191417</v>
      </c>
      <c r="J42">
        <v>646011</v>
      </c>
      <c r="K42">
        <v>220950</v>
      </c>
      <c r="L42">
        <v>313019</v>
      </c>
    </row>
    <row r="43" spans="1:12" x14ac:dyDescent="0.35">
      <c r="A43">
        <v>2024</v>
      </c>
      <c r="B43">
        <v>2</v>
      </c>
      <c r="C43" t="s">
        <v>63</v>
      </c>
      <c r="D43" t="s">
        <v>192</v>
      </c>
      <c r="E43" t="s">
        <v>193</v>
      </c>
      <c r="F43">
        <v>144</v>
      </c>
      <c r="G43">
        <v>321724</v>
      </c>
      <c r="H43">
        <v>313252</v>
      </c>
      <c r="I43">
        <v>262564</v>
      </c>
      <c r="J43">
        <v>462110</v>
      </c>
      <c r="K43">
        <v>298252</v>
      </c>
      <c r="L43">
        <v>335052</v>
      </c>
    </row>
    <row r="44" spans="1:12" x14ac:dyDescent="0.35">
      <c r="A44">
        <v>2024</v>
      </c>
      <c r="B44">
        <v>2</v>
      </c>
      <c r="C44" t="s">
        <v>63</v>
      </c>
      <c r="D44" t="s">
        <v>194</v>
      </c>
      <c r="E44" t="s">
        <v>195</v>
      </c>
      <c r="F44">
        <v>3541</v>
      </c>
      <c r="G44">
        <v>277553</v>
      </c>
      <c r="H44">
        <v>246553</v>
      </c>
      <c r="I44">
        <v>206184</v>
      </c>
      <c r="J44">
        <v>597515</v>
      </c>
      <c r="K44">
        <v>229053</v>
      </c>
      <c r="L44">
        <v>318486</v>
      </c>
    </row>
    <row r="45" spans="1:12" x14ac:dyDescent="0.35">
      <c r="A45">
        <v>2024</v>
      </c>
      <c r="B45">
        <v>2</v>
      </c>
      <c r="C45" t="s">
        <v>63</v>
      </c>
      <c r="D45" t="s">
        <v>196</v>
      </c>
      <c r="E45" t="s">
        <v>197</v>
      </c>
      <c r="F45">
        <v>2471</v>
      </c>
      <c r="G45">
        <v>329466</v>
      </c>
      <c r="H45">
        <v>320519</v>
      </c>
      <c r="I45">
        <v>203868</v>
      </c>
      <c r="J45">
        <v>589874</v>
      </c>
      <c r="K45">
        <v>275986</v>
      </c>
      <c r="L45">
        <v>396295</v>
      </c>
    </row>
    <row r="46" spans="1:12" x14ac:dyDescent="0.35">
      <c r="A46">
        <v>2024</v>
      </c>
      <c r="B46">
        <v>2</v>
      </c>
      <c r="C46" t="s">
        <v>63</v>
      </c>
      <c r="D46" t="s">
        <v>198</v>
      </c>
      <c r="E46" t="s">
        <v>199</v>
      </c>
      <c r="F46">
        <v>162</v>
      </c>
      <c r="G46">
        <v>420968</v>
      </c>
      <c r="H46">
        <v>415712</v>
      </c>
      <c r="I46">
        <v>313573</v>
      </c>
      <c r="J46">
        <v>566510</v>
      </c>
      <c r="K46">
        <v>397822</v>
      </c>
      <c r="L46">
        <v>440544</v>
      </c>
    </row>
    <row r="47" spans="1:12" x14ac:dyDescent="0.35">
      <c r="A47">
        <v>2024</v>
      </c>
      <c r="B47">
        <v>2</v>
      </c>
      <c r="C47" t="s">
        <v>63</v>
      </c>
      <c r="D47" t="s">
        <v>200</v>
      </c>
      <c r="E47" t="s">
        <v>201</v>
      </c>
      <c r="F47">
        <v>441</v>
      </c>
      <c r="G47">
        <v>357189</v>
      </c>
      <c r="H47">
        <v>345790</v>
      </c>
      <c r="I47">
        <v>270988</v>
      </c>
      <c r="J47">
        <v>478632</v>
      </c>
      <c r="K47">
        <v>308575</v>
      </c>
      <c r="L47">
        <v>409485</v>
      </c>
    </row>
    <row r="48" spans="1:12" x14ac:dyDescent="0.35">
      <c r="A48">
        <v>2024</v>
      </c>
      <c r="B48">
        <v>2</v>
      </c>
      <c r="C48" t="s">
        <v>63</v>
      </c>
      <c r="D48" t="s">
        <v>202</v>
      </c>
      <c r="E48" t="s">
        <v>203</v>
      </c>
      <c r="F48">
        <v>1223</v>
      </c>
      <c r="G48">
        <v>309090</v>
      </c>
      <c r="H48">
        <v>298488</v>
      </c>
      <c r="I48">
        <v>194102</v>
      </c>
      <c r="J48">
        <v>466283</v>
      </c>
      <c r="K48">
        <v>264275</v>
      </c>
      <c r="L48">
        <v>363474</v>
      </c>
    </row>
    <row r="49" spans="1:12" x14ac:dyDescent="0.35">
      <c r="A49">
        <v>2024</v>
      </c>
      <c r="B49">
        <v>2</v>
      </c>
      <c r="C49" t="s">
        <v>63</v>
      </c>
      <c r="D49" t="s">
        <v>204</v>
      </c>
      <c r="E49" t="s">
        <v>205</v>
      </c>
      <c r="F49">
        <v>367</v>
      </c>
      <c r="G49">
        <v>379278</v>
      </c>
      <c r="H49">
        <v>375322</v>
      </c>
      <c r="I49">
        <v>262564</v>
      </c>
      <c r="J49">
        <v>591601</v>
      </c>
      <c r="K49">
        <v>330655</v>
      </c>
      <c r="L49">
        <v>421985</v>
      </c>
    </row>
    <row r="50" spans="1:12" x14ac:dyDescent="0.35">
      <c r="A50">
        <v>2024</v>
      </c>
      <c r="B50">
        <v>2</v>
      </c>
      <c r="C50" t="s">
        <v>63</v>
      </c>
      <c r="D50" t="s">
        <v>206</v>
      </c>
      <c r="E50" t="s">
        <v>207</v>
      </c>
      <c r="F50">
        <v>2458</v>
      </c>
      <c r="G50">
        <v>294053</v>
      </c>
      <c r="H50">
        <v>283486</v>
      </c>
      <c r="I50">
        <v>239743</v>
      </c>
      <c r="J50">
        <v>467480</v>
      </c>
      <c r="K50">
        <v>273486</v>
      </c>
      <c r="L50">
        <v>300752</v>
      </c>
    </row>
    <row r="51" spans="1:12" x14ac:dyDescent="0.35">
      <c r="A51">
        <v>2024</v>
      </c>
      <c r="B51">
        <v>2</v>
      </c>
      <c r="C51" t="s">
        <v>63</v>
      </c>
      <c r="D51" t="s">
        <v>208</v>
      </c>
      <c r="E51" t="s">
        <v>209</v>
      </c>
      <c r="F51">
        <v>5</v>
      </c>
      <c r="G51">
        <v>260157</v>
      </c>
      <c r="H51">
        <v>261590</v>
      </c>
      <c r="I51">
        <v>250716</v>
      </c>
      <c r="J51">
        <v>266590</v>
      </c>
      <c r="K51">
        <v>255297</v>
      </c>
      <c r="L51">
        <v>266590</v>
      </c>
    </row>
    <row r="52" spans="1:12" x14ac:dyDescent="0.35">
      <c r="A52">
        <v>2024</v>
      </c>
      <c r="B52">
        <v>2</v>
      </c>
      <c r="C52" t="s">
        <v>63</v>
      </c>
      <c r="D52" t="s">
        <v>210</v>
      </c>
      <c r="E52" t="s">
        <v>211</v>
      </c>
      <c r="F52">
        <v>3</v>
      </c>
      <c r="G52">
        <v>359739</v>
      </c>
      <c r="H52">
        <v>352267</v>
      </c>
      <c r="I52">
        <v>328807</v>
      </c>
      <c r="J52">
        <v>398143</v>
      </c>
      <c r="K52">
        <v>352267</v>
      </c>
      <c r="L52">
        <v>398143</v>
      </c>
    </row>
    <row r="53" spans="1:12" x14ac:dyDescent="0.35">
      <c r="A53">
        <v>2024</v>
      </c>
      <c r="B53">
        <v>3</v>
      </c>
      <c r="C53" t="s">
        <v>66</v>
      </c>
      <c r="D53" t="s">
        <v>164</v>
      </c>
      <c r="E53" t="s">
        <v>165</v>
      </c>
      <c r="F53">
        <v>77</v>
      </c>
      <c r="G53">
        <v>311771</v>
      </c>
      <c r="H53">
        <v>308019</v>
      </c>
      <c r="I53">
        <v>270064</v>
      </c>
      <c r="J53">
        <v>454454</v>
      </c>
      <c r="K53">
        <v>290986</v>
      </c>
      <c r="L53">
        <v>326442</v>
      </c>
    </row>
    <row r="54" spans="1:12" x14ac:dyDescent="0.35">
      <c r="A54">
        <v>2024</v>
      </c>
      <c r="B54">
        <v>3</v>
      </c>
      <c r="C54" t="s">
        <v>66</v>
      </c>
      <c r="D54" t="s">
        <v>166</v>
      </c>
      <c r="E54" t="s">
        <v>167</v>
      </c>
      <c r="F54">
        <v>2855</v>
      </c>
      <c r="G54">
        <v>251602</v>
      </c>
      <c r="H54">
        <v>234003</v>
      </c>
      <c r="I54">
        <v>191417</v>
      </c>
      <c r="J54">
        <v>465963</v>
      </c>
      <c r="K54">
        <v>212895</v>
      </c>
      <c r="L54">
        <v>275986</v>
      </c>
    </row>
    <row r="55" spans="1:12" x14ac:dyDescent="0.35">
      <c r="A55">
        <v>2024</v>
      </c>
      <c r="B55">
        <v>3</v>
      </c>
      <c r="C55" t="s">
        <v>66</v>
      </c>
      <c r="D55" t="s">
        <v>168</v>
      </c>
      <c r="E55" t="s">
        <v>169</v>
      </c>
      <c r="F55">
        <v>48</v>
      </c>
      <c r="G55">
        <v>289355</v>
      </c>
      <c r="H55">
        <v>284275</v>
      </c>
      <c r="I55">
        <v>262564</v>
      </c>
      <c r="J55">
        <v>333111</v>
      </c>
      <c r="K55">
        <v>270064</v>
      </c>
      <c r="L55">
        <v>313019</v>
      </c>
    </row>
    <row r="56" spans="1:12" x14ac:dyDescent="0.35">
      <c r="A56">
        <v>2024</v>
      </c>
      <c r="B56">
        <v>3</v>
      </c>
      <c r="C56" t="s">
        <v>66</v>
      </c>
      <c r="D56" t="s">
        <v>170</v>
      </c>
      <c r="E56" t="s">
        <v>171</v>
      </c>
      <c r="F56">
        <v>15</v>
      </c>
      <c r="G56">
        <v>278479</v>
      </c>
      <c r="H56">
        <v>283486</v>
      </c>
      <c r="I56">
        <v>262564</v>
      </c>
      <c r="J56">
        <v>298486</v>
      </c>
      <c r="K56">
        <v>262564</v>
      </c>
      <c r="L56">
        <v>290986</v>
      </c>
    </row>
    <row r="57" spans="1:12" x14ac:dyDescent="0.35">
      <c r="A57">
        <v>2024</v>
      </c>
      <c r="B57">
        <v>3</v>
      </c>
      <c r="C57" t="s">
        <v>66</v>
      </c>
      <c r="D57" t="s">
        <v>172</v>
      </c>
      <c r="E57" t="s">
        <v>173</v>
      </c>
      <c r="F57">
        <v>639</v>
      </c>
      <c r="G57">
        <v>242800</v>
      </c>
      <c r="H57">
        <v>240765</v>
      </c>
      <c r="I57">
        <v>207710</v>
      </c>
      <c r="J57">
        <v>289324</v>
      </c>
      <c r="K57">
        <v>230395</v>
      </c>
      <c r="L57">
        <v>253031</v>
      </c>
    </row>
    <row r="58" spans="1:12" x14ac:dyDescent="0.35">
      <c r="A58">
        <v>2024</v>
      </c>
      <c r="B58">
        <v>3</v>
      </c>
      <c r="C58" t="s">
        <v>66</v>
      </c>
      <c r="D58" t="s">
        <v>174</v>
      </c>
      <c r="E58" t="s">
        <v>175</v>
      </c>
      <c r="F58">
        <v>113</v>
      </c>
      <c r="G58">
        <v>280884</v>
      </c>
      <c r="H58">
        <v>275986</v>
      </c>
      <c r="I58">
        <v>262564</v>
      </c>
      <c r="J58">
        <v>320752</v>
      </c>
      <c r="K58">
        <v>270064</v>
      </c>
      <c r="L58">
        <v>290752</v>
      </c>
    </row>
    <row r="59" spans="1:12" x14ac:dyDescent="0.35">
      <c r="A59">
        <v>2024</v>
      </c>
      <c r="B59">
        <v>3</v>
      </c>
      <c r="C59" t="s">
        <v>66</v>
      </c>
      <c r="D59" t="s">
        <v>176</v>
      </c>
      <c r="E59" t="s">
        <v>177</v>
      </c>
      <c r="F59">
        <v>5</v>
      </c>
      <c r="G59">
        <v>368556</v>
      </c>
      <c r="H59">
        <v>371295</v>
      </c>
      <c r="I59">
        <v>280063</v>
      </c>
      <c r="J59">
        <v>445729</v>
      </c>
      <c r="K59">
        <v>365974</v>
      </c>
      <c r="L59">
        <v>379719</v>
      </c>
    </row>
    <row r="60" spans="1:12" x14ac:dyDescent="0.35">
      <c r="A60">
        <v>2024</v>
      </c>
      <c r="B60">
        <v>3</v>
      </c>
      <c r="C60" t="s">
        <v>66</v>
      </c>
      <c r="D60" t="s">
        <v>178</v>
      </c>
      <c r="E60" t="s">
        <v>179</v>
      </c>
      <c r="F60">
        <v>26</v>
      </c>
      <c r="G60">
        <v>281755</v>
      </c>
      <c r="H60">
        <v>275986</v>
      </c>
      <c r="I60">
        <v>275986</v>
      </c>
      <c r="J60">
        <v>298486</v>
      </c>
      <c r="K60">
        <v>275986</v>
      </c>
      <c r="L60">
        <v>290986</v>
      </c>
    </row>
    <row r="61" spans="1:12" x14ac:dyDescent="0.35">
      <c r="A61">
        <v>2024</v>
      </c>
      <c r="B61">
        <v>3</v>
      </c>
      <c r="C61" t="s">
        <v>66</v>
      </c>
      <c r="D61" t="s">
        <v>180</v>
      </c>
      <c r="E61" t="s">
        <v>181</v>
      </c>
      <c r="F61">
        <v>3978</v>
      </c>
      <c r="G61">
        <v>322959</v>
      </c>
      <c r="H61">
        <v>318942</v>
      </c>
      <c r="I61">
        <v>260064</v>
      </c>
      <c r="J61">
        <v>466517</v>
      </c>
      <c r="K61">
        <v>285988</v>
      </c>
      <c r="L61">
        <v>343942</v>
      </c>
    </row>
    <row r="62" spans="1:12" x14ac:dyDescent="0.35">
      <c r="A62">
        <v>2024</v>
      </c>
      <c r="B62">
        <v>3</v>
      </c>
      <c r="C62" t="s">
        <v>66</v>
      </c>
      <c r="D62" t="s">
        <v>182</v>
      </c>
      <c r="E62" t="s">
        <v>183</v>
      </c>
      <c r="F62">
        <v>151</v>
      </c>
      <c r="G62">
        <v>354728</v>
      </c>
      <c r="H62">
        <v>338548</v>
      </c>
      <c r="I62">
        <v>262564</v>
      </c>
      <c r="J62">
        <v>466517</v>
      </c>
      <c r="K62">
        <v>305519</v>
      </c>
      <c r="L62">
        <v>406663</v>
      </c>
    </row>
    <row r="63" spans="1:12" x14ac:dyDescent="0.35">
      <c r="A63">
        <v>2024</v>
      </c>
      <c r="B63">
        <v>3</v>
      </c>
      <c r="C63" t="s">
        <v>66</v>
      </c>
      <c r="D63" t="s">
        <v>184</v>
      </c>
      <c r="E63" t="s">
        <v>185</v>
      </c>
      <c r="F63">
        <v>2</v>
      </c>
      <c r="G63">
        <v>364029</v>
      </c>
      <c r="H63">
        <v>364029</v>
      </c>
      <c r="I63">
        <v>328573</v>
      </c>
      <c r="J63">
        <v>399485</v>
      </c>
      <c r="K63">
        <v>328573</v>
      </c>
      <c r="L63">
        <v>399485</v>
      </c>
    </row>
    <row r="64" spans="1:12" x14ac:dyDescent="0.35">
      <c r="A64">
        <v>2024</v>
      </c>
      <c r="B64">
        <v>3</v>
      </c>
      <c r="C64" t="s">
        <v>66</v>
      </c>
      <c r="D64" t="s">
        <v>186</v>
      </c>
      <c r="E64" t="s">
        <v>187</v>
      </c>
      <c r="F64">
        <v>889</v>
      </c>
      <c r="G64">
        <v>284224</v>
      </c>
      <c r="H64">
        <v>277564</v>
      </c>
      <c r="I64">
        <v>260064</v>
      </c>
      <c r="J64">
        <v>510348</v>
      </c>
      <c r="K64">
        <v>272564</v>
      </c>
      <c r="L64">
        <v>290986</v>
      </c>
    </row>
    <row r="65" spans="1:12" x14ac:dyDescent="0.35">
      <c r="A65">
        <v>2024</v>
      </c>
      <c r="B65">
        <v>3</v>
      </c>
      <c r="C65" t="s">
        <v>66</v>
      </c>
      <c r="D65" t="s">
        <v>188</v>
      </c>
      <c r="E65" t="s">
        <v>189</v>
      </c>
      <c r="F65">
        <v>910</v>
      </c>
      <c r="G65">
        <v>423920</v>
      </c>
      <c r="H65">
        <v>391968</v>
      </c>
      <c r="I65">
        <v>309915</v>
      </c>
      <c r="J65">
        <v>722630</v>
      </c>
      <c r="K65">
        <v>363241</v>
      </c>
      <c r="L65">
        <v>471234</v>
      </c>
    </row>
    <row r="66" spans="1:12" x14ac:dyDescent="0.35">
      <c r="A66">
        <v>2024</v>
      </c>
      <c r="B66">
        <v>3</v>
      </c>
      <c r="C66" t="s">
        <v>66</v>
      </c>
      <c r="D66" t="s">
        <v>190</v>
      </c>
      <c r="E66" t="s">
        <v>191</v>
      </c>
      <c r="F66">
        <v>13991</v>
      </c>
      <c r="G66">
        <v>276270</v>
      </c>
      <c r="H66">
        <v>252427</v>
      </c>
      <c r="I66">
        <v>191417</v>
      </c>
      <c r="J66">
        <v>625289</v>
      </c>
      <c r="K66">
        <v>220395</v>
      </c>
      <c r="L66">
        <v>310336</v>
      </c>
    </row>
    <row r="67" spans="1:12" x14ac:dyDescent="0.35">
      <c r="A67">
        <v>2024</v>
      </c>
      <c r="B67">
        <v>3</v>
      </c>
      <c r="C67" t="s">
        <v>66</v>
      </c>
      <c r="D67" t="s">
        <v>192</v>
      </c>
      <c r="E67" t="s">
        <v>193</v>
      </c>
      <c r="F67">
        <v>144</v>
      </c>
      <c r="G67">
        <v>325699</v>
      </c>
      <c r="H67">
        <v>320519</v>
      </c>
      <c r="I67">
        <v>262564</v>
      </c>
      <c r="J67">
        <v>435729</v>
      </c>
      <c r="K67">
        <v>305754</v>
      </c>
      <c r="L67">
        <v>336442</v>
      </c>
    </row>
    <row r="68" spans="1:12" x14ac:dyDescent="0.35">
      <c r="A68">
        <v>2024</v>
      </c>
      <c r="B68">
        <v>3</v>
      </c>
      <c r="C68" t="s">
        <v>66</v>
      </c>
      <c r="D68" t="s">
        <v>194</v>
      </c>
      <c r="E68" t="s">
        <v>195</v>
      </c>
      <c r="F68">
        <v>3542</v>
      </c>
      <c r="G68">
        <v>276006</v>
      </c>
      <c r="H68">
        <v>246553</v>
      </c>
      <c r="I68">
        <v>206184</v>
      </c>
      <c r="J68">
        <v>597515</v>
      </c>
      <c r="K68">
        <v>229053</v>
      </c>
      <c r="L68">
        <v>318252</v>
      </c>
    </row>
    <row r="69" spans="1:12" x14ac:dyDescent="0.35">
      <c r="A69">
        <v>2024</v>
      </c>
      <c r="B69">
        <v>3</v>
      </c>
      <c r="C69" t="s">
        <v>66</v>
      </c>
      <c r="D69" t="s">
        <v>196</v>
      </c>
      <c r="E69" t="s">
        <v>197</v>
      </c>
      <c r="F69">
        <v>2471</v>
      </c>
      <c r="G69">
        <v>325447</v>
      </c>
      <c r="H69">
        <v>315986</v>
      </c>
      <c r="I69">
        <v>203868</v>
      </c>
      <c r="J69">
        <v>578070</v>
      </c>
      <c r="K69">
        <v>270988</v>
      </c>
      <c r="L69">
        <v>390322</v>
      </c>
    </row>
    <row r="70" spans="1:12" x14ac:dyDescent="0.35">
      <c r="A70">
        <v>2024</v>
      </c>
      <c r="B70">
        <v>3</v>
      </c>
      <c r="C70" t="s">
        <v>66</v>
      </c>
      <c r="D70" t="s">
        <v>198</v>
      </c>
      <c r="E70" t="s">
        <v>199</v>
      </c>
      <c r="F70">
        <v>168</v>
      </c>
      <c r="G70">
        <v>416498</v>
      </c>
      <c r="H70">
        <v>414485</v>
      </c>
      <c r="I70">
        <v>313573</v>
      </c>
      <c r="J70">
        <v>573392</v>
      </c>
      <c r="K70">
        <v>392822</v>
      </c>
      <c r="L70">
        <v>431936</v>
      </c>
    </row>
    <row r="71" spans="1:12" x14ac:dyDescent="0.35">
      <c r="A71">
        <v>2024</v>
      </c>
      <c r="B71">
        <v>3</v>
      </c>
      <c r="C71" t="s">
        <v>66</v>
      </c>
      <c r="D71" t="s">
        <v>200</v>
      </c>
      <c r="E71" t="s">
        <v>201</v>
      </c>
      <c r="F71">
        <v>452</v>
      </c>
      <c r="G71">
        <v>353747</v>
      </c>
      <c r="H71">
        <v>348474</v>
      </c>
      <c r="I71">
        <v>265988</v>
      </c>
      <c r="J71">
        <v>470544</v>
      </c>
      <c r="K71">
        <v>308252</v>
      </c>
      <c r="L71">
        <v>400643</v>
      </c>
    </row>
    <row r="72" spans="1:12" x14ac:dyDescent="0.35">
      <c r="A72">
        <v>2024</v>
      </c>
      <c r="B72">
        <v>3</v>
      </c>
      <c r="C72" t="s">
        <v>66</v>
      </c>
      <c r="D72" t="s">
        <v>202</v>
      </c>
      <c r="E72" t="s">
        <v>203</v>
      </c>
      <c r="F72">
        <v>1223</v>
      </c>
      <c r="G72">
        <v>307910</v>
      </c>
      <c r="H72">
        <v>298252</v>
      </c>
      <c r="I72">
        <v>194102</v>
      </c>
      <c r="J72">
        <v>460963</v>
      </c>
      <c r="K72">
        <v>262564</v>
      </c>
      <c r="L72">
        <v>360974</v>
      </c>
    </row>
    <row r="73" spans="1:12" x14ac:dyDescent="0.35">
      <c r="A73">
        <v>2024</v>
      </c>
      <c r="B73">
        <v>3</v>
      </c>
      <c r="C73" t="s">
        <v>66</v>
      </c>
      <c r="D73" t="s">
        <v>204</v>
      </c>
      <c r="E73" t="s">
        <v>205</v>
      </c>
      <c r="F73">
        <v>369</v>
      </c>
      <c r="G73">
        <v>378762</v>
      </c>
      <c r="H73">
        <v>375322</v>
      </c>
      <c r="I73">
        <v>262564</v>
      </c>
      <c r="J73">
        <v>597859</v>
      </c>
      <c r="K73">
        <v>328573</v>
      </c>
      <c r="L73">
        <v>421985</v>
      </c>
    </row>
    <row r="74" spans="1:12" x14ac:dyDescent="0.35">
      <c r="A74">
        <v>2024</v>
      </c>
      <c r="B74">
        <v>3</v>
      </c>
      <c r="C74" t="s">
        <v>66</v>
      </c>
      <c r="D74" t="s">
        <v>206</v>
      </c>
      <c r="E74" t="s">
        <v>207</v>
      </c>
      <c r="F74">
        <v>2528</v>
      </c>
      <c r="G74">
        <v>293099</v>
      </c>
      <c r="H74">
        <v>283486</v>
      </c>
      <c r="I74">
        <v>239743</v>
      </c>
      <c r="J74">
        <v>458463</v>
      </c>
      <c r="K74">
        <v>272564</v>
      </c>
      <c r="L74">
        <v>300752</v>
      </c>
    </row>
    <row r="75" spans="1:12" x14ac:dyDescent="0.35">
      <c r="A75">
        <v>2024</v>
      </c>
      <c r="B75">
        <v>3</v>
      </c>
      <c r="C75" t="s">
        <v>66</v>
      </c>
      <c r="D75" t="s">
        <v>208</v>
      </c>
      <c r="E75" t="s">
        <v>209</v>
      </c>
      <c r="F75">
        <v>5</v>
      </c>
      <c r="G75">
        <v>260157</v>
      </c>
      <c r="H75">
        <v>261590</v>
      </c>
      <c r="I75">
        <v>250716</v>
      </c>
      <c r="J75">
        <v>266590</v>
      </c>
      <c r="K75">
        <v>255297</v>
      </c>
      <c r="L75">
        <v>266590</v>
      </c>
    </row>
    <row r="76" spans="1:12" x14ac:dyDescent="0.35">
      <c r="A76">
        <v>2024</v>
      </c>
      <c r="B76">
        <v>3</v>
      </c>
      <c r="C76" t="s">
        <v>66</v>
      </c>
      <c r="D76" t="s">
        <v>210</v>
      </c>
      <c r="E76" t="s">
        <v>211</v>
      </c>
      <c r="F76">
        <v>3</v>
      </c>
      <c r="G76">
        <v>356131</v>
      </c>
      <c r="H76">
        <v>341442</v>
      </c>
      <c r="I76">
        <v>328807</v>
      </c>
      <c r="J76">
        <v>398143</v>
      </c>
      <c r="K76">
        <v>341442</v>
      </c>
      <c r="L76">
        <v>398143</v>
      </c>
    </row>
    <row r="77" spans="1:12" x14ac:dyDescent="0.35">
      <c r="A77">
        <v>2024</v>
      </c>
      <c r="B77">
        <v>4</v>
      </c>
      <c r="C77" t="s">
        <v>67</v>
      </c>
      <c r="D77" t="s">
        <v>164</v>
      </c>
      <c r="E77" t="s">
        <v>165</v>
      </c>
      <c r="F77">
        <v>80</v>
      </c>
      <c r="G77">
        <v>310066</v>
      </c>
      <c r="H77">
        <v>308019</v>
      </c>
      <c r="I77">
        <v>262564</v>
      </c>
      <c r="J77">
        <v>365052</v>
      </c>
      <c r="K77">
        <v>290986</v>
      </c>
      <c r="L77">
        <v>326442</v>
      </c>
    </row>
    <row r="78" spans="1:12" x14ac:dyDescent="0.35">
      <c r="A78">
        <v>2024</v>
      </c>
      <c r="B78">
        <v>4</v>
      </c>
      <c r="C78" t="s">
        <v>67</v>
      </c>
      <c r="D78" t="s">
        <v>166</v>
      </c>
      <c r="E78" t="s">
        <v>167</v>
      </c>
      <c r="F78">
        <v>2936</v>
      </c>
      <c r="G78">
        <v>249938</v>
      </c>
      <c r="H78">
        <v>231922</v>
      </c>
      <c r="I78">
        <v>191417</v>
      </c>
      <c r="J78">
        <v>465963</v>
      </c>
      <c r="K78">
        <v>211787</v>
      </c>
      <c r="L78">
        <v>275986</v>
      </c>
    </row>
    <row r="79" spans="1:12" x14ac:dyDescent="0.35">
      <c r="A79">
        <v>2024</v>
      </c>
      <c r="B79">
        <v>4</v>
      </c>
      <c r="C79" t="s">
        <v>67</v>
      </c>
      <c r="D79" t="s">
        <v>168</v>
      </c>
      <c r="E79" t="s">
        <v>169</v>
      </c>
      <c r="F79">
        <v>49</v>
      </c>
      <c r="G79">
        <v>289971</v>
      </c>
      <c r="H79">
        <v>283486</v>
      </c>
      <c r="I79">
        <v>262564</v>
      </c>
      <c r="J79">
        <v>345772</v>
      </c>
      <c r="K79">
        <v>270064</v>
      </c>
      <c r="L79">
        <v>313252</v>
      </c>
    </row>
    <row r="80" spans="1:12" x14ac:dyDescent="0.35">
      <c r="A80">
        <v>2024</v>
      </c>
      <c r="B80">
        <v>4</v>
      </c>
      <c r="C80" t="s">
        <v>67</v>
      </c>
      <c r="D80" t="s">
        <v>170</v>
      </c>
      <c r="E80" t="s">
        <v>171</v>
      </c>
      <c r="F80">
        <v>15</v>
      </c>
      <c r="G80">
        <v>278979</v>
      </c>
      <c r="H80">
        <v>283486</v>
      </c>
      <c r="I80">
        <v>262564</v>
      </c>
      <c r="J80">
        <v>298486</v>
      </c>
      <c r="K80">
        <v>262564</v>
      </c>
      <c r="L80">
        <v>290986</v>
      </c>
    </row>
    <row r="81" spans="1:12" x14ac:dyDescent="0.35">
      <c r="A81">
        <v>2024</v>
      </c>
      <c r="B81">
        <v>4</v>
      </c>
      <c r="C81" t="s">
        <v>67</v>
      </c>
      <c r="D81" t="s">
        <v>172</v>
      </c>
      <c r="E81" t="s">
        <v>173</v>
      </c>
      <c r="F81">
        <v>645</v>
      </c>
      <c r="G81">
        <v>242077</v>
      </c>
      <c r="H81">
        <v>240765</v>
      </c>
      <c r="I81">
        <v>207526</v>
      </c>
      <c r="J81">
        <v>289324</v>
      </c>
      <c r="K81">
        <v>228265</v>
      </c>
      <c r="L81">
        <v>251824</v>
      </c>
    </row>
    <row r="82" spans="1:12" x14ac:dyDescent="0.35">
      <c r="A82">
        <v>2024</v>
      </c>
      <c r="B82">
        <v>4</v>
      </c>
      <c r="C82" t="s">
        <v>67</v>
      </c>
      <c r="D82" t="s">
        <v>174</v>
      </c>
      <c r="E82" t="s">
        <v>175</v>
      </c>
      <c r="F82">
        <v>113</v>
      </c>
      <c r="G82">
        <v>284845</v>
      </c>
      <c r="H82">
        <v>283486</v>
      </c>
      <c r="I82">
        <v>262564</v>
      </c>
      <c r="J82">
        <v>320752</v>
      </c>
      <c r="K82">
        <v>272564</v>
      </c>
      <c r="L82">
        <v>298252</v>
      </c>
    </row>
    <row r="83" spans="1:12" x14ac:dyDescent="0.35">
      <c r="A83">
        <v>2024</v>
      </c>
      <c r="B83">
        <v>4</v>
      </c>
      <c r="C83" t="s">
        <v>67</v>
      </c>
      <c r="D83" t="s">
        <v>176</v>
      </c>
      <c r="E83" t="s">
        <v>177</v>
      </c>
      <c r="F83">
        <v>5</v>
      </c>
      <c r="G83">
        <v>368556</v>
      </c>
      <c r="H83">
        <v>371295</v>
      </c>
      <c r="I83">
        <v>280063</v>
      </c>
      <c r="J83">
        <v>445729</v>
      </c>
      <c r="K83">
        <v>365974</v>
      </c>
      <c r="L83">
        <v>379719</v>
      </c>
    </row>
    <row r="84" spans="1:12" x14ac:dyDescent="0.35">
      <c r="A84">
        <v>2024</v>
      </c>
      <c r="B84">
        <v>4</v>
      </c>
      <c r="C84" t="s">
        <v>67</v>
      </c>
      <c r="D84" t="s">
        <v>178</v>
      </c>
      <c r="E84" t="s">
        <v>179</v>
      </c>
      <c r="F84">
        <v>26</v>
      </c>
      <c r="G84">
        <v>281755</v>
      </c>
      <c r="H84">
        <v>275986</v>
      </c>
      <c r="I84">
        <v>275986</v>
      </c>
      <c r="J84">
        <v>298486</v>
      </c>
      <c r="K84">
        <v>275986</v>
      </c>
      <c r="L84">
        <v>290986</v>
      </c>
    </row>
    <row r="85" spans="1:12" x14ac:dyDescent="0.35">
      <c r="A85">
        <v>2024</v>
      </c>
      <c r="B85">
        <v>4</v>
      </c>
      <c r="C85" t="s">
        <v>67</v>
      </c>
      <c r="D85" t="s">
        <v>180</v>
      </c>
      <c r="E85" t="s">
        <v>181</v>
      </c>
      <c r="F85">
        <v>4002</v>
      </c>
      <c r="G85">
        <v>321798</v>
      </c>
      <c r="H85">
        <v>316442</v>
      </c>
      <c r="I85">
        <v>260064</v>
      </c>
      <c r="J85">
        <v>466517</v>
      </c>
      <c r="K85">
        <v>285986</v>
      </c>
      <c r="L85">
        <v>342552</v>
      </c>
    </row>
    <row r="86" spans="1:12" x14ac:dyDescent="0.35">
      <c r="A86">
        <v>2024</v>
      </c>
      <c r="B86">
        <v>4</v>
      </c>
      <c r="C86" t="s">
        <v>67</v>
      </c>
      <c r="D86" t="s">
        <v>182</v>
      </c>
      <c r="E86" t="s">
        <v>183</v>
      </c>
      <c r="F86">
        <v>152</v>
      </c>
      <c r="G86">
        <v>354410</v>
      </c>
      <c r="H86">
        <v>334497</v>
      </c>
      <c r="I86">
        <v>262564</v>
      </c>
      <c r="J86">
        <v>466517</v>
      </c>
      <c r="K86">
        <v>305519</v>
      </c>
      <c r="L86">
        <v>399777</v>
      </c>
    </row>
    <row r="87" spans="1:12" x14ac:dyDescent="0.35">
      <c r="A87">
        <v>2024</v>
      </c>
      <c r="B87">
        <v>4</v>
      </c>
      <c r="C87" t="s">
        <v>67</v>
      </c>
      <c r="D87" t="s">
        <v>184</v>
      </c>
      <c r="E87" t="s">
        <v>185</v>
      </c>
      <c r="F87">
        <v>2</v>
      </c>
      <c r="G87">
        <v>364029</v>
      </c>
      <c r="H87">
        <v>364029</v>
      </c>
      <c r="I87">
        <v>328573</v>
      </c>
      <c r="J87">
        <v>399485</v>
      </c>
      <c r="K87">
        <v>328573</v>
      </c>
      <c r="L87">
        <v>399485</v>
      </c>
    </row>
    <row r="88" spans="1:12" x14ac:dyDescent="0.35">
      <c r="A88">
        <v>2024</v>
      </c>
      <c r="B88">
        <v>4</v>
      </c>
      <c r="C88" t="s">
        <v>67</v>
      </c>
      <c r="D88" t="s">
        <v>186</v>
      </c>
      <c r="E88" t="s">
        <v>187</v>
      </c>
      <c r="F88">
        <v>896</v>
      </c>
      <c r="G88">
        <v>284185</v>
      </c>
      <c r="H88">
        <v>277564</v>
      </c>
      <c r="I88">
        <v>260064</v>
      </c>
      <c r="J88">
        <v>510348</v>
      </c>
      <c r="K88">
        <v>270986</v>
      </c>
      <c r="L88">
        <v>290986</v>
      </c>
    </row>
    <row r="89" spans="1:12" x14ac:dyDescent="0.35">
      <c r="A89">
        <v>2024</v>
      </c>
      <c r="B89">
        <v>4</v>
      </c>
      <c r="C89" t="s">
        <v>67</v>
      </c>
      <c r="D89" t="s">
        <v>188</v>
      </c>
      <c r="E89" t="s">
        <v>189</v>
      </c>
      <c r="F89">
        <v>958</v>
      </c>
      <c r="G89">
        <v>415772</v>
      </c>
      <c r="H89">
        <v>388241</v>
      </c>
      <c r="I89">
        <v>309915</v>
      </c>
      <c r="J89">
        <v>703145</v>
      </c>
      <c r="K89">
        <v>362134</v>
      </c>
      <c r="L89">
        <v>461236</v>
      </c>
    </row>
    <row r="90" spans="1:12" x14ac:dyDescent="0.35">
      <c r="A90">
        <v>2024</v>
      </c>
      <c r="B90">
        <v>4</v>
      </c>
      <c r="C90" t="s">
        <v>67</v>
      </c>
      <c r="D90" t="s">
        <v>190</v>
      </c>
      <c r="E90" t="s">
        <v>191</v>
      </c>
      <c r="F90">
        <v>14166</v>
      </c>
      <c r="G90">
        <v>275728</v>
      </c>
      <c r="H90">
        <v>252427</v>
      </c>
      <c r="I90">
        <v>191417</v>
      </c>
      <c r="J90">
        <v>625289</v>
      </c>
      <c r="K90">
        <v>220212</v>
      </c>
      <c r="L90">
        <v>310283</v>
      </c>
    </row>
    <row r="91" spans="1:12" x14ac:dyDescent="0.35">
      <c r="A91">
        <v>2024</v>
      </c>
      <c r="B91">
        <v>4</v>
      </c>
      <c r="C91" t="s">
        <v>67</v>
      </c>
      <c r="D91" t="s">
        <v>192</v>
      </c>
      <c r="E91" t="s">
        <v>193</v>
      </c>
      <c r="F91">
        <v>142</v>
      </c>
      <c r="G91">
        <v>324409</v>
      </c>
      <c r="H91">
        <v>318942</v>
      </c>
      <c r="I91">
        <v>262564</v>
      </c>
      <c r="J91">
        <v>435729</v>
      </c>
      <c r="K91">
        <v>305519</v>
      </c>
      <c r="L91">
        <v>336442</v>
      </c>
    </row>
    <row r="92" spans="1:12" x14ac:dyDescent="0.35">
      <c r="A92">
        <v>2024</v>
      </c>
      <c r="B92">
        <v>4</v>
      </c>
      <c r="C92" t="s">
        <v>67</v>
      </c>
      <c r="D92" t="s">
        <v>194</v>
      </c>
      <c r="E92" t="s">
        <v>195</v>
      </c>
      <c r="F92">
        <v>3535</v>
      </c>
      <c r="G92">
        <v>275667</v>
      </c>
      <c r="H92">
        <v>248265</v>
      </c>
      <c r="I92">
        <v>206184</v>
      </c>
      <c r="J92">
        <v>597515</v>
      </c>
      <c r="K92">
        <v>229053</v>
      </c>
      <c r="L92">
        <v>315988</v>
      </c>
    </row>
    <row r="93" spans="1:12" x14ac:dyDescent="0.35">
      <c r="A93">
        <v>2024</v>
      </c>
      <c r="B93">
        <v>4</v>
      </c>
      <c r="C93" t="s">
        <v>67</v>
      </c>
      <c r="D93" t="s">
        <v>196</v>
      </c>
      <c r="E93" t="s">
        <v>197</v>
      </c>
      <c r="F93">
        <v>2467</v>
      </c>
      <c r="G93">
        <v>324643</v>
      </c>
      <c r="H93">
        <v>313942</v>
      </c>
      <c r="I93">
        <v>203868</v>
      </c>
      <c r="J93">
        <v>575804</v>
      </c>
      <c r="K93">
        <v>270986</v>
      </c>
      <c r="L93">
        <v>390322</v>
      </c>
    </row>
    <row r="94" spans="1:12" x14ac:dyDescent="0.35">
      <c r="A94">
        <v>2024</v>
      </c>
      <c r="B94">
        <v>4</v>
      </c>
      <c r="C94" t="s">
        <v>67</v>
      </c>
      <c r="D94" t="s">
        <v>198</v>
      </c>
      <c r="E94" t="s">
        <v>199</v>
      </c>
      <c r="F94">
        <v>180</v>
      </c>
      <c r="G94">
        <v>415675</v>
      </c>
      <c r="H94">
        <v>414460</v>
      </c>
      <c r="I94">
        <v>313573</v>
      </c>
      <c r="J94">
        <v>560804</v>
      </c>
      <c r="K94">
        <v>390324</v>
      </c>
      <c r="L94">
        <v>433044</v>
      </c>
    </row>
    <row r="95" spans="1:12" x14ac:dyDescent="0.35">
      <c r="A95">
        <v>2024</v>
      </c>
      <c r="B95">
        <v>4</v>
      </c>
      <c r="C95" t="s">
        <v>67</v>
      </c>
      <c r="D95" t="s">
        <v>200</v>
      </c>
      <c r="E95" t="s">
        <v>201</v>
      </c>
      <c r="F95">
        <v>457</v>
      </c>
      <c r="G95">
        <v>355595</v>
      </c>
      <c r="H95">
        <v>350974</v>
      </c>
      <c r="I95">
        <v>265988</v>
      </c>
      <c r="J95">
        <v>535756</v>
      </c>
      <c r="K95">
        <v>308575</v>
      </c>
      <c r="L95">
        <v>401985</v>
      </c>
    </row>
    <row r="96" spans="1:12" x14ac:dyDescent="0.35">
      <c r="A96">
        <v>2024</v>
      </c>
      <c r="B96">
        <v>4</v>
      </c>
      <c r="C96" t="s">
        <v>67</v>
      </c>
      <c r="D96" t="s">
        <v>202</v>
      </c>
      <c r="E96" t="s">
        <v>203</v>
      </c>
      <c r="F96">
        <v>1214</v>
      </c>
      <c r="G96">
        <v>308733</v>
      </c>
      <c r="H96">
        <v>298487</v>
      </c>
      <c r="I96">
        <v>194102</v>
      </c>
      <c r="J96">
        <v>460963</v>
      </c>
      <c r="K96">
        <v>262564</v>
      </c>
      <c r="L96">
        <v>363474</v>
      </c>
    </row>
    <row r="97" spans="1:12" x14ac:dyDescent="0.35">
      <c r="A97">
        <v>2024</v>
      </c>
      <c r="B97">
        <v>4</v>
      </c>
      <c r="C97" t="s">
        <v>67</v>
      </c>
      <c r="D97" t="s">
        <v>204</v>
      </c>
      <c r="E97" t="s">
        <v>205</v>
      </c>
      <c r="F97">
        <v>368</v>
      </c>
      <c r="G97">
        <v>376211</v>
      </c>
      <c r="H97">
        <v>375322</v>
      </c>
      <c r="I97">
        <v>262564</v>
      </c>
      <c r="J97">
        <v>575015</v>
      </c>
      <c r="K97">
        <v>328019</v>
      </c>
      <c r="L97">
        <v>416936</v>
      </c>
    </row>
    <row r="98" spans="1:12" x14ac:dyDescent="0.35">
      <c r="A98">
        <v>2024</v>
      </c>
      <c r="B98">
        <v>4</v>
      </c>
      <c r="C98" t="s">
        <v>67</v>
      </c>
      <c r="D98" t="s">
        <v>206</v>
      </c>
      <c r="E98" t="s">
        <v>207</v>
      </c>
      <c r="F98">
        <v>2673</v>
      </c>
      <c r="G98">
        <v>292922</v>
      </c>
      <c r="H98">
        <v>283486</v>
      </c>
      <c r="I98">
        <v>239743</v>
      </c>
      <c r="J98">
        <v>458463</v>
      </c>
      <c r="K98">
        <v>270986</v>
      </c>
      <c r="L98">
        <v>305519</v>
      </c>
    </row>
    <row r="99" spans="1:12" x14ac:dyDescent="0.35">
      <c r="A99">
        <v>2024</v>
      </c>
      <c r="B99">
        <v>4</v>
      </c>
      <c r="C99" t="s">
        <v>67</v>
      </c>
      <c r="D99" t="s">
        <v>208</v>
      </c>
      <c r="E99" t="s">
        <v>209</v>
      </c>
      <c r="F99">
        <v>5</v>
      </c>
      <c r="G99">
        <v>260157</v>
      </c>
      <c r="H99">
        <v>261590</v>
      </c>
      <c r="I99">
        <v>250716</v>
      </c>
      <c r="J99">
        <v>266590</v>
      </c>
      <c r="K99">
        <v>255297</v>
      </c>
      <c r="L99">
        <v>266590</v>
      </c>
    </row>
    <row r="100" spans="1:12" x14ac:dyDescent="0.35">
      <c r="A100">
        <v>2024</v>
      </c>
      <c r="B100">
        <v>4</v>
      </c>
      <c r="C100" t="s">
        <v>67</v>
      </c>
      <c r="D100" t="s">
        <v>210</v>
      </c>
      <c r="E100" t="s">
        <v>211</v>
      </c>
      <c r="F100">
        <v>3</v>
      </c>
      <c r="G100">
        <v>356131</v>
      </c>
      <c r="H100">
        <v>341442</v>
      </c>
      <c r="I100">
        <v>328807</v>
      </c>
      <c r="J100">
        <v>398143</v>
      </c>
      <c r="K100">
        <v>341442</v>
      </c>
      <c r="L100">
        <v>398143</v>
      </c>
    </row>
    <row r="101" spans="1:12" x14ac:dyDescent="0.35">
      <c r="A101">
        <v>2024</v>
      </c>
      <c r="B101">
        <v>5</v>
      </c>
      <c r="C101" t="s">
        <v>68</v>
      </c>
      <c r="D101" t="s">
        <v>164</v>
      </c>
      <c r="E101" t="s">
        <v>165</v>
      </c>
      <c r="F101">
        <v>83</v>
      </c>
      <c r="G101">
        <v>310951</v>
      </c>
      <c r="H101">
        <v>308019</v>
      </c>
      <c r="I101">
        <v>262564</v>
      </c>
      <c r="J101">
        <v>418831</v>
      </c>
      <c r="K101">
        <v>292564</v>
      </c>
      <c r="L101">
        <v>326442</v>
      </c>
    </row>
    <row r="102" spans="1:12" x14ac:dyDescent="0.35">
      <c r="A102">
        <v>2024</v>
      </c>
      <c r="B102">
        <v>5</v>
      </c>
      <c r="C102" t="s">
        <v>68</v>
      </c>
      <c r="D102" t="s">
        <v>166</v>
      </c>
      <c r="E102" t="s">
        <v>167</v>
      </c>
      <c r="F102">
        <v>2905</v>
      </c>
      <c r="G102">
        <v>249661</v>
      </c>
      <c r="H102">
        <v>231922</v>
      </c>
      <c r="I102">
        <v>191418</v>
      </c>
      <c r="J102">
        <v>465963</v>
      </c>
      <c r="K102">
        <v>211602</v>
      </c>
      <c r="L102">
        <v>275986</v>
      </c>
    </row>
    <row r="103" spans="1:12" x14ac:dyDescent="0.35">
      <c r="A103">
        <v>2024</v>
      </c>
      <c r="B103">
        <v>5</v>
      </c>
      <c r="C103" t="s">
        <v>68</v>
      </c>
      <c r="D103" t="s">
        <v>168</v>
      </c>
      <c r="E103" t="s">
        <v>169</v>
      </c>
      <c r="F103">
        <v>50</v>
      </c>
      <c r="G103">
        <v>293901</v>
      </c>
      <c r="H103">
        <v>289697</v>
      </c>
      <c r="I103">
        <v>262564</v>
      </c>
      <c r="J103">
        <v>345391</v>
      </c>
      <c r="K103">
        <v>275986</v>
      </c>
      <c r="L103">
        <v>313252</v>
      </c>
    </row>
    <row r="104" spans="1:12" x14ac:dyDescent="0.35">
      <c r="A104">
        <v>2024</v>
      </c>
      <c r="B104">
        <v>5</v>
      </c>
      <c r="C104" t="s">
        <v>68</v>
      </c>
      <c r="D104" t="s">
        <v>170</v>
      </c>
      <c r="E104" t="s">
        <v>171</v>
      </c>
      <c r="F104">
        <v>15</v>
      </c>
      <c r="G104">
        <v>280202</v>
      </c>
      <c r="H104">
        <v>283486</v>
      </c>
      <c r="I104">
        <v>262564</v>
      </c>
      <c r="J104">
        <v>298486</v>
      </c>
      <c r="K104">
        <v>270064</v>
      </c>
      <c r="L104">
        <v>290986</v>
      </c>
    </row>
    <row r="105" spans="1:12" x14ac:dyDescent="0.35">
      <c r="A105">
        <v>2024</v>
      </c>
      <c r="B105">
        <v>5</v>
      </c>
      <c r="C105" t="s">
        <v>68</v>
      </c>
      <c r="D105" t="s">
        <v>172</v>
      </c>
      <c r="E105" t="s">
        <v>173</v>
      </c>
      <c r="F105">
        <v>642</v>
      </c>
      <c r="G105">
        <v>241966</v>
      </c>
      <c r="H105">
        <v>240765</v>
      </c>
      <c r="I105">
        <v>207526</v>
      </c>
      <c r="J105">
        <v>289324</v>
      </c>
      <c r="K105">
        <v>227897</v>
      </c>
      <c r="L105">
        <v>251824</v>
      </c>
    </row>
    <row r="106" spans="1:12" x14ac:dyDescent="0.35">
      <c r="A106">
        <v>2024</v>
      </c>
      <c r="B106">
        <v>5</v>
      </c>
      <c r="C106" t="s">
        <v>68</v>
      </c>
      <c r="D106" t="s">
        <v>174</v>
      </c>
      <c r="E106" t="s">
        <v>175</v>
      </c>
      <c r="F106">
        <v>113</v>
      </c>
      <c r="G106">
        <v>285971</v>
      </c>
      <c r="H106">
        <v>285752</v>
      </c>
      <c r="I106">
        <v>262564</v>
      </c>
      <c r="J106">
        <v>320752</v>
      </c>
      <c r="K106">
        <v>272564</v>
      </c>
      <c r="L106">
        <v>298252</v>
      </c>
    </row>
    <row r="107" spans="1:12" x14ac:dyDescent="0.35">
      <c r="A107">
        <v>2024</v>
      </c>
      <c r="B107">
        <v>5</v>
      </c>
      <c r="C107" t="s">
        <v>68</v>
      </c>
      <c r="D107" t="s">
        <v>176</v>
      </c>
      <c r="E107" t="s">
        <v>177</v>
      </c>
      <c r="F107">
        <v>5</v>
      </c>
      <c r="G107">
        <v>368556</v>
      </c>
      <c r="H107">
        <v>371295</v>
      </c>
      <c r="I107">
        <v>280063</v>
      </c>
      <c r="J107">
        <v>445729</v>
      </c>
      <c r="K107">
        <v>365974</v>
      </c>
      <c r="L107">
        <v>379719</v>
      </c>
    </row>
    <row r="108" spans="1:12" x14ac:dyDescent="0.35">
      <c r="A108">
        <v>2024</v>
      </c>
      <c r="B108">
        <v>5</v>
      </c>
      <c r="C108" t="s">
        <v>68</v>
      </c>
      <c r="D108" t="s">
        <v>178</v>
      </c>
      <c r="E108" t="s">
        <v>179</v>
      </c>
      <c r="F108">
        <v>26</v>
      </c>
      <c r="G108">
        <v>281755</v>
      </c>
      <c r="H108">
        <v>275986</v>
      </c>
      <c r="I108">
        <v>275986</v>
      </c>
      <c r="J108">
        <v>298486</v>
      </c>
      <c r="K108">
        <v>275986</v>
      </c>
      <c r="L108">
        <v>290986</v>
      </c>
    </row>
    <row r="109" spans="1:12" x14ac:dyDescent="0.35">
      <c r="A109">
        <v>2024</v>
      </c>
      <c r="B109">
        <v>5</v>
      </c>
      <c r="C109" t="s">
        <v>68</v>
      </c>
      <c r="D109" t="s">
        <v>180</v>
      </c>
      <c r="E109" t="s">
        <v>181</v>
      </c>
      <c r="F109">
        <v>3975</v>
      </c>
      <c r="G109">
        <v>323212</v>
      </c>
      <c r="H109">
        <v>316619</v>
      </c>
      <c r="I109">
        <v>260064</v>
      </c>
      <c r="J109">
        <v>466517</v>
      </c>
      <c r="K109">
        <v>293252</v>
      </c>
      <c r="L109">
        <v>342552</v>
      </c>
    </row>
    <row r="110" spans="1:12" x14ac:dyDescent="0.35">
      <c r="A110">
        <v>2024</v>
      </c>
      <c r="B110">
        <v>5</v>
      </c>
      <c r="C110" t="s">
        <v>68</v>
      </c>
      <c r="D110" t="s">
        <v>182</v>
      </c>
      <c r="E110" t="s">
        <v>183</v>
      </c>
      <c r="F110">
        <v>150</v>
      </c>
      <c r="G110">
        <v>354959</v>
      </c>
      <c r="H110">
        <v>340800</v>
      </c>
      <c r="I110">
        <v>262564</v>
      </c>
      <c r="J110">
        <v>466517</v>
      </c>
      <c r="K110">
        <v>305519</v>
      </c>
      <c r="L110">
        <v>405643</v>
      </c>
    </row>
    <row r="111" spans="1:12" x14ac:dyDescent="0.35">
      <c r="A111">
        <v>2024</v>
      </c>
      <c r="B111">
        <v>5</v>
      </c>
      <c r="C111" t="s">
        <v>68</v>
      </c>
      <c r="D111" t="s">
        <v>184</v>
      </c>
      <c r="E111" t="s">
        <v>185</v>
      </c>
      <c r="F111">
        <v>2</v>
      </c>
      <c r="G111">
        <v>364029</v>
      </c>
      <c r="H111">
        <v>364029</v>
      </c>
      <c r="I111">
        <v>328573</v>
      </c>
      <c r="J111">
        <v>399485</v>
      </c>
      <c r="K111">
        <v>328573</v>
      </c>
      <c r="L111">
        <v>399485</v>
      </c>
    </row>
    <row r="112" spans="1:12" x14ac:dyDescent="0.35">
      <c r="A112">
        <v>2024</v>
      </c>
      <c r="B112">
        <v>5</v>
      </c>
      <c r="C112" t="s">
        <v>68</v>
      </c>
      <c r="D112" t="s">
        <v>186</v>
      </c>
      <c r="E112" t="s">
        <v>187</v>
      </c>
      <c r="F112">
        <v>893</v>
      </c>
      <c r="G112">
        <v>284338</v>
      </c>
      <c r="H112">
        <v>277564</v>
      </c>
      <c r="I112">
        <v>260064</v>
      </c>
      <c r="J112">
        <v>510348</v>
      </c>
      <c r="K112">
        <v>270986</v>
      </c>
      <c r="L112">
        <v>292564</v>
      </c>
    </row>
    <row r="113" spans="1:12" x14ac:dyDescent="0.35">
      <c r="A113">
        <v>2024</v>
      </c>
      <c r="B113">
        <v>5</v>
      </c>
      <c r="C113" t="s">
        <v>68</v>
      </c>
      <c r="D113" t="s">
        <v>188</v>
      </c>
      <c r="E113" t="s">
        <v>189</v>
      </c>
      <c r="F113">
        <v>956</v>
      </c>
      <c r="G113">
        <v>413624</v>
      </c>
      <c r="H113">
        <v>388241</v>
      </c>
      <c r="I113">
        <v>309915</v>
      </c>
      <c r="J113">
        <v>703145</v>
      </c>
      <c r="K113">
        <v>362134</v>
      </c>
      <c r="L113">
        <v>458414</v>
      </c>
    </row>
    <row r="114" spans="1:12" x14ac:dyDescent="0.35">
      <c r="A114">
        <v>2024</v>
      </c>
      <c r="B114">
        <v>5</v>
      </c>
      <c r="C114" t="s">
        <v>68</v>
      </c>
      <c r="D114" t="s">
        <v>190</v>
      </c>
      <c r="E114" t="s">
        <v>191</v>
      </c>
      <c r="F114">
        <v>14235</v>
      </c>
      <c r="G114">
        <v>275924</v>
      </c>
      <c r="H114">
        <v>253896</v>
      </c>
      <c r="I114">
        <v>191417</v>
      </c>
      <c r="J114">
        <v>625288</v>
      </c>
      <c r="K114">
        <v>220843</v>
      </c>
      <c r="L114">
        <v>310336</v>
      </c>
    </row>
    <row r="115" spans="1:12" x14ac:dyDescent="0.35">
      <c r="A115">
        <v>2024</v>
      </c>
      <c r="B115">
        <v>5</v>
      </c>
      <c r="C115" t="s">
        <v>68</v>
      </c>
      <c r="D115" t="s">
        <v>192</v>
      </c>
      <c r="E115" t="s">
        <v>193</v>
      </c>
      <c r="F115">
        <v>140</v>
      </c>
      <c r="G115">
        <v>324223</v>
      </c>
      <c r="H115">
        <v>319730</v>
      </c>
      <c r="I115">
        <v>262564</v>
      </c>
      <c r="J115">
        <v>435729</v>
      </c>
      <c r="K115">
        <v>305519</v>
      </c>
      <c r="L115">
        <v>335519</v>
      </c>
    </row>
    <row r="116" spans="1:12" x14ac:dyDescent="0.35">
      <c r="A116">
        <v>2024</v>
      </c>
      <c r="B116">
        <v>5</v>
      </c>
      <c r="C116" t="s">
        <v>68</v>
      </c>
      <c r="D116" t="s">
        <v>194</v>
      </c>
      <c r="E116" t="s">
        <v>195</v>
      </c>
      <c r="F116">
        <v>3530</v>
      </c>
      <c r="G116">
        <v>275704</v>
      </c>
      <c r="H116">
        <v>248265</v>
      </c>
      <c r="I116">
        <v>206184</v>
      </c>
      <c r="J116">
        <v>597515</v>
      </c>
      <c r="K116">
        <v>230765</v>
      </c>
      <c r="L116">
        <v>318252</v>
      </c>
    </row>
    <row r="117" spans="1:12" x14ac:dyDescent="0.35">
      <c r="A117">
        <v>2024</v>
      </c>
      <c r="B117">
        <v>5</v>
      </c>
      <c r="C117" t="s">
        <v>68</v>
      </c>
      <c r="D117" t="s">
        <v>196</v>
      </c>
      <c r="E117" t="s">
        <v>197</v>
      </c>
      <c r="F117">
        <v>2461</v>
      </c>
      <c r="G117">
        <v>325059</v>
      </c>
      <c r="H117">
        <v>315519</v>
      </c>
      <c r="I117">
        <v>203868</v>
      </c>
      <c r="J117">
        <v>575804</v>
      </c>
      <c r="K117">
        <v>270988</v>
      </c>
      <c r="L117">
        <v>390322</v>
      </c>
    </row>
    <row r="118" spans="1:12" x14ac:dyDescent="0.35">
      <c r="A118">
        <v>2024</v>
      </c>
      <c r="B118">
        <v>5</v>
      </c>
      <c r="C118" t="s">
        <v>68</v>
      </c>
      <c r="D118" t="s">
        <v>198</v>
      </c>
      <c r="E118" t="s">
        <v>199</v>
      </c>
      <c r="F118">
        <v>186</v>
      </c>
      <c r="G118">
        <v>414258</v>
      </c>
      <c r="H118">
        <v>408235</v>
      </c>
      <c r="I118">
        <v>313573</v>
      </c>
      <c r="J118">
        <v>560804</v>
      </c>
      <c r="K118">
        <v>389487</v>
      </c>
      <c r="L118">
        <v>431936</v>
      </c>
    </row>
    <row r="119" spans="1:12" x14ac:dyDescent="0.35">
      <c r="A119">
        <v>2024</v>
      </c>
      <c r="B119">
        <v>5</v>
      </c>
      <c r="C119" t="s">
        <v>68</v>
      </c>
      <c r="D119" t="s">
        <v>200</v>
      </c>
      <c r="E119" t="s">
        <v>201</v>
      </c>
      <c r="F119">
        <v>456</v>
      </c>
      <c r="G119">
        <v>355749</v>
      </c>
      <c r="H119">
        <v>349263</v>
      </c>
      <c r="I119">
        <v>265988</v>
      </c>
      <c r="J119">
        <v>535756</v>
      </c>
      <c r="K119">
        <v>308575</v>
      </c>
      <c r="L119">
        <v>401985</v>
      </c>
    </row>
    <row r="120" spans="1:12" x14ac:dyDescent="0.35">
      <c r="A120">
        <v>2024</v>
      </c>
      <c r="B120">
        <v>5</v>
      </c>
      <c r="C120" t="s">
        <v>68</v>
      </c>
      <c r="D120" t="s">
        <v>202</v>
      </c>
      <c r="E120" t="s">
        <v>203</v>
      </c>
      <c r="F120">
        <v>1195</v>
      </c>
      <c r="G120">
        <v>307136</v>
      </c>
      <c r="H120">
        <v>298252</v>
      </c>
      <c r="I120">
        <v>194102</v>
      </c>
      <c r="J120">
        <v>460963</v>
      </c>
      <c r="K120">
        <v>262564</v>
      </c>
      <c r="L120">
        <v>358942</v>
      </c>
    </row>
    <row r="121" spans="1:12" x14ac:dyDescent="0.35">
      <c r="A121">
        <v>2024</v>
      </c>
      <c r="B121">
        <v>5</v>
      </c>
      <c r="C121" t="s">
        <v>68</v>
      </c>
      <c r="D121" t="s">
        <v>204</v>
      </c>
      <c r="E121" t="s">
        <v>205</v>
      </c>
      <c r="F121">
        <v>362</v>
      </c>
      <c r="G121">
        <v>376155</v>
      </c>
      <c r="H121">
        <v>375322</v>
      </c>
      <c r="I121">
        <v>262564</v>
      </c>
      <c r="J121">
        <v>575015</v>
      </c>
      <c r="K121">
        <v>326442</v>
      </c>
      <c r="L121">
        <v>419436</v>
      </c>
    </row>
    <row r="122" spans="1:12" x14ac:dyDescent="0.35">
      <c r="A122">
        <v>2024</v>
      </c>
      <c r="B122">
        <v>5</v>
      </c>
      <c r="C122" t="s">
        <v>68</v>
      </c>
      <c r="D122" t="s">
        <v>206</v>
      </c>
      <c r="E122" t="s">
        <v>207</v>
      </c>
      <c r="F122">
        <v>2729</v>
      </c>
      <c r="G122">
        <v>293052</v>
      </c>
      <c r="H122">
        <v>284487</v>
      </c>
      <c r="I122">
        <v>239743</v>
      </c>
      <c r="J122">
        <v>458463</v>
      </c>
      <c r="K122">
        <v>271959</v>
      </c>
      <c r="L122">
        <v>305519</v>
      </c>
    </row>
    <row r="123" spans="1:12" x14ac:dyDescent="0.35">
      <c r="A123">
        <v>2024</v>
      </c>
      <c r="B123">
        <v>5</v>
      </c>
      <c r="C123" t="s">
        <v>68</v>
      </c>
      <c r="D123" t="s">
        <v>208</v>
      </c>
      <c r="E123" t="s">
        <v>209</v>
      </c>
      <c r="F123">
        <v>5</v>
      </c>
      <c r="G123">
        <v>260157</v>
      </c>
      <c r="H123">
        <v>261590</v>
      </c>
      <c r="I123">
        <v>250716</v>
      </c>
      <c r="J123">
        <v>266590</v>
      </c>
      <c r="K123">
        <v>255297</v>
      </c>
      <c r="L123">
        <v>266590</v>
      </c>
    </row>
    <row r="124" spans="1:12" x14ac:dyDescent="0.35">
      <c r="A124">
        <v>2024</v>
      </c>
      <c r="B124">
        <v>5</v>
      </c>
      <c r="C124" t="s">
        <v>68</v>
      </c>
      <c r="D124" t="s">
        <v>210</v>
      </c>
      <c r="E124" t="s">
        <v>211</v>
      </c>
      <c r="F124">
        <v>3</v>
      </c>
      <c r="G124">
        <v>356131</v>
      </c>
      <c r="H124">
        <v>341442</v>
      </c>
      <c r="I124">
        <v>328807</v>
      </c>
      <c r="J124">
        <v>398143</v>
      </c>
      <c r="K124">
        <v>341442</v>
      </c>
      <c r="L124">
        <v>398143</v>
      </c>
    </row>
    <row r="125" spans="1:12" x14ac:dyDescent="0.35">
      <c r="A125">
        <v>2024</v>
      </c>
      <c r="B125">
        <v>6</v>
      </c>
      <c r="C125" t="s">
        <v>69</v>
      </c>
      <c r="D125" t="s">
        <v>164</v>
      </c>
      <c r="E125" t="s">
        <v>165</v>
      </c>
      <c r="F125">
        <v>83</v>
      </c>
      <c r="G125">
        <v>310116</v>
      </c>
      <c r="H125">
        <v>308019</v>
      </c>
      <c r="I125">
        <v>262564</v>
      </c>
      <c r="J125">
        <v>365052</v>
      </c>
      <c r="K125">
        <v>293610</v>
      </c>
      <c r="L125">
        <v>326442</v>
      </c>
    </row>
    <row r="126" spans="1:12" x14ac:dyDescent="0.35">
      <c r="A126">
        <v>2024</v>
      </c>
      <c r="B126">
        <v>6</v>
      </c>
      <c r="C126" t="s">
        <v>69</v>
      </c>
      <c r="D126" t="s">
        <v>166</v>
      </c>
      <c r="E126" t="s">
        <v>167</v>
      </c>
      <c r="F126">
        <v>2909</v>
      </c>
      <c r="G126">
        <v>250661</v>
      </c>
      <c r="H126">
        <v>231922</v>
      </c>
      <c r="I126">
        <v>191418</v>
      </c>
      <c r="J126">
        <v>465963</v>
      </c>
      <c r="K126">
        <v>211787</v>
      </c>
      <c r="L126">
        <v>277564</v>
      </c>
    </row>
    <row r="127" spans="1:12" x14ac:dyDescent="0.35">
      <c r="A127">
        <v>2024</v>
      </c>
      <c r="B127">
        <v>6</v>
      </c>
      <c r="C127" t="s">
        <v>69</v>
      </c>
      <c r="D127" t="s">
        <v>168</v>
      </c>
      <c r="E127" t="s">
        <v>169</v>
      </c>
      <c r="F127">
        <v>51</v>
      </c>
      <c r="G127">
        <v>292955</v>
      </c>
      <c r="H127">
        <v>290986</v>
      </c>
      <c r="I127">
        <v>262564</v>
      </c>
      <c r="J127">
        <v>341442</v>
      </c>
      <c r="K127">
        <v>275986</v>
      </c>
      <c r="L127">
        <v>313252</v>
      </c>
    </row>
    <row r="128" spans="1:12" x14ac:dyDescent="0.35">
      <c r="A128">
        <v>2024</v>
      </c>
      <c r="B128">
        <v>6</v>
      </c>
      <c r="C128" t="s">
        <v>69</v>
      </c>
      <c r="D128" t="s">
        <v>170</v>
      </c>
      <c r="E128" t="s">
        <v>171</v>
      </c>
      <c r="F128">
        <v>15</v>
      </c>
      <c r="G128">
        <v>279873</v>
      </c>
      <c r="H128">
        <v>283486</v>
      </c>
      <c r="I128">
        <v>262564</v>
      </c>
      <c r="J128">
        <v>298486</v>
      </c>
      <c r="K128">
        <v>270064</v>
      </c>
      <c r="L128">
        <v>290986</v>
      </c>
    </row>
    <row r="129" spans="1:12" x14ac:dyDescent="0.35">
      <c r="A129">
        <v>2024</v>
      </c>
      <c r="B129">
        <v>6</v>
      </c>
      <c r="C129" t="s">
        <v>69</v>
      </c>
      <c r="D129" t="s">
        <v>172</v>
      </c>
      <c r="E129" t="s">
        <v>173</v>
      </c>
      <c r="F129">
        <v>644</v>
      </c>
      <c r="G129">
        <v>241961</v>
      </c>
      <c r="H129">
        <v>240765</v>
      </c>
      <c r="I129">
        <v>207526</v>
      </c>
      <c r="J129">
        <v>289324</v>
      </c>
      <c r="K129">
        <v>228265</v>
      </c>
      <c r="L129">
        <v>250765</v>
      </c>
    </row>
    <row r="130" spans="1:12" x14ac:dyDescent="0.35">
      <c r="A130">
        <v>2024</v>
      </c>
      <c r="B130">
        <v>6</v>
      </c>
      <c r="C130" t="s">
        <v>69</v>
      </c>
      <c r="D130" t="s">
        <v>174</v>
      </c>
      <c r="E130" t="s">
        <v>175</v>
      </c>
      <c r="F130">
        <v>112</v>
      </c>
      <c r="G130">
        <v>288517</v>
      </c>
      <c r="H130">
        <v>290752</v>
      </c>
      <c r="I130">
        <v>262564</v>
      </c>
      <c r="J130">
        <v>330636</v>
      </c>
      <c r="K130">
        <v>275986</v>
      </c>
      <c r="L130">
        <v>298252</v>
      </c>
    </row>
    <row r="131" spans="1:12" x14ac:dyDescent="0.35">
      <c r="A131">
        <v>2024</v>
      </c>
      <c r="B131">
        <v>6</v>
      </c>
      <c r="C131" t="s">
        <v>69</v>
      </c>
      <c r="D131" t="s">
        <v>176</v>
      </c>
      <c r="E131" t="s">
        <v>177</v>
      </c>
      <c r="F131">
        <v>5</v>
      </c>
      <c r="G131">
        <v>368556</v>
      </c>
      <c r="H131">
        <v>371295</v>
      </c>
      <c r="I131">
        <v>280063</v>
      </c>
      <c r="J131">
        <v>445729</v>
      </c>
      <c r="K131">
        <v>365974</v>
      </c>
      <c r="L131">
        <v>379719</v>
      </c>
    </row>
    <row r="132" spans="1:12" x14ac:dyDescent="0.35">
      <c r="A132">
        <v>2024</v>
      </c>
      <c r="B132">
        <v>6</v>
      </c>
      <c r="C132" t="s">
        <v>69</v>
      </c>
      <c r="D132" t="s">
        <v>178</v>
      </c>
      <c r="E132" t="s">
        <v>179</v>
      </c>
      <c r="F132">
        <v>26</v>
      </c>
      <c r="G132">
        <v>281755</v>
      </c>
      <c r="H132">
        <v>275986</v>
      </c>
      <c r="I132">
        <v>275986</v>
      </c>
      <c r="J132">
        <v>298486</v>
      </c>
      <c r="K132">
        <v>275986</v>
      </c>
      <c r="L132">
        <v>290986</v>
      </c>
    </row>
    <row r="133" spans="1:12" x14ac:dyDescent="0.35">
      <c r="A133">
        <v>2024</v>
      </c>
      <c r="B133">
        <v>6</v>
      </c>
      <c r="C133" t="s">
        <v>69</v>
      </c>
      <c r="D133" t="s">
        <v>180</v>
      </c>
      <c r="E133" t="s">
        <v>181</v>
      </c>
      <c r="F133">
        <v>3994</v>
      </c>
      <c r="G133">
        <v>323470</v>
      </c>
      <c r="H133">
        <v>316442</v>
      </c>
      <c r="I133">
        <v>260064</v>
      </c>
      <c r="J133">
        <v>466517</v>
      </c>
      <c r="K133">
        <v>290986</v>
      </c>
      <c r="L133">
        <v>342552</v>
      </c>
    </row>
    <row r="134" spans="1:12" x14ac:dyDescent="0.35">
      <c r="A134">
        <v>2024</v>
      </c>
      <c r="B134">
        <v>6</v>
      </c>
      <c r="C134" t="s">
        <v>69</v>
      </c>
      <c r="D134" t="s">
        <v>182</v>
      </c>
      <c r="E134" t="s">
        <v>183</v>
      </c>
      <c r="F134">
        <v>147</v>
      </c>
      <c r="G134">
        <v>355650</v>
      </c>
      <c r="H134">
        <v>341442</v>
      </c>
      <c r="I134">
        <v>262564</v>
      </c>
      <c r="J134">
        <v>466517</v>
      </c>
      <c r="K134">
        <v>305519</v>
      </c>
      <c r="L134">
        <v>408795</v>
      </c>
    </row>
    <row r="135" spans="1:12" x14ac:dyDescent="0.35">
      <c r="A135">
        <v>2024</v>
      </c>
      <c r="B135">
        <v>6</v>
      </c>
      <c r="C135" t="s">
        <v>69</v>
      </c>
      <c r="D135" t="s">
        <v>184</v>
      </c>
      <c r="E135" t="s">
        <v>185</v>
      </c>
      <c r="F135">
        <v>2</v>
      </c>
      <c r="G135">
        <v>364029</v>
      </c>
      <c r="H135">
        <v>364029</v>
      </c>
      <c r="I135">
        <v>328573</v>
      </c>
      <c r="J135">
        <v>399485</v>
      </c>
      <c r="K135">
        <v>328573</v>
      </c>
      <c r="L135">
        <v>399485</v>
      </c>
    </row>
    <row r="136" spans="1:12" x14ac:dyDescent="0.35">
      <c r="A136">
        <v>2024</v>
      </c>
      <c r="B136">
        <v>6</v>
      </c>
      <c r="C136" t="s">
        <v>69</v>
      </c>
      <c r="D136" t="s">
        <v>186</v>
      </c>
      <c r="E136" t="s">
        <v>187</v>
      </c>
      <c r="F136">
        <v>893</v>
      </c>
      <c r="G136">
        <v>287295</v>
      </c>
      <c r="H136">
        <v>283486</v>
      </c>
      <c r="I136">
        <v>260064</v>
      </c>
      <c r="J136">
        <v>510348</v>
      </c>
      <c r="K136">
        <v>272564</v>
      </c>
      <c r="L136">
        <v>298486</v>
      </c>
    </row>
    <row r="137" spans="1:12" x14ac:dyDescent="0.35">
      <c r="A137">
        <v>2024</v>
      </c>
      <c r="B137">
        <v>6</v>
      </c>
      <c r="C137" t="s">
        <v>69</v>
      </c>
      <c r="D137" t="s">
        <v>188</v>
      </c>
      <c r="E137" t="s">
        <v>189</v>
      </c>
      <c r="F137">
        <v>955</v>
      </c>
      <c r="G137">
        <v>413517</v>
      </c>
      <c r="H137">
        <v>388241</v>
      </c>
      <c r="I137">
        <v>309915</v>
      </c>
      <c r="J137">
        <v>703145</v>
      </c>
      <c r="K137">
        <v>362134</v>
      </c>
      <c r="L137">
        <v>458414</v>
      </c>
    </row>
    <row r="138" spans="1:12" x14ac:dyDescent="0.35">
      <c r="A138">
        <v>2024</v>
      </c>
      <c r="B138">
        <v>6</v>
      </c>
      <c r="C138" t="s">
        <v>69</v>
      </c>
      <c r="D138" t="s">
        <v>190</v>
      </c>
      <c r="E138" t="s">
        <v>191</v>
      </c>
      <c r="F138">
        <v>14377</v>
      </c>
      <c r="G138">
        <v>275640</v>
      </c>
      <c r="H138">
        <v>252427</v>
      </c>
      <c r="I138">
        <v>191418</v>
      </c>
      <c r="J138">
        <v>625288</v>
      </c>
      <c r="K138">
        <v>220395</v>
      </c>
      <c r="L138">
        <v>310336</v>
      </c>
    </row>
    <row r="139" spans="1:12" x14ac:dyDescent="0.35">
      <c r="A139">
        <v>2024</v>
      </c>
      <c r="B139">
        <v>6</v>
      </c>
      <c r="C139" t="s">
        <v>69</v>
      </c>
      <c r="D139" t="s">
        <v>192</v>
      </c>
      <c r="E139" t="s">
        <v>193</v>
      </c>
      <c r="F139">
        <v>140</v>
      </c>
      <c r="G139">
        <v>324621</v>
      </c>
      <c r="H139">
        <v>320519</v>
      </c>
      <c r="I139">
        <v>262564</v>
      </c>
      <c r="J139">
        <v>435729</v>
      </c>
      <c r="K139">
        <v>305519</v>
      </c>
      <c r="L139">
        <v>335519</v>
      </c>
    </row>
    <row r="140" spans="1:12" x14ac:dyDescent="0.35">
      <c r="A140">
        <v>2024</v>
      </c>
      <c r="B140">
        <v>6</v>
      </c>
      <c r="C140" t="s">
        <v>69</v>
      </c>
      <c r="D140" t="s">
        <v>194</v>
      </c>
      <c r="E140" t="s">
        <v>195</v>
      </c>
      <c r="F140">
        <v>3525</v>
      </c>
      <c r="G140">
        <v>275831</v>
      </c>
      <c r="H140">
        <v>248868</v>
      </c>
      <c r="I140">
        <v>206184</v>
      </c>
      <c r="J140">
        <v>598304</v>
      </c>
      <c r="K140">
        <v>230765</v>
      </c>
      <c r="L140">
        <v>318252</v>
      </c>
    </row>
    <row r="141" spans="1:12" x14ac:dyDescent="0.35">
      <c r="A141">
        <v>2024</v>
      </c>
      <c r="B141">
        <v>6</v>
      </c>
      <c r="C141" t="s">
        <v>69</v>
      </c>
      <c r="D141" t="s">
        <v>196</v>
      </c>
      <c r="E141" t="s">
        <v>197</v>
      </c>
      <c r="F141">
        <v>2465</v>
      </c>
      <c r="G141">
        <v>325267</v>
      </c>
      <c r="H141">
        <v>315519</v>
      </c>
      <c r="I141">
        <v>203868</v>
      </c>
      <c r="J141">
        <v>576012</v>
      </c>
      <c r="K141">
        <v>270988</v>
      </c>
      <c r="L141">
        <v>390322</v>
      </c>
    </row>
    <row r="142" spans="1:12" x14ac:dyDescent="0.35">
      <c r="A142">
        <v>2024</v>
      </c>
      <c r="B142">
        <v>6</v>
      </c>
      <c r="C142" t="s">
        <v>69</v>
      </c>
      <c r="D142" t="s">
        <v>198</v>
      </c>
      <c r="E142" t="s">
        <v>199</v>
      </c>
      <c r="F142">
        <v>193</v>
      </c>
      <c r="G142">
        <v>411646</v>
      </c>
      <c r="H142">
        <v>406985</v>
      </c>
      <c r="I142">
        <v>302834</v>
      </c>
      <c r="J142">
        <v>560804</v>
      </c>
      <c r="K142">
        <v>389487</v>
      </c>
      <c r="L142">
        <v>429487</v>
      </c>
    </row>
    <row r="143" spans="1:12" x14ac:dyDescent="0.35">
      <c r="A143">
        <v>2024</v>
      </c>
      <c r="B143">
        <v>6</v>
      </c>
      <c r="C143" t="s">
        <v>69</v>
      </c>
      <c r="D143" t="s">
        <v>200</v>
      </c>
      <c r="E143" t="s">
        <v>201</v>
      </c>
      <c r="F143">
        <v>450</v>
      </c>
      <c r="G143">
        <v>354985</v>
      </c>
      <c r="H143">
        <v>348314</v>
      </c>
      <c r="I143">
        <v>265988</v>
      </c>
      <c r="J143">
        <v>535756</v>
      </c>
      <c r="K143">
        <v>308575</v>
      </c>
      <c r="L143">
        <v>400643</v>
      </c>
    </row>
    <row r="144" spans="1:12" x14ac:dyDescent="0.35">
      <c r="A144">
        <v>2024</v>
      </c>
      <c r="B144">
        <v>6</v>
      </c>
      <c r="C144" t="s">
        <v>69</v>
      </c>
      <c r="D144" t="s">
        <v>202</v>
      </c>
      <c r="E144" t="s">
        <v>203</v>
      </c>
      <c r="F144">
        <v>1182</v>
      </c>
      <c r="G144">
        <v>307313</v>
      </c>
      <c r="H144">
        <v>298252</v>
      </c>
      <c r="I144">
        <v>194102</v>
      </c>
      <c r="J144">
        <v>460963</v>
      </c>
      <c r="K144">
        <v>264275</v>
      </c>
      <c r="L144">
        <v>360974</v>
      </c>
    </row>
    <row r="145" spans="1:12" x14ac:dyDescent="0.35">
      <c r="A145">
        <v>2024</v>
      </c>
      <c r="B145">
        <v>6</v>
      </c>
      <c r="C145" t="s">
        <v>69</v>
      </c>
      <c r="D145" t="s">
        <v>204</v>
      </c>
      <c r="E145" t="s">
        <v>205</v>
      </c>
      <c r="F145">
        <v>359</v>
      </c>
      <c r="G145">
        <v>376855</v>
      </c>
      <c r="H145">
        <v>378474</v>
      </c>
      <c r="I145">
        <v>262564</v>
      </c>
      <c r="J145">
        <v>575015</v>
      </c>
      <c r="K145">
        <v>325655</v>
      </c>
      <c r="L145">
        <v>419436</v>
      </c>
    </row>
    <row r="146" spans="1:12" x14ac:dyDescent="0.35">
      <c r="A146">
        <v>2024</v>
      </c>
      <c r="B146">
        <v>6</v>
      </c>
      <c r="C146" t="s">
        <v>69</v>
      </c>
      <c r="D146" t="s">
        <v>206</v>
      </c>
      <c r="E146" t="s">
        <v>207</v>
      </c>
      <c r="F146">
        <v>2791</v>
      </c>
      <c r="G146">
        <v>293084</v>
      </c>
      <c r="H146">
        <v>285064</v>
      </c>
      <c r="I146">
        <v>239743</v>
      </c>
      <c r="J146">
        <v>458229</v>
      </c>
      <c r="K146">
        <v>272564</v>
      </c>
      <c r="L146">
        <v>304921</v>
      </c>
    </row>
    <row r="147" spans="1:12" x14ac:dyDescent="0.35">
      <c r="A147">
        <v>2024</v>
      </c>
      <c r="B147">
        <v>6</v>
      </c>
      <c r="C147" t="s">
        <v>69</v>
      </c>
      <c r="D147" t="s">
        <v>208</v>
      </c>
      <c r="E147" t="s">
        <v>209</v>
      </c>
      <c r="F147">
        <v>5</v>
      </c>
      <c r="G147">
        <v>260157</v>
      </c>
      <c r="H147">
        <v>261590</v>
      </c>
      <c r="I147">
        <v>250716</v>
      </c>
      <c r="J147">
        <v>266590</v>
      </c>
      <c r="K147">
        <v>255297</v>
      </c>
      <c r="L147">
        <v>266590</v>
      </c>
    </row>
    <row r="148" spans="1:12" x14ac:dyDescent="0.35">
      <c r="A148">
        <v>2024</v>
      </c>
      <c r="B148">
        <v>6</v>
      </c>
      <c r="C148" t="s">
        <v>69</v>
      </c>
      <c r="D148" t="s">
        <v>210</v>
      </c>
      <c r="E148" t="s">
        <v>211</v>
      </c>
      <c r="F148">
        <v>3</v>
      </c>
      <c r="G148">
        <v>356131</v>
      </c>
      <c r="H148">
        <v>341442</v>
      </c>
      <c r="I148">
        <v>328807</v>
      </c>
      <c r="J148">
        <v>398143</v>
      </c>
      <c r="K148">
        <v>341442</v>
      </c>
      <c r="L148">
        <v>398143</v>
      </c>
    </row>
    <row r="149" spans="1:12" x14ac:dyDescent="0.35">
      <c r="A149">
        <v>2024</v>
      </c>
      <c r="B149">
        <v>7</v>
      </c>
      <c r="C149" t="s">
        <v>70</v>
      </c>
      <c r="D149" t="s">
        <v>164</v>
      </c>
      <c r="E149" t="s">
        <v>165</v>
      </c>
      <c r="F149">
        <v>82</v>
      </c>
      <c r="G149">
        <v>311347</v>
      </c>
      <c r="H149">
        <v>308136</v>
      </c>
      <c r="I149">
        <v>262564</v>
      </c>
      <c r="J149">
        <v>365052</v>
      </c>
      <c r="K149">
        <v>293213</v>
      </c>
      <c r="L149">
        <v>326442</v>
      </c>
    </row>
    <row r="150" spans="1:12" x14ac:dyDescent="0.35">
      <c r="A150">
        <v>2024</v>
      </c>
      <c r="B150">
        <v>7</v>
      </c>
      <c r="C150" t="s">
        <v>70</v>
      </c>
      <c r="D150" t="s">
        <v>166</v>
      </c>
      <c r="E150" t="s">
        <v>167</v>
      </c>
      <c r="F150">
        <v>2920</v>
      </c>
      <c r="G150">
        <v>250755</v>
      </c>
      <c r="H150">
        <v>232210</v>
      </c>
      <c r="I150">
        <v>191418</v>
      </c>
      <c r="J150">
        <v>465963</v>
      </c>
      <c r="K150">
        <v>211787</v>
      </c>
      <c r="L150">
        <v>277564</v>
      </c>
    </row>
    <row r="151" spans="1:12" x14ac:dyDescent="0.35">
      <c r="A151">
        <v>2024</v>
      </c>
      <c r="B151">
        <v>7</v>
      </c>
      <c r="C151" t="s">
        <v>70</v>
      </c>
      <c r="D151" t="s">
        <v>168</v>
      </c>
      <c r="E151" t="s">
        <v>169</v>
      </c>
      <c r="F151">
        <v>51</v>
      </c>
      <c r="G151">
        <v>293042</v>
      </c>
      <c r="H151">
        <v>290986</v>
      </c>
      <c r="I151">
        <v>262564</v>
      </c>
      <c r="J151">
        <v>341442</v>
      </c>
      <c r="K151">
        <v>275986</v>
      </c>
      <c r="L151">
        <v>313252</v>
      </c>
    </row>
    <row r="152" spans="1:12" x14ac:dyDescent="0.35">
      <c r="A152">
        <v>2024</v>
      </c>
      <c r="B152">
        <v>7</v>
      </c>
      <c r="C152" t="s">
        <v>70</v>
      </c>
      <c r="D152" t="s">
        <v>170</v>
      </c>
      <c r="E152" t="s">
        <v>171</v>
      </c>
      <c r="F152">
        <v>15</v>
      </c>
      <c r="G152">
        <v>280873</v>
      </c>
      <c r="H152">
        <v>283486</v>
      </c>
      <c r="I152">
        <v>262564</v>
      </c>
      <c r="J152">
        <v>298486</v>
      </c>
      <c r="K152">
        <v>275986</v>
      </c>
      <c r="L152">
        <v>290986</v>
      </c>
    </row>
    <row r="153" spans="1:12" x14ac:dyDescent="0.35">
      <c r="A153">
        <v>2024</v>
      </c>
      <c r="B153">
        <v>7</v>
      </c>
      <c r="C153" t="s">
        <v>70</v>
      </c>
      <c r="D153" t="s">
        <v>172</v>
      </c>
      <c r="E153" t="s">
        <v>173</v>
      </c>
      <c r="F153">
        <v>644</v>
      </c>
      <c r="G153">
        <v>241861</v>
      </c>
      <c r="H153">
        <v>240765</v>
      </c>
      <c r="I153">
        <v>207526</v>
      </c>
      <c r="J153">
        <v>289324</v>
      </c>
      <c r="K153">
        <v>227895</v>
      </c>
      <c r="L153">
        <v>250716</v>
      </c>
    </row>
    <row r="154" spans="1:12" x14ac:dyDescent="0.35">
      <c r="A154">
        <v>2024</v>
      </c>
      <c r="B154">
        <v>7</v>
      </c>
      <c r="C154" t="s">
        <v>70</v>
      </c>
      <c r="D154" t="s">
        <v>174</v>
      </c>
      <c r="E154" t="s">
        <v>175</v>
      </c>
      <c r="F154">
        <v>116</v>
      </c>
      <c r="G154">
        <v>288306</v>
      </c>
      <c r="H154">
        <v>290752</v>
      </c>
      <c r="I154">
        <v>262564</v>
      </c>
      <c r="J154">
        <v>320752</v>
      </c>
      <c r="K154">
        <v>275986</v>
      </c>
      <c r="L154">
        <v>298252</v>
      </c>
    </row>
    <row r="155" spans="1:12" x14ac:dyDescent="0.35">
      <c r="A155">
        <v>2024</v>
      </c>
      <c r="B155">
        <v>7</v>
      </c>
      <c r="C155" t="s">
        <v>70</v>
      </c>
      <c r="D155" t="s">
        <v>176</v>
      </c>
      <c r="E155" t="s">
        <v>177</v>
      </c>
      <c r="F155">
        <v>5</v>
      </c>
      <c r="G155">
        <v>368556</v>
      </c>
      <c r="H155">
        <v>371295</v>
      </c>
      <c r="I155">
        <v>280063</v>
      </c>
      <c r="J155">
        <v>445729</v>
      </c>
      <c r="K155">
        <v>365974</v>
      </c>
      <c r="L155">
        <v>379719</v>
      </c>
    </row>
    <row r="156" spans="1:12" x14ac:dyDescent="0.35">
      <c r="A156">
        <v>2024</v>
      </c>
      <c r="B156">
        <v>7</v>
      </c>
      <c r="C156" t="s">
        <v>70</v>
      </c>
      <c r="D156" t="s">
        <v>178</v>
      </c>
      <c r="E156" t="s">
        <v>179</v>
      </c>
      <c r="F156">
        <v>26</v>
      </c>
      <c r="G156">
        <v>281755</v>
      </c>
      <c r="H156">
        <v>275986</v>
      </c>
      <c r="I156">
        <v>275986</v>
      </c>
      <c r="J156">
        <v>298486</v>
      </c>
      <c r="K156">
        <v>275986</v>
      </c>
      <c r="L156">
        <v>290986</v>
      </c>
    </row>
    <row r="157" spans="1:12" x14ac:dyDescent="0.35">
      <c r="A157">
        <v>2024</v>
      </c>
      <c r="B157">
        <v>7</v>
      </c>
      <c r="C157" t="s">
        <v>70</v>
      </c>
      <c r="D157" t="s">
        <v>180</v>
      </c>
      <c r="E157" t="s">
        <v>181</v>
      </c>
      <c r="F157">
        <v>4005</v>
      </c>
      <c r="G157">
        <v>322936</v>
      </c>
      <c r="H157">
        <v>316442</v>
      </c>
      <c r="I157">
        <v>260064</v>
      </c>
      <c r="J157">
        <v>467262</v>
      </c>
      <c r="K157">
        <v>290752</v>
      </c>
      <c r="L157">
        <v>342552</v>
      </c>
    </row>
    <row r="158" spans="1:12" x14ac:dyDescent="0.35">
      <c r="A158">
        <v>2024</v>
      </c>
      <c r="B158">
        <v>7</v>
      </c>
      <c r="C158" t="s">
        <v>70</v>
      </c>
      <c r="D158" t="s">
        <v>182</v>
      </c>
      <c r="E158" t="s">
        <v>183</v>
      </c>
      <c r="F158">
        <v>148</v>
      </c>
      <c r="G158">
        <v>355437</v>
      </c>
      <c r="H158">
        <v>338247</v>
      </c>
      <c r="I158">
        <v>262564</v>
      </c>
      <c r="J158">
        <v>466517</v>
      </c>
      <c r="K158">
        <v>305752</v>
      </c>
      <c r="L158">
        <v>402219</v>
      </c>
    </row>
    <row r="159" spans="1:12" x14ac:dyDescent="0.35">
      <c r="A159">
        <v>2024</v>
      </c>
      <c r="B159">
        <v>7</v>
      </c>
      <c r="C159" t="s">
        <v>70</v>
      </c>
      <c r="D159" t="s">
        <v>184</v>
      </c>
      <c r="E159" t="s">
        <v>185</v>
      </c>
      <c r="F159">
        <v>2</v>
      </c>
      <c r="G159">
        <v>364029</v>
      </c>
      <c r="H159">
        <v>364029</v>
      </c>
      <c r="I159">
        <v>328573</v>
      </c>
      <c r="J159">
        <v>399485</v>
      </c>
      <c r="K159">
        <v>328573</v>
      </c>
      <c r="L159">
        <v>399485</v>
      </c>
    </row>
    <row r="160" spans="1:12" x14ac:dyDescent="0.35">
      <c r="A160">
        <v>2024</v>
      </c>
      <c r="B160">
        <v>7</v>
      </c>
      <c r="C160" t="s">
        <v>70</v>
      </c>
      <c r="D160" t="s">
        <v>186</v>
      </c>
      <c r="E160" t="s">
        <v>187</v>
      </c>
      <c r="F160">
        <v>924</v>
      </c>
      <c r="G160">
        <v>286970</v>
      </c>
      <c r="H160">
        <v>283486</v>
      </c>
      <c r="I160">
        <v>260064</v>
      </c>
      <c r="J160">
        <v>510348</v>
      </c>
      <c r="K160">
        <v>274118</v>
      </c>
      <c r="L160">
        <v>298252</v>
      </c>
    </row>
    <row r="161" spans="1:12" x14ac:dyDescent="0.35">
      <c r="A161">
        <v>2024</v>
      </c>
      <c r="B161">
        <v>7</v>
      </c>
      <c r="C161" t="s">
        <v>70</v>
      </c>
      <c r="D161" t="s">
        <v>188</v>
      </c>
      <c r="E161" t="s">
        <v>189</v>
      </c>
      <c r="F161">
        <v>954</v>
      </c>
      <c r="G161">
        <v>414830</v>
      </c>
      <c r="H161">
        <v>388242</v>
      </c>
      <c r="I161">
        <v>309915</v>
      </c>
      <c r="J161">
        <v>703145</v>
      </c>
      <c r="K161">
        <v>362134</v>
      </c>
      <c r="L161">
        <v>461234</v>
      </c>
    </row>
    <row r="162" spans="1:12" x14ac:dyDescent="0.35">
      <c r="A162">
        <v>2024</v>
      </c>
      <c r="B162">
        <v>7</v>
      </c>
      <c r="C162" t="s">
        <v>70</v>
      </c>
      <c r="D162" t="s">
        <v>190</v>
      </c>
      <c r="E162" t="s">
        <v>191</v>
      </c>
      <c r="F162">
        <v>14536</v>
      </c>
      <c r="G162">
        <v>275637</v>
      </c>
      <c r="H162">
        <v>252427</v>
      </c>
      <c r="I162">
        <v>191418</v>
      </c>
      <c r="J162">
        <v>625288</v>
      </c>
      <c r="K162">
        <v>220395</v>
      </c>
      <c r="L162">
        <v>310336</v>
      </c>
    </row>
    <row r="163" spans="1:12" x14ac:dyDescent="0.35">
      <c r="A163">
        <v>2024</v>
      </c>
      <c r="B163">
        <v>7</v>
      </c>
      <c r="C163" t="s">
        <v>70</v>
      </c>
      <c r="D163" t="s">
        <v>192</v>
      </c>
      <c r="E163" t="s">
        <v>193</v>
      </c>
      <c r="F163">
        <v>140</v>
      </c>
      <c r="G163">
        <v>326817</v>
      </c>
      <c r="H163">
        <v>320519</v>
      </c>
      <c r="I163">
        <v>262564</v>
      </c>
      <c r="J163">
        <v>435729</v>
      </c>
      <c r="K163">
        <v>305519</v>
      </c>
      <c r="L163">
        <v>341442</v>
      </c>
    </row>
    <row r="164" spans="1:12" x14ac:dyDescent="0.35">
      <c r="A164">
        <v>2024</v>
      </c>
      <c r="B164">
        <v>7</v>
      </c>
      <c r="C164" t="s">
        <v>70</v>
      </c>
      <c r="D164" t="s">
        <v>194</v>
      </c>
      <c r="E164" t="s">
        <v>195</v>
      </c>
      <c r="F164">
        <v>3523</v>
      </c>
      <c r="G164">
        <v>276566</v>
      </c>
      <c r="H164">
        <v>250765</v>
      </c>
      <c r="I164">
        <v>206184</v>
      </c>
      <c r="J164">
        <v>598304</v>
      </c>
      <c r="K164">
        <v>230765</v>
      </c>
      <c r="L164">
        <v>318252</v>
      </c>
    </row>
    <row r="165" spans="1:12" x14ac:dyDescent="0.35">
      <c r="A165">
        <v>2024</v>
      </c>
      <c r="B165">
        <v>7</v>
      </c>
      <c r="C165" t="s">
        <v>70</v>
      </c>
      <c r="D165" t="s">
        <v>196</v>
      </c>
      <c r="E165" t="s">
        <v>197</v>
      </c>
      <c r="F165">
        <v>2454</v>
      </c>
      <c r="G165">
        <v>326224</v>
      </c>
      <c r="H165">
        <v>318575</v>
      </c>
      <c r="I165">
        <v>203868</v>
      </c>
      <c r="J165">
        <v>575804</v>
      </c>
      <c r="K165">
        <v>271085</v>
      </c>
      <c r="L165">
        <v>392822</v>
      </c>
    </row>
    <row r="166" spans="1:12" x14ac:dyDescent="0.35">
      <c r="A166">
        <v>2024</v>
      </c>
      <c r="B166">
        <v>7</v>
      </c>
      <c r="C166" t="s">
        <v>70</v>
      </c>
      <c r="D166" t="s">
        <v>198</v>
      </c>
      <c r="E166" t="s">
        <v>199</v>
      </c>
      <c r="F166">
        <v>198</v>
      </c>
      <c r="G166">
        <v>412197</v>
      </c>
      <c r="H166">
        <v>406985</v>
      </c>
      <c r="I166">
        <v>313573</v>
      </c>
      <c r="J166">
        <v>563327</v>
      </c>
      <c r="K166">
        <v>389487</v>
      </c>
      <c r="L166">
        <v>429487</v>
      </c>
    </row>
    <row r="167" spans="1:12" x14ac:dyDescent="0.35">
      <c r="A167">
        <v>2024</v>
      </c>
      <c r="B167">
        <v>7</v>
      </c>
      <c r="C167" t="s">
        <v>70</v>
      </c>
      <c r="D167" t="s">
        <v>200</v>
      </c>
      <c r="E167" t="s">
        <v>201</v>
      </c>
      <c r="F167">
        <v>458</v>
      </c>
      <c r="G167">
        <v>356553</v>
      </c>
      <c r="H167">
        <v>348474</v>
      </c>
      <c r="I167">
        <v>262564</v>
      </c>
      <c r="J167">
        <v>569735</v>
      </c>
      <c r="K167">
        <v>308575</v>
      </c>
      <c r="L167">
        <v>401985</v>
      </c>
    </row>
    <row r="168" spans="1:12" x14ac:dyDescent="0.35">
      <c r="A168">
        <v>2024</v>
      </c>
      <c r="B168">
        <v>7</v>
      </c>
      <c r="C168" t="s">
        <v>70</v>
      </c>
      <c r="D168" t="s">
        <v>202</v>
      </c>
      <c r="E168" t="s">
        <v>203</v>
      </c>
      <c r="F168">
        <v>1180</v>
      </c>
      <c r="G168">
        <v>307794</v>
      </c>
      <c r="H168">
        <v>298252</v>
      </c>
      <c r="I168">
        <v>194102</v>
      </c>
      <c r="J168">
        <v>460963</v>
      </c>
      <c r="K168">
        <v>265986</v>
      </c>
      <c r="L168">
        <v>361295</v>
      </c>
    </row>
    <row r="169" spans="1:12" x14ac:dyDescent="0.35">
      <c r="A169">
        <v>2024</v>
      </c>
      <c r="B169">
        <v>7</v>
      </c>
      <c r="C169" t="s">
        <v>70</v>
      </c>
      <c r="D169" t="s">
        <v>204</v>
      </c>
      <c r="E169" t="s">
        <v>205</v>
      </c>
      <c r="F169">
        <v>358</v>
      </c>
      <c r="G169">
        <v>377241</v>
      </c>
      <c r="H169">
        <v>378795</v>
      </c>
      <c r="I169">
        <v>262564</v>
      </c>
      <c r="J169">
        <v>560015</v>
      </c>
      <c r="K169">
        <v>326442</v>
      </c>
      <c r="L169">
        <v>421985</v>
      </c>
    </row>
    <row r="170" spans="1:12" x14ac:dyDescent="0.35">
      <c r="A170">
        <v>2024</v>
      </c>
      <c r="B170">
        <v>7</v>
      </c>
      <c r="C170" t="s">
        <v>70</v>
      </c>
      <c r="D170" t="s">
        <v>206</v>
      </c>
      <c r="E170" t="s">
        <v>207</v>
      </c>
      <c r="F170">
        <v>2810</v>
      </c>
      <c r="G170">
        <v>293051</v>
      </c>
      <c r="H170">
        <v>285064</v>
      </c>
      <c r="I170">
        <v>242797</v>
      </c>
      <c r="J170">
        <v>458229</v>
      </c>
      <c r="K170">
        <v>273486</v>
      </c>
      <c r="L170">
        <v>304534</v>
      </c>
    </row>
    <row r="171" spans="1:12" x14ac:dyDescent="0.35">
      <c r="A171">
        <v>2024</v>
      </c>
      <c r="B171">
        <v>7</v>
      </c>
      <c r="C171" t="s">
        <v>70</v>
      </c>
      <c r="D171" t="s">
        <v>208</v>
      </c>
      <c r="E171" t="s">
        <v>209</v>
      </c>
      <c r="F171">
        <v>5</v>
      </c>
      <c r="G171">
        <v>260157</v>
      </c>
      <c r="H171">
        <v>261590</v>
      </c>
      <c r="I171">
        <v>250716</v>
      </c>
      <c r="J171">
        <v>266590</v>
      </c>
      <c r="K171">
        <v>255297</v>
      </c>
      <c r="L171">
        <v>266590</v>
      </c>
    </row>
    <row r="172" spans="1:12" x14ac:dyDescent="0.35">
      <c r="A172">
        <v>2024</v>
      </c>
      <c r="B172">
        <v>7</v>
      </c>
      <c r="C172" t="s">
        <v>70</v>
      </c>
      <c r="D172" t="s">
        <v>210</v>
      </c>
      <c r="E172" t="s">
        <v>211</v>
      </c>
      <c r="F172">
        <v>3</v>
      </c>
      <c r="G172">
        <v>356131</v>
      </c>
      <c r="H172">
        <v>341442</v>
      </c>
      <c r="I172">
        <v>328807</v>
      </c>
      <c r="J172">
        <v>398143</v>
      </c>
      <c r="K172">
        <v>341442</v>
      </c>
      <c r="L172">
        <v>398143</v>
      </c>
    </row>
    <row r="173" spans="1:12" x14ac:dyDescent="0.35">
      <c r="A173">
        <v>2024</v>
      </c>
      <c r="B173">
        <v>8</v>
      </c>
      <c r="C173" t="s">
        <v>71</v>
      </c>
      <c r="D173" t="s">
        <v>164</v>
      </c>
      <c r="E173" t="s">
        <v>165</v>
      </c>
      <c r="F173">
        <v>82</v>
      </c>
      <c r="G173">
        <v>313665</v>
      </c>
      <c r="H173">
        <v>310636</v>
      </c>
      <c r="I173">
        <v>262564</v>
      </c>
      <c r="J173">
        <v>400591</v>
      </c>
      <c r="K173">
        <v>298252</v>
      </c>
      <c r="L173">
        <v>326442</v>
      </c>
    </row>
    <row r="174" spans="1:12" x14ac:dyDescent="0.35">
      <c r="A174">
        <v>2024</v>
      </c>
      <c r="B174">
        <v>8</v>
      </c>
      <c r="C174" t="s">
        <v>71</v>
      </c>
      <c r="D174" t="s">
        <v>166</v>
      </c>
      <c r="E174" t="s">
        <v>167</v>
      </c>
      <c r="F174">
        <v>2962</v>
      </c>
      <c r="G174">
        <v>252382</v>
      </c>
      <c r="H174">
        <v>233819</v>
      </c>
      <c r="I174">
        <v>191418</v>
      </c>
      <c r="J174">
        <v>465963</v>
      </c>
      <c r="K174">
        <v>212341</v>
      </c>
      <c r="L174">
        <v>280752</v>
      </c>
    </row>
    <row r="175" spans="1:12" x14ac:dyDescent="0.35">
      <c r="A175">
        <v>2024</v>
      </c>
      <c r="B175">
        <v>8</v>
      </c>
      <c r="C175" t="s">
        <v>71</v>
      </c>
      <c r="D175" t="s">
        <v>168</v>
      </c>
      <c r="E175" t="s">
        <v>169</v>
      </c>
      <c r="F175">
        <v>51</v>
      </c>
      <c r="G175">
        <v>294545</v>
      </c>
      <c r="H175">
        <v>290752</v>
      </c>
      <c r="I175">
        <v>262564</v>
      </c>
      <c r="J175">
        <v>380397</v>
      </c>
      <c r="K175">
        <v>275986</v>
      </c>
      <c r="L175">
        <v>313252</v>
      </c>
    </row>
    <row r="176" spans="1:12" x14ac:dyDescent="0.35">
      <c r="A176">
        <v>2024</v>
      </c>
      <c r="B176">
        <v>8</v>
      </c>
      <c r="C176" t="s">
        <v>71</v>
      </c>
      <c r="D176" t="s">
        <v>170</v>
      </c>
      <c r="E176" t="s">
        <v>171</v>
      </c>
      <c r="F176">
        <v>15</v>
      </c>
      <c r="G176">
        <v>283875</v>
      </c>
      <c r="H176">
        <v>285064</v>
      </c>
      <c r="I176">
        <v>262564</v>
      </c>
      <c r="J176">
        <v>301378</v>
      </c>
      <c r="K176">
        <v>283486</v>
      </c>
      <c r="L176">
        <v>291280</v>
      </c>
    </row>
    <row r="177" spans="1:12" x14ac:dyDescent="0.35">
      <c r="A177">
        <v>2024</v>
      </c>
      <c r="B177">
        <v>8</v>
      </c>
      <c r="C177" t="s">
        <v>71</v>
      </c>
      <c r="D177" t="s">
        <v>172</v>
      </c>
      <c r="E177" t="s">
        <v>173</v>
      </c>
      <c r="F177">
        <v>636</v>
      </c>
      <c r="G177">
        <v>242973</v>
      </c>
      <c r="H177">
        <v>241424</v>
      </c>
      <c r="I177">
        <v>207710</v>
      </c>
      <c r="J177">
        <v>290298</v>
      </c>
      <c r="K177">
        <v>228266</v>
      </c>
      <c r="L177">
        <v>254324</v>
      </c>
    </row>
    <row r="178" spans="1:12" x14ac:dyDescent="0.35">
      <c r="A178">
        <v>2024</v>
      </c>
      <c r="B178">
        <v>8</v>
      </c>
      <c r="C178" t="s">
        <v>71</v>
      </c>
      <c r="D178" t="s">
        <v>174</v>
      </c>
      <c r="E178" t="s">
        <v>175</v>
      </c>
      <c r="F178">
        <v>116</v>
      </c>
      <c r="G178">
        <v>291292</v>
      </c>
      <c r="H178">
        <v>290752</v>
      </c>
      <c r="I178">
        <v>262564</v>
      </c>
      <c r="J178">
        <v>418295</v>
      </c>
      <c r="K178">
        <v>275986</v>
      </c>
      <c r="L178">
        <v>298252</v>
      </c>
    </row>
    <row r="179" spans="1:12" x14ac:dyDescent="0.35">
      <c r="A179">
        <v>2024</v>
      </c>
      <c r="B179">
        <v>8</v>
      </c>
      <c r="C179" t="s">
        <v>71</v>
      </c>
      <c r="D179" t="s">
        <v>176</v>
      </c>
      <c r="E179" t="s">
        <v>177</v>
      </c>
      <c r="F179">
        <v>5</v>
      </c>
      <c r="G179">
        <v>368556</v>
      </c>
      <c r="H179">
        <v>371295</v>
      </c>
      <c r="I179">
        <v>280063</v>
      </c>
      <c r="J179">
        <v>445729</v>
      </c>
      <c r="K179">
        <v>365974</v>
      </c>
      <c r="L179">
        <v>379719</v>
      </c>
    </row>
    <row r="180" spans="1:12" x14ac:dyDescent="0.35">
      <c r="A180">
        <v>2024</v>
      </c>
      <c r="B180">
        <v>8</v>
      </c>
      <c r="C180" t="s">
        <v>71</v>
      </c>
      <c r="D180" t="s">
        <v>178</v>
      </c>
      <c r="E180" t="s">
        <v>179</v>
      </c>
      <c r="F180">
        <v>26</v>
      </c>
      <c r="G180">
        <v>281755</v>
      </c>
      <c r="H180">
        <v>275986</v>
      </c>
      <c r="I180">
        <v>275986</v>
      </c>
      <c r="J180">
        <v>298486</v>
      </c>
      <c r="K180">
        <v>275986</v>
      </c>
      <c r="L180">
        <v>290986</v>
      </c>
    </row>
    <row r="181" spans="1:12" x14ac:dyDescent="0.35">
      <c r="A181">
        <v>2024</v>
      </c>
      <c r="B181">
        <v>8</v>
      </c>
      <c r="C181" t="s">
        <v>71</v>
      </c>
      <c r="D181" t="s">
        <v>180</v>
      </c>
      <c r="E181" t="s">
        <v>181</v>
      </c>
      <c r="F181">
        <v>4009</v>
      </c>
      <c r="G181">
        <v>324162</v>
      </c>
      <c r="H181">
        <v>318019</v>
      </c>
      <c r="I181">
        <v>260064</v>
      </c>
      <c r="J181">
        <v>466517</v>
      </c>
      <c r="K181">
        <v>290752</v>
      </c>
      <c r="L181">
        <v>343942</v>
      </c>
    </row>
    <row r="182" spans="1:12" x14ac:dyDescent="0.35">
      <c r="A182">
        <v>2024</v>
      </c>
      <c r="B182">
        <v>8</v>
      </c>
      <c r="C182" t="s">
        <v>71</v>
      </c>
      <c r="D182" t="s">
        <v>182</v>
      </c>
      <c r="E182" t="s">
        <v>183</v>
      </c>
      <c r="F182">
        <v>146</v>
      </c>
      <c r="G182">
        <v>357401</v>
      </c>
      <c r="H182">
        <v>341442</v>
      </c>
      <c r="I182">
        <v>262564</v>
      </c>
      <c r="J182">
        <v>467671</v>
      </c>
      <c r="K182">
        <v>305752</v>
      </c>
      <c r="L182">
        <v>413074</v>
      </c>
    </row>
    <row r="183" spans="1:12" x14ac:dyDescent="0.35">
      <c r="A183">
        <v>2024</v>
      </c>
      <c r="B183">
        <v>8</v>
      </c>
      <c r="C183" t="s">
        <v>71</v>
      </c>
      <c r="D183" t="s">
        <v>184</v>
      </c>
      <c r="E183" t="s">
        <v>185</v>
      </c>
      <c r="F183">
        <v>2</v>
      </c>
      <c r="G183">
        <v>364029</v>
      </c>
      <c r="H183">
        <v>364029</v>
      </c>
      <c r="I183">
        <v>328573</v>
      </c>
      <c r="J183">
        <v>399485</v>
      </c>
      <c r="K183">
        <v>328573</v>
      </c>
      <c r="L183">
        <v>399485</v>
      </c>
    </row>
    <row r="184" spans="1:12" x14ac:dyDescent="0.35">
      <c r="A184">
        <v>2024</v>
      </c>
      <c r="B184">
        <v>8</v>
      </c>
      <c r="C184" t="s">
        <v>71</v>
      </c>
      <c r="D184" t="s">
        <v>186</v>
      </c>
      <c r="E184" t="s">
        <v>187</v>
      </c>
      <c r="F184">
        <v>953</v>
      </c>
      <c r="G184">
        <v>288846</v>
      </c>
      <c r="H184">
        <v>285064</v>
      </c>
      <c r="I184">
        <v>260064</v>
      </c>
      <c r="J184">
        <v>580715</v>
      </c>
      <c r="K184">
        <v>275986</v>
      </c>
      <c r="L184">
        <v>298252</v>
      </c>
    </row>
    <row r="185" spans="1:12" x14ac:dyDescent="0.35">
      <c r="A185">
        <v>2024</v>
      </c>
      <c r="B185">
        <v>8</v>
      </c>
      <c r="C185" t="s">
        <v>71</v>
      </c>
      <c r="D185" t="s">
        <v>188</v>
      </c>
      <c r="E185" t="s">
        <v>189</v>
      </c>
      <c r="F185">
        <v>951</v>
      </c>
      <c r="G185">
        <v>414556</v>
      </c>
      <c r="H185">
        <v>388241</v>
      </c>
      <c r="I185">
        <v>309915</v>
      </c>
      <c r="J185">
        <v>703145</v>
      </c>
      <c r="K185">
        <v>362134</v>
      </c>
      <c r="L185">
        <v>461234</v>
      </c>
    </row>
    <row r="186" spans="1:12" x14ac:dyDescent="0.35">
      <c r="A186">
        <v>2024</v>
      </c>
      <c r="B186">
        <v>8</v>
      </c>
      <c r="C186" t="s">
        <v>71</v>
      </c>
      <c r="D186" t="s">
        <v>190</v>
      </c>
      <c r="E186" t="s">
        <v>191</v>
      </c>
      <c r="F186">
        <v>14709</v>
      </c>
      <c r="G186">
        <v>276443</v>
      </c>
      <c r="H186">
        <v>252811</v>
      </c>
      <c r="I186">
        <v>191418</v>
      </c>
      <c r="J186">
        <v>632789</v>
      </c>
      <c r="K186">
        <v>220395</v>
      </c>
      <c r="L186">
        <v>310889</v>
      </c>
    </row>
    <row r="187" spans="1:12" x14ac:dyDescent="0.35">
      <c r="A187">
        <v>2024</v>
      </c>
      <c r="B187">
        <v>8</v>
      </c>
      <c r="C187" t="s">
        <v>71</v>
      </c>
      <c r="D187" t="s">
        <v>192</v>
      </c>
      <c r="E187" t="s">
        <v>193</v>
      </c>
      <c r="F187">
        <v>140</v>
      </c>
      <c r="G187">
        <v>329637</v>
      </c>
      <c r="H187">
        <v>320519</v>
      </c>
      <c r="I187">
        <v>262564</v>
      </c>
      <c r="J187">
        <v>465973</v>
      </c>
      <c r="K187">
        <v>305519</v>
      </c>
      <c r="L187">
        <v>342552</v>
      </c>
    </row>
    <row r="188" spans="1:12" x14ac:dyDescent="0.35">
      <c r="A188">
        <v>2024</v>
      </c>
      <c r="B188">
        <v>8</v>
      </c>
      <c r="C188" t="s">
        <v>71</v>
      </c>
      <c r="D188" t="s">
        <v>194</v>
      </c>
      <c r="E188" t="s">
        <v>195</v>
      </c>
      <c r="F188">
        <v>3520</v>
      </c>
      <c r="G188">
        <v>279161</v>
      </c>
      <c r="H188">
        <v>251085</v>
      </c>
      <c r="I188">
        <v>206184</v>
      </c>
      <c r="J188">
        <v>598530</v>
      </c>
      <c r="K188">
        <v>230765</v>
      </c>
      <c r="L188">
        <v>318486</v>
      </c>
    </row>
    <row r="189" spans="1:12" x14ac:dyDescent="0.35">
      <c r="A189">
        <v>2024</v>
      </c>
      <c r="B189">
        <v>8</v>
      </c>
      <c r="C189" t="s">
        <v>71</v>
      </c>
      <c r="D189" t="s">
        <v>196</v>
      </c>
      <c r="E189" t="s">
        <v>197</v>
      </c>
      <c r="F189">
        <v>2461</v>
      </c>
      <c r="G189">
        <v>327495</v>
      </c>
      <c r="H189">
        <v>318942</v>
      </c>
      <c r="I189">
        <v>203868</v>
      </c>
      <c r="J189">
        <v>598842</v>
      </c>
      <c r="K189">
        <v>270988</v>
      </c>
      <c r="L189">
        <v>393143</v>
      </c>
    </row>
    <row r="190" spans="1:12" x14ac:dyDescent="0.35">
      <c r="A190">
        <v>2024</v>
      </c>
      <c r="B190">
        <v>8</v>
      </c>
      <c r="C190" t="s">
        <v>71</v>
      </c>
      <c r="D190" t="s">
        <v>198</v>
      </c>
      <c r="E190" t="s">
        <v>199</v>
      </c>
      <c r="F190">
        <v>201</v>
      </c>
      <c r="G190">
        <v>415598</v>
      </c>
      <c r="H190">
        <v>409485</v>
      </c>
      <c r="I190">
        <v>313573</v>
      </c>
      <c r="J190">
        <v>564506</v>
      </c>
      <c r="K190">
        <v>392824</v>
      </c>
      <c r="L190">
        <v>431985</v>
      </c>
    </row>
    <row r="191" spans="1:12" x14ac:dyDescent="0.35">
      <c r="A191">
        <v>2024</v>
      </c>
      <c r="B191">
        <v>8</v>
      </c>
      <c r="C191" t="s">
        <v>71</v>
      </c>
      <c r="D191" t="s">
        <v>200</v>
      </c>
      <c r="E191" t="s">
        <v>201</v>
      </c>
      <c r="F191">
        <v>460</v>
      </c>
      <c r="G191">
        <v>358237</v>
      </c>
      <c r="H191">
        <v>349432</v>
      </c>
      <c r="I191">
        <v>262564</v>
      </c>
      <c r="J191">
        <v>590346</v>
      </c>
      <c r="K191">
        <v>313019</v>
      </c>
      <c r="L191">
        <v>406985</v>
      </c>
    </row>
    <row r="192" spans="1:12" x14ac:dyDescent="0.35">
      <c r="A192">
        <v>2024</v>
      </c>
      <c r="B192">
        <v>8</v>
      </c>
      <c r="C192" t="s">
        <v>71</v>
      </c>
      <c r="D192" t="s">
        <v>202</v>
      </c>
      <c r="E192" t="s">
        <v>203</v>
      </c>
      <c r="F192">
        <v>1177</v>
      </c>
      <c r="G192">
        <v>311806</v>
      </c>
      <c r="H192">
        <v>298486</v>
      </c>
      <c r="I192">
        <v>194102</v>
      </c>
      <c r="J192">
        <v>461061</v>
      </c>
      <c r="K192">
        <v>269275</v>
      </c>
      <c r="L192">
        <v>371295</v>
      </c>
    </row>
    <row r="193" spans="1:12" x14ac:dyDescent="0.35">
      <c r="A193">
        <v>2024</v>
      </c>
      <c r="B193">
        <v>8</v>
      </c>
      <c r="C193" t="s">
        <v>71</v>
      </c>
      <c r="D193" t="s">
        <v>204</v>
      </c>
      <c r="E193" t="s">
        <v>205</v>
      </c>
      <c r="F193">
        <v>358</v>
      </c>
      <c r="G193">
        <v>384654</v>
      </c>
      <c r="H193">
        <v>393795</v>
      </c>
      <c r="I193">
        <v>262564</v>
      </c>
      <c r="J193">
        <v>596659</v>
      </c>
      <c r="K193">
        <v>333155</v>
      </c>
      <c r="L193">
        <v>428939</v>
      </c>
    </row>
    <row r="194" spans="1:12" x14ac:dyDescent="0.35">
      <c r="A194">
        <v>2024</v>
      </c>
      <c r="B194">
        <v>8</v>
      </c>
      <c r="C194" t="s">
        <v>71</v>
      </c>
      <c r="D194" t="s">
        <v>206</v>
      </c>
      <c r="E194" t="s">
        <v>207</v>
      </c>
      <c r="F194">
        <v>2850</v>
      </c>
      <c r="G194">
        <v>294392</v>
      </c>
      <c r="H194">
        <v>285752</v>
      </c>
      <c r="I194">
        <v>242797</v>
      </c>
      <c r="J194">
        <v>464674</v>
      </c>
      <c r="K194">
        <v>275986</v>
      </c>
      <c r="L194">
        <v>305519</v>
      </c>
    </row>
    <row r="195" spans="1:12" x14ac:dyDescent="0.35">
      <c r="A195">
        <v>2024</v>
      </c>
      <c r="B195">
        <v>8</v>
      </c>
      <c r="C195" t="s">
        <v>71</v>
      </c>
      <c r="D195" t="s">
        <v>208</v>
      </c>
      <c r="E195" t="s">
        <v>209</v>
      </c>
      <c r="F195">
        <v>5</v>
      </c>
      <c r="G195">
        <v>260157</v>
      </c>
      <c r="H195">
        <v>261590</v>
      </c>
      <c r="I195">
        <v>250716</v>
      </c>
      <c r="J195">
        <v>266590</v>
      </c>
      <c r="K195">
        <v>255297</v>
      </c>
      <c r="L195">
        <v>266590</v>
      </c>
    </row>
    <row r="196" spans="1:12" x14ac:dyDescent="0.35">
      <c r="A196">
        <v>2024</v>
      </c>
      <c r="B196">
        <v>8</v>
      </c>
      <c r="C196" t="s">
        <v>71</v>
      </c>
      <c r="D196" t="s">
        <v>210</v>
      </c>
      <c r="E196" t="s">
        <v>211</v>
      </c>
      <c r="F196">
        <v>4</v>
      </c>
      <c r="G196">
        <v>338364</v>
      </c>
      <c r="H196">
        <v>335124</v>
      </c>
      <c r="I196">
        <v>285064</v>
      </c>
      <c r="J196">
        <v>398143</v>
      </c>
      <c r="K196">
        <v>328807</v>
      </c>
      <c r="L196">
        <v>341442</v>
      </c>
    </row>
    <row r="197" spans="1:12" x14ac:dyDescent="0.35">
      <c r="A197">
        <v>2024</v>
      </c>
      <c r="B197">
        <v>9</v>
      </c>
      <c r="C197" t="s">
        <v>72</v>
      </c>
      <c r="D197" t="s">
        <v>164</v>
      </c>
      <c r="E197" t="s">
        <v>165</v>
      </c>
      <c r="F197">
        <v>83</v>
      </c>
      <c r="G197">
        <v>310921</v>
      </c>
      <c r="H197">
        <v>308019</v>
      </c>
      <c r="I197">
        <v>262564</v>
      </c>
      <c r="J197">
        <v>378474</v>
      </c>
      <c r="K197">
        <v>298252</v>
      </c>
      <c r="L197">
        <v>326442</v>
      </c>
    </row>
    <row r="198" spans="1:12" x14ac:dyDescent="0.35">
      <c r="A198">
        <v>2024</v>
      </c>
      <c r="B198">
        <v>9</v>
      </c>
      <c r="C198" t="s">
        <v>72</v>
      </c>
      <c r="D198" t="s">
        <v>166</v>
      </c>
      <c r="E198" t="s">
        <v>167</v>
      </c>
      <c r="F198">
        <v>3036</v>
      </c>
      <c r="G198">
        <v>250809</v>
      </c>
      <c r="H198">
        <v>233357</v>
      </c>
      <c r="I198">
        <v>191418</v>
      </c>
      <c r="J198">
        <v>465963</v>
      </c>
      <c r="K198">
        <v>211787</v>
      </c>
      <c r="L198">
        <v>278486</v>
      </c>
    </row>
    <row r="199" spans="1:12" x14ac:dyDescent="0.35">
      <c r="A199">
        <v>2024</v>
      </c>
      <c r="B199">
        <v>9</v>
      </c>
      <c r="C199" t="s">
        <v>72</v>
      </c>
      <c r="D199" t="s">
        <v>168</v>
      </c>
      <c r="E199" t="s">
        <v>169</v>
      </c>
      <c r="F199">
        <v>52</v>
      </c>
      <c r="G199">
        <v>291797</v>
      </c>
      <c r="H199">
        <v>283486</v>
      </c>
      <c r="I199">
        <v>262564</v>
      </c>
      <c r="J199">
        <v>341442</v>
      </c>
      <c r="K199">
        <v>275986</v>
      </c>
      <c r="L199">
        <v>308252</v>
      </c>
    </row>
    <row r="200" spans="1:12" x14ac:dyDescent="0.35">
      <c r="A200">
        <v>2024</v>
      </c>
      <c r="B200">
        <v>9</v>
      </c>
      <c r="C200" t="s">
        <v>72</v>
      </c>
      <c r="D200" t="s">
        <v>170</v>
      </c>
      <c r="E200" t="s">
        <v>171</v>
      </c>
      <c r="F200">
        <v>16</v>
      </c>
      <c r="G200">
        <v>281563</v>
      </c>
      <c r="H200">
        <v>284275</v>
      </c>
      <c r="I200">
        <v>262564</v>
      </c>
      <c r="J200">
        <v>298486</v>
      </c>
      <c r="K200">
        <v>275986</v>
      </c>
      <c r="L200">
        <v>290986</v>
      </c>
    </row>
    <row r="201" spans="1:12" x14ac:dyDescent="0.35">
      <c r="A201">
        <v>2024</v>
      </c>
      <c r="B201">
        <v>9</v>
      </c>
      <c r="C201" t="s">
        <v>72</v>
      </c>
      <c r="D201" t="s">
        <v>172</v>
      </c>
      <c r="E201" t="s">
        <v>173</v>
      </c>
      <c r="F201">
        <v>648</v>
      </c>
      <c r="G201">
        <v>242536</v>
      </c>
      <c r="H201">
        <v>240765</v>
      </c>
      <c r="I201">
        <v>207526</v>
      </c>
      <c r="J201">
        <v>289324</v>
      </c>
      <c r="K201">
        <v>228265</v>
      </c>
      <c r="L201">
        <v>254324</v>
      </c>
    </row>
    <row r="202" spans="1:12" x14ac:dyDescent="0.35">
      <c r="A202">
        <v>2024</v>
      </c>
      <c r="B202">
        <v>9</v>
      </c>
      <c r="C202" t="s">
        <v>72</v>
      </c>
      <c r="D202" t="s">
        <v>174</v>
      </c>
      <c r="E202" t="s">
        <v>175</v>
      </c>
      <c r="F202">
        <v>122</v>
      </c>
      <c r="G202">
        <v>287905</v>
      </c>
      <c r="H202">
        <v>289158</v>
      </c>
      <c r="I202">
        <v>262564</v>
      </c>
      <c r="J202">
        <v>320752</v>
      </c>
      <c r="K202">
        <v>275986</v>
      </c>
      <c r="L202">
        <v>298252</v>
      </c>
    </row>
    <row r="203" spans="1:12" x14ac:dyDescent="0.35">
      <c r="A203">
        <v>2024</v>
      </c>
      <c r="B203">
        <v>9</v>
      </c>
      <c r="C203" t="s">
        <v>72</v>
      </c>
      <c r="D203" t="s">
        <v>176</v>
      </c>
      <c r="E203" t="s">
        <v>177</v>
      </c>
      <c r="F203">
        <v>5</v>
      </c>
      <c r="G203">
        <v>368556</v>
      </c>
      <c r="H203">
        <v>371295</v>
      </c>
      <c r="I203">
        <v>280063</v>
      </c>
      <c r="J203">
        <v>445729</v>
      </c>
      <c r="K203">
        <v>365974</v>
      </c>
      <c r="L203">
        <v>379719</v>
      </c>
    </row>
    <row r="204" spans="1:12" x14ac:dyDescent="0.35">
      <c r="A204">
        <v>2024</v>
      </c>
      <c r="B204">
        <v>9</v>
      </c>
      <c r="C204" t="s">
        <v>72</v>
      </c>
      <c r="D204" t="s">
        <v>178</v>
      </c>
      <c r="E204" t="s">
        <v>179</v>
      </c>
      <c r="F204">
        <v>26</v>
      </c>
      <c r="G204">
        <v>281755</v>
      </c>
      <c r="H204">
        <v>275986</v>
      </c>
      <c r="I204">
        <v>275986</v>
      </c>
      <c r="J204">
        <v>298486</v>
      </c>
      <c r="K204">
        <v>275986</v>
      </c>
      <c r="L204">
        <v>290986</v>
      </c>
    </row>
    <row r="205" spans="1:12" x14ac:dyDescent="0.35">
      <c r="A205">
        <v>2024</v>
      </c>
      <c r="B205">
        <v>9</v>
      </c>
      <c r="C205" t="s">
        <v>72</v>
      </c>
      <c r="D205" t="s">
        <v>180</v>
      </c>
      <c r="E205" t="s">
        <v>181</v>
      </c>
      <c r="F205">
        <v>4020</v>
      </c>
      <c r="G205">
        <v>323568</v>
      </c>
      <c r="H205">
        <v>318019</v>
      </c>
      <c r="I205">
        <v>260064</v>
      </c>
      <c r="J205">
        <v>466517</v>
      </c>
      <c r="K205">
        <v>290752</v>
      </c>
      <c r="L205">
        <v>343019</v>
      </c>
    </row>
    <row r="206" spans="1:12" x14ac:dyDescent="0.35">
      <c r="A206">
        <v>2024</v>
      </c>
      <c r="B206">
        <v>9</v>
      </c>
      <c r="C206" t="s">
        <v>72</v>
      </c>
      <c r="D206" t="s">
        <v>182</v>
      </c>
      <c r="E206" t="s">
        <v>183</v>
      </c>
      <c r="F206">
        <v>149</v>
      </c>
      <c r="G206">
        <v>354046</v>
      </c>
      <c r="H206">
        <v>333942</v>
      </c>
      <c r="I206">
        <v>262564</v>
      </c>
      <c r="J206">
        <v>459017</v>
      </c>
      <c r="K206">
        <v>305519</v>
      </c>
      <c r="L206">
        <v>402219</v>
      </c>
    </row>
    <row r="207" spans="1:12" x14ac:dyDescent="0.35">
      <c r="A207">
        <v>2024</v>
      </c>
      <c r="B207">
        <v>9</v>
      </c>
      <c r="C207" t="s">
        <v>72</v>
      </c>
      <c r="D207" t="s">
        <v>184</v>
      </c>
      <c r="E207" t="s">
        <v>185</v>
      </c>
      <c r="F207">
        <v>2</v>
      </c>
      <c r="G207">
        <v>364029</v>
      </c>
      <c r="H207">
        <v>364029</v>
      </c>
      <c r="I207">
        <v>328573</v>
      </c>
      <c r="J207">
        <v>399485</v>
      </c>
      <c r="K207">
        <v>328573</v>
      </c>
      <c r="L207">
        <v>399485</v>
      </c>
    </row>
    <row r="208" spans="1:12" x14ac:dyDescent="0.35">
      <c r="A208">
        <v>2024</v>
      </c>
      <c r="B208">
        <v>9</v>
      </c>
      <c r="C208" t="s">
        <v>72</v>
      </c>
      <c r="D208" t="s">
        <v>186</v>
      </c>
      <c r="E208" t="s">
        <v>187</v>
      </c>
      <c r="F208">
        <v>960</v>
      </c>
      <c r="G208">
        <v>287268</v>
      </c>
      <c r="H208">
        <v>285064</v>
      </c>
      <c r="I208">
        <v>260064</v>
      </c>
      <c r="J208">
        <v>510348</v>
      </c>
      <c r="K208">
        <v>275986</v>
      </c>
      <c r="L208">
        <v>298252</v>
      </c>
    </row>
    <row r="209" spans="1:12" x14ac:dyDescent="0.35">
      <c r="A209">
        <v>2024</v>
      </c>
      <c r="B209">
        <v>9</v>
      </c>
      <c r="C209" t="s">
        <v>72</v>
      </c>
      <c r="D209" t="s">
        <v>188</v>
      </c>
      <c r="E209" t="s">
        <v>189</v>
      </c>
      <c r="F209">
        <v>951</v>
      </c>
      <c r="G209">
        <v>414679</v>
      </c>
      <c r="H209">
        <v>388242</v>
      </c>
      <c r="I209">
        <v>309915</v>
      </c>
      <c r="J209">
        <v>703145</v>
      </c>
      <c r="K209">
        <v>362134</v>
      </c>
      <c r="L209">
        <v>461234</v>
      </c>
    </row>
    <row r="210" spans="1:12" x14ac:dyDescent="0.35">
      <c r="A210">
        <v>2024</v>
      </c>
      <c r="B210">
        <v>9</v>
      </c>
      <c r="C210" t="s">
        <v>72</v>
      </c>
      <c r="D210" t="s">
        <v>190</v>
      </c>
      <c r="E210" t="s">
        <v>191</v>
      </c>
      <c r="F210">
        <v>14901</v>
      </c>
      <c r="G210">
        <v>274938</v>
      </c>
      <c r="H210">
        <v>252427</v>
      </c>
      <c r="I210">
        <v>191418</v>
      </c>
      <c r="J210">
        <v>635801</v>
      </c>
      <c r="K210">
        <v>219003</v>
      </c>
      <c r="L210">
        <v>310336</v>
      </c>
    </row>
    <row r="211" spans="1:12" x14ac:dyDescent="0.35">
      <c r="A211">
        <v>2024</v>
      </c>
      <c r="B211">
        <v>9</v>
      </c>
      <c r="C211" t="s">
        <v>72</v>
      </c>
      <c r="D211" t="s">
        <v>192</v>
      </c>
      <c r="E211" t="s">
        <v>193</v>
      </c>
      <c r="F211">
        <v>140</v>
      </c>
      <c r="G211">
        <v>326654</v>
      </c>
      <c r="H211">
        <v>320519</v>
      </c>
      <c r="I211">
        <v>270064</v>
      </c>
      <c r="J211">
        <v>435729</v>
      </c>
      <c r="K211">
        <v>305519</v>
      </c>
      <c r="L211">
        <v>341442</v>
      </c>
    </row>
    <row r="212" spans="1:12" x14ac:dyDescent="0.35">
      <c r="A212">
        <v>2024</v>
      </c>
      <c r="B212">
        <v>9</v>
      </c>
      <c r="C212" t="s">
        <v>72</v>
      </c>
      <c r="D212" t="s">
        <v>194</v>
      </c>
      <c r="E212" t="s">
        <v>195</v>
      </c>
      <c r="F212">
        <v>3520</v>
      </c>
      <c r="G212">
        <v>279538</v>
      </c>
      <c r="H212">
        <v>251553</v>
      </c>
      <c r="I212">
        <v>206184</v>
      </c>
      <c r="J212">
        <v>598304</v>
      </c>
      <c r="K212">
        <v>230765</v>
      </c>
      <c r="L212">
        <v>318486</v>
      </c>
    </row>
    <row r="213" spans="1:12" x14ac:dyDescent="0.35">
      <c r="A213">
        <v>2024</v>
      </c>
      <c r="B213">
        <v>9</v>
      </c>
      <c r="C213" t="s">
        <v>72</v>
      </c>
      <c r="D213" t="s">
        <v>196</v>
      </c>
      <c r="E213" t="s">
        <v>197</v>
      </c>
      <c r="F213">
        <v>2456</v>
      </c>
      <c r="G213">
        <v>326779</v>
      </c>
      <c r="H213">
        <v>318942</v>
      </c>
      <c r="I213">
        <v>203868</v>
      </c>
      <c r="J213">
        <v>575804</v>
      </c>
      <c r="K213">
        <v>270988</v>
      </c>
      <c r="L213">
        <v>393143</v>
      </c>
    </row>
    <row r="214" spans="1:12" x14ac:dyDescent="0.35">
      <c r="A214">
        <v>2024</v>
      </c>
      <c r="B214">
        <v>9</v>
      </c>
      <c r="C214" t="s">
        <v>72</v>
      </c>
      <c r="D214" t="s">
        <v>198</v>
      </c>
      <c r="E214" t="s">
        <v>199</v>
      </c>
      <c r="F214">
        <v>205</v>
      </c>
      <c r="G214">
        <v>409176</v>
      </c>
      <c r="H214">
        <v>406985</v>
      </c>
      <c r="I214">
        <v>313573</v>
      </c>
      <c r="J214">
        <v>560804</v>
      </c>
      <c r="K214">
        <v>390324</v>
      </c>
      <c r="L214">
        <v>429485</v>
      </c>
    </row>
    <row r="215" spans="1:12" x14ac:dyDescent="0.35">
      <c r="A215">
        <v>2024</v>
      </c>
      <c r="B215">
        <v>9</v>
      </c>
      <c r="C215" t="s">
        <v>72</v>
      </c>
      <c r="D215" t="s">
        <v>200</v>
      </c>
      <c r="E215" t="s">
        <v>201</v>
      </c>
      <c r="F215">
        <v>460</v>
      </c>
      <c r="G215">
        <v>355796</v>
      </c>
      <c r="H215">
        <v>348290</v>
      </c>
      <c r="I215">
        <v>262564</v>
      </c>
      <c r="J215">
        <v>470544</v>
      </c>
      <c r="K215">
        <v>313573</v>
      </c>
      <c r="L215">
        <v>401295</v>
      </c>
    </row>
    <row r="216" spans="1:12" x14ac:dyDescent="0.35">
      <c r="A216">
        <v>2024</v>
      </c>
      <c r="B216">
        <v>9</v>
      </c>
      <c r="C216" t="s">
        <v>72</v>
      </c>
      <c r="D216" t="s">
        <v>202</v>
      </c>
      <c r="E216" t="s">
        <v>203</v>
      </c>
      <c r="F216">
        <v>1173</v>
      </c>
      <c r="G216">
        <v>308218</v>
      </c>
      <c r="H216">
        <v>298252</v>
      </c>
      <c r="I216">
        <v>194102</v>
      </c>
      <c r="J216">
        <v>460963</v>
      </c>
      <c r="K216">
        <v>265988</v>
      </c>
      <c r="L216">
        <v>366295</v>
      </c>
    </row>
    <row r="217" spans="1:12" x14ac:dyDescent="0.35">
      <c r="A217">
        <v>2024</v>
      </c>
      <c r="B217">
        <v>9</v>
      </c>
      <c r="C217" t="s">
        <v>72</v>
      </c>
      <c r="D217" t="s">
        <v>204</v>
      </c>
      <c r="E217" t="s">
        <v>205</v>
      </c>
      <c r="F217">
        <v>360</v>
      </c>
      <c r="G217">
        <v>380636</v>
      </c>
      <c r="H217">
        <v>384719</v>
      </c>
      <c r="I217">
        <v>262564</v>
      </c>
      <c r="J217">
        <v>575804</v>
      </c>
      <c r="K217">
        <v>328573</v>
      </c>
      <c r="L217">
        <v>424436</v>
      </c>
    </row>
    <row r="218" spans="1:12" x14ac:dyDescent="0.35">
      <c r="A218">
        <v>2024</v>
      </c>
      <c r="B218">
        <v>9</v>
      </c>
      <c r="C218" t="s">
        <v>72</v>
      </c>
      <c r="D218" t="s">
        <v>206</v>
      </c>
      <c r="E218" t="s">
        <v>207</v>
      </c>
      <c r="F218">
        <v>2907</v>
      </c>
      <c r="G218">
        <v>292881</v>
      </c>
      <c r="H218">
        <v>285064</v>
      </c>
      <c r="I218">
        <v>242797</v>
      </c>
      <c r="J218">
        <v>458229</v>
      </c>
      <c r="K218">
        <v>275986</v>
      </c>
      <c r="L218">
        <v>303019</v>
      </c>
    </row>
    <row r="219" spans="1:12" x14ac:dyDescent="0.35">
      <c r="A219">
        <v>2024</v>
      </c>
      <c r="B219">
        <v>9</v>
      </c>
      <c r="C219" t="s">
        <v>72</v>
      </c>
      <c r="D219" t="s">
        <v>208</v>
      </c>
      <c r="E219" t="s">
        <v>209</v>
      </c>
      <c r="F219">
        <v>5</v>
      </c>
      <c r="G219">
        <v>260157</v>
      </c>
      <c r="H219">
        <v>261590</v>
      </c>
      <c r="I219">
        <v>250716</v>
      </c>
      <c r="J219">
        <v>266590</v>
      </c>
      <c r="K219">
        <v>255297</v>
      </c>
      <c r="L219">
        <v>266590</v>
      </c>
    </row>
    <row r="220" spans="1:12" x14ac:dyDescent="0.35">
      <c r="A220">
        <v>2024</v>
      </c>
      <c r="B220">
        <v>9</v>
      </c>
      <c r="C220" t="s">
        <v>72</v>
      </c>
      <c r="D220" t="s">
        <v>210</v>
      </c>
      <c r="E220" t="s">
        <v>211</v>
      </c>
      <c r="F220">
        <v>10</v>
      </c>
      <c r="G220">
        <v>292884</v>
      </c>
      <c r="H220">
        <v>262564</v>
      </c>
      <c r="I220">
        <v>262564</v>
      </c>
      <c r="J220">
        <v>398143</v>
      </c>
      <c r="K220">
        <v>262564</v>
      </c>
      <c r="L220">
        <v>328807</v>
      </c>
    </row>
    <row r="221" spans="1:12" x14ac:dyDescent="0.35">
      <c r="A221">
        <v>2024</v>
      </c>
      <c r="B221">
        <v>10</v>
      </c>
      <c r="C221" t="s">
        <v>73</v>
      </c>
      <c r="D221" t="s">
        <v>164</v>
      </c>
      <c r="E221" t="s">
        <v>165</v>
      </c>
      <c r="F221">
        <v>83</v>
      </c>
      <c r="G221">
        <v>313088</v>
      </c>
      <c r="H221">
        <v>313019</v>
      </c>
      <c r="I221">
        <v>262564</v>
      </c>
      <c r="J221">
        <v>378474</v>
      </c>
      <c r="K221">
        <v>298486</v>
      </c>
      <c r="L221">
        <v>326442</v>
      </c>
    </row>
    <row r="222" spans="1:12" x14ac:dyDescent="0.35">
      <c r="A222">
        <v>2024</v>
      </c>
      <c r="B222">
        <v>10</v>
      </c>
      <c r="C222" t="s">
        <v>73</v>
      </c>
      <c r="D222" t="s">
        <v>166</v>
      </c>
      <c r="E222" t="s">
        <v>167</v>
      </c>
      <c r="F222">
        <v>3021</v>
      </c>
      <c r="G222">
        <v>251261</v>
      </c>
      <c r="H222">
        <v>233820</v>
      </c>
      <c r="I222">
        <v>191418</v>
      </c>
      <c r="J222">
        <v>465963</v>
      </c>
      <c r="K222">
        <v>211787</v>
      </c>
      <c r="L222">
        <v>278486</v>
      </c>
    </row>
    <row r="223" spans="1:12" x14ac:dyDescent="0.35">
      <c r="A223">
        <v>2024</v>
      </c>
      <c r="B223">
        <v>10</v>
      </c>
      <c r="C223" t="s">
        <v>73</v>
      </c>
      <c r="D223" t="s">
        <v>168</v>
      </c>
      <c r="E223" t="s">
        <v>169</v>
      </c>
      <c r="F223">
        <v>51</v>
      </c>
      <c r="G223">
        <v>293337</v>
      </c>
      <c r="H223">
        <v>283486</v>
      </c>
      <c r="I223">
        <v>262564</v>
      </c>
      <c r="J223">
        <v>341442</v>
      </c>
      <c r="K223">
        <v>275986</v>
      </c>
      <c r="L223">
        <v>315519</v>
      </c>
    </row>
    <row r="224" spans="1:12" x14ac:dyDescent="0.35">
      <c r="A224">
        <v>2024</v>
      </c>
      <c r="B224">
        <v>10</v>
      </c>
      <c r="C224" t="s">
        <v>73</v>
      </c>
      <c r="D224" t="s">
        <v>170</v>
      </c>
      <c r="E224" t="s">
        <v>171</v>
      </c>
      <c r="F224">
        <v>16</v>
      </c>
      <c r="G224">
        <v>281563</v>
      </c>
      <c r="H224">
        <v>284275</v>
      </c>
      <c r="I224">
        <v>262564</v>
      </c>
      <c r="J224">
        <v>298486</v>
      </c>
      <c r="K224">
        <v>275986</v>
      </c>
      <c r="L224">
        <v>290986</v>
      </c>
    </row>
    <row r="225" spans="1:12" x14ac:dyDescent="0.35">
      <c r="A225">
        <v>2024</v>
      </c>
      <c r="B225">
        <v>10</v>
      </c>
      <c r="C225" t="s">
        <v>73</v>
      </c>
      <c r="D225" t="s">
        <v>172</v>
      </c>
      <c r="E225" t="s">
        <v>173</v>
      </c>
      <c r="F225">
        <v>696</v>
      </c>
      <c r="G225">
        <v>241362</v>
      </c>
      <c r="H225">
        <v>240765</v>
      </c>
      <c r="I225">
        <v>207526</v>
      </c>
      <c r="J225">
        <v>289324</v>
      </c>
      <c r="K225">
        <v>227895</v>
      </c>
      <c r="L225">
        <v>251824</v>
      </c>
    </row>
    <row r="226" spans="1:12" x14ac:dyDescent="0.35">
      <c r="A226">
        <v>2024</v>
      </c>
      <c r="B226">
        <v>10</v>
      </c>
      <c r="C226" t="s">
        <v>73</v>
      </c>
      <c r="D226" t="s">
        <v>174</v>
      </c>
      <c r="E226" t="s">
        <v>175</v>
      </c>
      <c r="F226">
        <v>123</v>
      </c>
      <c r="G226">
        <v>287881</v>
      </c>
      <c r="H226">
        <v>287564</v>
      </c>
      <c r="I226">
        <v>262564</v>
      </c>
      <c r="J226">
        <v>321442</v>
      </c>
      <c r="K226">
        <v>275986</v>
      </c>
      <c r="L226">
        <v>298252</v>
      </c>
    </row>
    <row r="227" spans="1:12" x14ac:dyDescent="0.35">
      <c r="A227">
        <v>2024</v>
      </c>
      <c r="B227">
        <v>10</v>
      </c>
      <c r="C227" t="s">
        <v>73</v>
      </c>
      <c r="D227" t="s">
        <v>176</v>
      </c>
      <c r="E227" t="s">
        <v>177</v>
      </c>
      <c r="F227">
        <v>5</v>
      </c>
      <c r="G227">
        <v>373120</v>
      </c>
      <c r="H227">
        <v>379719</v>
      </c>
      <c r="I227">
        <v>280063</v>
      </c>
      <c r="J227">
        <v>445729</v>
      </c>
      <c r="K227">
        <v>371295</v>
      </c>
      <c r="L227">
        <v>388795</v>
      </c>
    </row>
    <row r="228" spans="1:12" x14ac:dyDescent="0.35">
      <c r="A228">
        <v>2024</v>
      </c>
      <c r="B228">
        <v>10</v>
      </c>
      <c r="C228" t="s">
        <v>73</v>
      </c>
      <c r="D228" t="s">
        <v>178</v>
      </c>
      <c r="E228" t="s">
        <v>179</v>
      </c>
      <c r="F228">
        <v>26</v>
      </c>
      <c r="G228">
        <v>281467</v>
      </c>
      <c r="H228">
        <v>275986</v>
      </c>
      <c r="I228">
        <v>275986</v>
      </c>
      <c r="J228">
        <v>298486</v>
      </c>
      <c r="K228">
        <v>275986</v>
      </c>
      <c r="L228">
        <v>283486</v>
      </c>
    </row>
    <row r="229" spans="1:12" x14ac:dyDescent="0.35">
      <c r="A229">
        <v>2024</v>
      </c>
      <c r="B229">
        <v>10</v>
      </c>
      <c r="C229" t="s">
        <v>73</v>
      </c>
      <c r="D229" t="s">
        <v>180</v>
      </c>
      <c r="E229" t="s">
        <v>181</v>
      </c>
      <c r="F229">
        <v>4027</v>
      </c>
      <c r="G229">
        <v>323670</v>
      </c>
      <c r="H229">
        <v>318019</v>
      </c>
      <c r="I229">
        <v>260064</v>
      </c>
      <c r="J229">
        <v>466517</v>
      </c>
      <c r="K229">
        <v>290752</v>
      </c>
      <c r="L229">
        <v>343019</v>
      </c>
    </row>
    <row r="230" spans="1:12" x14ac:dyDescent="0.35">
      <c r="A230">
        <v>2024</v>
      </c>
      <c r="B230">
        <v>10</v>
      </c>
      <c r="C230" t="s">
        <v>73</v>
      </c>
      <c r="D230" t="s">
        <v>182</v>
      </c>
      <c r="E230" t="s">
        <v>183</v>
      </c>
      <c r="F230">
        <v>149</v>
      </c>
      <c r="G230">
        <v>355313</v>
      </c>
      <c r="H230">
        <v>335052</v>
      </c>
      <c r="I230">
        <v>262564</v>
      </c>
      <c r="J230">
        <v>459017</v>
      </c>
      <c r="K230">
        <v>305519</v>
      </c>
      <c r="L230">
        <v>402219</v>
      </c>
    </row>
    <row r="231" spans="1:12" x14ac:dyDescent="0.35">
      <c r="A231">
        <v>2024</v>
      </c>
      <c r="B231">
        <v>10</v>
      </c>
      <c r="C231" t="s">
        <v>73</v>
      </c>
      <c r="D231" t="s">
        <v>184</v>
      </c>
      <c r="E231" t="s">
        <v>185</v>
      </c>
      <c r="F231">
        <v>2</v>
      </c>
      <c r="G231">
        <v>364029</v>
      </c>
      <c r="H231">
        <v>364029</v>
      </c>
      <c r="I231">
        <v>328573</v>
      </c>
      <c r="J231">
        <v>399485</v>
      </c>
      <c r="K231">
        <v>328573</v>
      </c>
      <c r="L231">
        <v>399485</v>
      </c>
    </row>
    <row r="232" spans="1:12" x14ac:dyDescent="0.35">
      <c r="A232">
        <v>2024</v>
      </c>
      <c r="B232">
        <v>10</v>
      </c>
      <c r="C232" t="s">
        <v>73</v>
      </c>
      <c r="D232" t="s">
        <v>186</v>
      </c>
      <c r="E232" t="s">
        <v>187</v>
      </c>
      <c r="F232">
        <v>967</v>
      </c>
      <c r="G232">
        <v>287482</v>
      </c>
      <c r="H232">
        <v>285752</v>
      </c>
      <c r="I232">
        <v>262564</v>
      </c>
      <c r="J232">
        <v>510348</v>
      </c>
      <c r="K232">
        <v>275986</v>
      </c>
      <c r="L232">
        <v>298252</v>
      </c>
    </row>
    <row r="233" spans="1:12" x14ac:dyDescent="0.35">
      <c r="A233">
        <v>2024</v>
      </c>
      <c r="B233">
        <v>10</v>
      </c>
      <c r="C233" t="s">
        <v>73</v>
      </c>
      <c r="D233" t="s">
        <v>188</v>
      </c>
      <c r="E233" t="s">
        <v>189</v>
      </c>
      <c r="F233">
        <v>948</v>
      </c>
      <c r="G233">
        <v>413568</v>
      </c>
      <c r="H233">
        <v>388241</v>
      </c>
      <c r="I233">
        <v>309915</v>
      </c>
      <c r="J233">
        <v>703145</v>
      </c>
      <c r="K233">
        <v>362134</v>
      </c>
      <c r="L233">
        <v>458415</v>
      </c>
    </row>
    <row r="234" spans="1:12" x14ac:dyDescent="0.35">
      <c r="A234">
        <v>2024</v>
      </c>
      <c r="B234">
        <v>10</v>
      </c>
      <c r="C234" t="s">
        <v>73</v>
      </c>
      <c r="D234" t="s">
        <v>190</v>
      </c>
      <c r="E234" t="s">
        <v>191</v>
      </c>
      <c r="F234">
        <v>15069</v>
      </c>
      <c r="G234">
        <v>274468</v>
      </c>
      <c r="H234">
        <v>251824</v>
      </c>
      <c r="I234">
        <v>191418</v>
      </c>
      <c r="J234">
        <v>632789</v>
      </c>
      <c r="K234">
        <v>218684</v>
      </c>
      <c r="L234">
        <v>308575</v>
      </c>
    </row>
    <row r="235" spans="1:12" x14ac:dyDescent="0.35">
      <c r="A235">
        <v>2024</v>
      </c>
      <c r="B235">
        <v>10</v>
      </c>
      <c r="C235" t="s">
        <v>73</v>
      </c>
      <c r="D235" t="s">
        <v>192</v>
      </c>
      <c r="E235" t="s">
        <v>193</v>
      </c>
      <c r="F235">
        <v>141</v>
      </c>
      <c r="G235">
        <v>326678</v>
      </c>
      <c r="H235">
        <v>320519</v>
      </c>
      <c r="I235">
        <v>270986</v>
      </c>
      <c r="J235">
        <v>435729</v>
      </c>
      <c r="K235">
        <v>305519</v>
      </c>
      <c r="L235">
        <v>341442</v>
      </c>
    </row>
    <row r="236" spans="1:12" x14ac:dyDescent="0.35">
      <c r="A236">
        <v>2024</v>
      </c>
      <c r="B236">
        <v>10</v>
      </c>
      <c r="C236" t="s">
        <v>73</v>
      </c>
      <c r="D236" t="s">
        <v>194</v>
      </c>
      <c r="E236" t="s">
        <v>195</v>
      </c>
      <c r="F236">
        <v>3530</v>
      </c>
      <c r="G236">
        <v>280421</v>
      </c>
      <c r="H236">
        <v>253265</v>
      </c>
      <c r="I236">
        <v>206184</v>
      </c>
      <c r="J236">
        <v>590804</v>
      </c>
      <c r="K236">
        <v>231184</v>
      </c>
      <c r="L236">
        <v>318486</v>
      </c>
    </row>
    <row r="237" spans="1:12" x14ac:dyDescent="0.35">
      <c r="A237">
        <v>2024</v>
      </c>
      <c r="B237">
        <v>10</v>
      </c>
      <c r="C237" t="s">
        <v>73</v>
      </c>
      <c r="D237" t="s">
        <v>196</v>
      </c>
      <c r="E237" t="s">
        <v>197</v>
      </c>
      <c r="F237">
        <v>2460</v>
      </c>
      <c r="G237">
        <v>326908</v>
      </c>
      <c r="H237">
        <v>318942</v>
      </c>
      <c r="I237">
        <v>203868</v>
      </c>
      <c r="J237">
        <v>575804</v>
      </c>
      <c r="K237">
        <v>270988</v>
      </c>
      <c r="L237">
        <v>392822</v>
      </c>
    </row>
    <row r="238" spans="1:12" x14ac:dyDescent="0.35">
      <c r="A238">
        <v>2024</v>
      </c>
      <c r="B238">
        <v>10</v>
      </c>
      <c r="C238" t="s">
        <v>73</v>
      </c>
      <c r="D238" t="s">
        <v>198</v>
      </c>
      <c r="E238" t="s">
        <v>199</v>
      </c>
      <c r="F238">
        <v>210</v>
      </c>
      <c r="G238">
        <v>408629</v>
      </c>
      <c r="H238">
        <v>406985</v>
      </c>
      <c r="I238">
        <v>302834</v>
      </c>
      <c r="J238">
        <v>560804</v>
      </c>
      <c r="K238">
        <v>390324</v>
      </c>
      <c r="L238">
        <v>426936</v>
      </c>
    </row>
    <row r="239" spans="1:12" x14ac:dyDescent="0.35">
      <c r="A239">
        <v>2024</v>
      </c>
      <c r="B239">
        <v>10</v>
      </c>
      <c r="C239" t="s">
        <v>73</v>
      </c>
      <c r="D239" t="s">
        <v>200</v>
      </c>
      <c r="E239" t="s">
        <v>201</v>
      </c>
      <c r="F239">
        <v>459</v>
      </c>
      <c r="G239">
        <v>355884</v>
      </c>
      <c r="H239">
        <v>348290</v>
      </c>
      <c r="I239">
        <v>262564</v>
      </c>
      <c r="J239">
        <v>470544</v>
      </c>
      <c r="K239">
        <v>313573</v>
      </c>
      <c r="L239">
        <v>401295</v>
      </c>
    </row>
    <row r="240" spans="1:12" x14ac:dyDescent="0.35">
      <c r="A240">
        <v>2024</v>
      </c>
      <c r="B240">
        <v>10</v>
      </c>
      <c r="C240" t="s">
        <v>73</v>
      </c>
      <c r="D240" t="s">
        <v>202</v>
      </c>
      <c r="E240" t="s">
        <v>203</v>
      </c>
      <c r="F240">
        <v>1161</v>
      </c>
      <c r="G240">
        <v>308422</v>
      </c>
      <c r="H240">
        <v>298252</v>
      </c>
      <c r="I240">
        <v>194102</v>
      </c>
      <c r="J240">
        <v>460963</v>
      </c>
      <c r="K240">
        <v>267846</v>
      </c>
      <c r="L240">
        <v>366295</v>
      </c>
    </row>
    <row r="241" spans="1:12" x14ac:dyDescent="0.35">
      <c r="A241">
        <v>2024</v>
      </c>
      <c r="B241">
        <v>10</v>
      </c>
      <c r="C241" t="s">
        <v>73</v>
      </c>
      <c r="D241" t="s">
        <v>204</v>
      </c>
      <c r="E241" t="s">
        <v>205</v>
      </c>
      <c r="F241">
        <v>358</v>
      </c>
      <c r="G241">
        <v>381377</v>
      </c>
      <c r="H241">
        <v>384719</v>
      </c>
      <c r="I241">
        <v>262564</v>
      </c>
      <c r="J241">
        <v>575804</v>
      </c>
      <c r="K241">
        <v>330655</v>
      </c>
      <c r="L241">
        <v>424436</v>
      </c>
    </row>
    <row r="242" spans="1:12" x14ac:dyDescent="0.35">
      <c r="A242">
        <v>2024</v>
      </c>
      <c r="B242">
        <v>10</v>
      </c>
      <c r="C242" t="s">
        <v>73</v>
      </c>
      <c r="D242" t="s">
        <v>206</v>
      </c>
      <c r="E242" t="s">
        <v>207</v>
      </c>
      <c r="F242">
        <v>2929</v>
      </c>
      <c r="G242">
        <v>292997</v>
      </c>
      <c r="H242">
        <v>285064</v>
      </c>
      <c r="I242">
        <v>242797</v>
      </c>
      <c r="J242">
        <v>458229</v>
      </c>
      <c r="K242">
        <v>275986</v>
      </c>
      <c r="L242">
        <v>305519</v>
      </c>
    </row>
    <row r="243" spans="1:12" x14ac:dyDescent="0.35">
      <c r="A243">
        <v>2024</v>
      </c>
      <c r="B243">
        <v>10</v>
      </c>
      <c r="C243" t="s">
        <v>73</v>
      </c>
      <c r="D243" t="s">
        <v>208</v>
      </c>
      <c r="E243" t="s">
        <v>209</v>
      </c>
      <c r="F243">
        <v>5</v>
      </c>
      <c r="G243">
        <v>260157</v>
      </c>
      <c r="H243">
        <v>261590</v>
      </c>
      <c r="I243">
        <v>250716</v>
      </c>
      <c r="J243">
        <v>266590</v>
      </c>
      <c r="K243">
        <v>255297</v>
      </c>
      <c r="L243">
        <v>266590</v>
      </c>
    </row>
    <row r="244" spans="1:12" x14ac:dyDescent="0.35">
      <c r="A244">
        <v>2024</v>
      </c>
      <c r="B244">
        <v>10</v>
      </c>
      <c r="C244" t="s">
        <v>73</v>
      </c>
      <c r="D244" t="s">
        <v>210</v>
      </c>
      <c r="E244" t="s">
        <v>211</v>
      </c>
      <c r="F244">
        <v>10</v>
      </c>
      <c r="G244">
        <v>292884</v>
      </c>
      <c r="H244">
        <v>262564</v>
      </c>
      <c r="I244">
        <v>262564</v>
      </c>
      <c r="J244">
        <v>398143</v>
      </c>
      <c r="K244">
        <v>262564</v>
      </c>
      <c r="L244">
        <v>328807</v>
      </c>
    </row>
    <row r="245" spans="1:12" x14ac:dyDescent="0.35">
      <c r="A245">
        <v>2024</v>
      </c>
      <c r="B245">
        <v>11</v>
      </c>
      <c r="C245" t="s">
        <v>74</v>
      </c>
      <c r="D245" t="s">
        <v>164</v>
      </c>
      <c r="E245" t="s">
        <v>165</v>
      </c>
      <c r="F245">
        <v>84</v>
      </c>
      <c r="G245">
        <v>313090</v>
      </c>
      <c r="H245">
        <v>310636</v>
      </c>
      <c r="I245">
        <v>262564</v>
      </c>
      <c r="J245">
        <v>378474</v>
      </c>
      <c r="K245">
        <v>298486</v>
      </c>
      <c r="L245">
        <v>326442</v>
      </c>
    </row>
    <row r="246" spans="1:12" x14ac:dyDescent="0.35">
      <c r="A246">
        <v>2024</v>
      </c>
      <c r="B246">
        <v>11</v>
      </c>
      <c r="C246" t="s">
        <v>74</v>
      </c>
      <c r="D246" t="s">
        <v>166</v>
      </c>
      <c r="E246" t="s">
        <v>167</v>
      </c>
      <c r="F246">
        <v>3002</v>
      </c>
      <c r="G246">
        <v>251367</v>
      </c>
      <c r="H246">
        <v>233819</v>
      </c>
      <c r="I246">
        <v>191418</v>
      </c>
      <c r="J246">
        <v>465963</v>
      </c>
      <c r="K246">
        <v>211787</v>
      </c>
      <c r="L246">
        <v>280752</v>
      </c>
    </row>
    <row r="247" spans="1:12" x14ac:dyDescent="0.35">
      <c r="A247">
        <v>2024</v>
      </c>
      <c r="B247">
        <v>11</v>
      </c>
      <c r="C247" t="s">
        <v>74</v>
      </c>
      <c r="D247" t="s">
        <v>168</v>
      </c>
      <c r="E247" t="s">
        <v>169</v>
      </c>
      <c r="F247">
        <v>51</v>
      </c>
      <c r="G247">
        <v>294225</v>
      </c>
      <c r="H247">
        <v>283486</v>
      </c>
      <c r="I247">
        <v>262564</v>
      </c>
      <c r="J247">
        <v>343942</v>
      </c>
      <c r="K247">
        <v>275986</v>
      </c>
      <c r="L247">
        <v>320519</v>
      </c>
    </row>
    <row r="248" spans="1:12" x14ac:dyDescent="0.35">
      <c r="A248">
        <v>2024</v>
      </c>
      <c r="B248">
        <v>11</v>
      </c>
      <c r="C248" t="s">
        <v>74</v>
      </c>
      <c r="D248" t="s">
        <v>170</v>
      </c>
      <c r="E248" t="s">
        <v>171</v>
      </c>
      <c r="F248">
        <v>16</v>
      </c>
      <c r="G248">
        <v>281933</v>
      </c>
      <c r="H248">
        <v>283486</v>
      </c>
      <c r="I248">
        <v>262564</v>
      </c>
      <c r="J248">
        <v>298486</v>
      </c>
      <c r="K248">
        <v>275986</v>
      </c>
      <c r="L248">
        <v>290986</v>
      </c>
    </row>
    <row r="249" spans="1:12" x14ac:dyDescent="0.35">
      <c r="A249">
        <v>2024</v>
      </c>
      <c r="B249">
        <v>11</v>
      </c>
      <c r="C249" t="s">
        <v>74</v>
      </c>
      <c r="D249" t="s">
        <v>172</v>
      </c>
      <c r="E249" t="s">
        <v>173</v>
      </c>
      <c r="F249">
        <v>702</v>
      </c>
      <c r="G249">
        <v>241352</v>
      </c>
      <c r="H249">
        <v>240765</v>
      </c>
      <c r="I249">
        <v>207526</v>
      </c>
      <c r="J249">
        <v>289324</v>
      </c>
      <c r="K249">
        <v>227895</v>
      </c>
      <c r="L249">
        <v>251824</v>
      </c>
    </row>
    <row r="250" spans="1:12" x14ac:dyDescent="0.35">
      <c r="A250">
        <v>2024</v>
      </c>
      <c r="B250">
        <v>11</v>
      </c>
      <c r="C250" t="s">
        <v>74</v>
      </c>
      <c r="D250" t="s">
        <v>174</v>
      </c>
      <c r="E250" t="s">
        <v>175</v>
      </c>
      <c r="F250">
        <v>125</v>
      </c>
      <c r="G250">
        <v>287856</v>
      </c>
      <c r="H250">
        <v>287564</v>
      </c>
      <c r="I250">
        <v>262564</v>
      </c>
      <c r="J250">
        <v>321442</v>
      </c>
      <c r="K250">
        <v>275986</v>
      </c>
      <c r="L250">
        <v>298252</v>
      </c>
    </row>
    <row r="251" spans="1:12" x14ac:dyDescent="0.35">
      <c r="A251">
        <v>2024</v>
      </c>
      <c r="B251">
        <v>11</v>
      </c>
      <c r="C251" t="s">
        <v>74</v>
      </c>
      <c r="D251" t="s">
        <v>176</v>
      </c>
      <c r="E251" t="s">
        <v>177</v>
      </c>
      <c r="F251">
        <v>5</v>
      </c>
      <c r="G251">
        <v>373120</v>
      </c>
      <c r="H251">
        <v>379719</v>
      </c>
      <c r="I251">
        <v>280063</v>
      </c>
      <c r="J251">
        <v>445729</v>
      </c>
      <c r="K251">
        <v>371295</v>
      </c>
      <c r="L251">
        <v>388795</v>
      </c>
    </row>
    <row r="252" spans="1:12" x14ac:dyDescent="0.35">
      <c r="A252">
        <v>2024</v>
      </c>
      <c r="B252">
        <v>11</v>
      </c>
      <c r="C252" t="s">
        <v>74</v>
      </c>
      <c r="D252" t="s">
        <v>178</v>
      </c>
      <c r="E252" t="s">
        <v>179</v>
      </c>
      <c r="F252">
        <v>26</v>
      </c>
      <c r="G252">
        <v>281467</v>
      </c>
      <c r="H252">
        <v>275986</v>
      </c>
      <c r="I252">
        <v>275986</v>
      </c>
      <c r="J252">
        <v>298486</v>
      </c>
      <c r="K252">
        <v>275986</v>
      </c>
      <c r="L252">
        <v>283486</v>
      </c>
    </row>
    <row r="253" spans="1:12" x14ac:dyDescent="0.35">
      <c r="A253">
        <v>2024</v>
      </c>
      <c r="B253">
        <v>11</v>
      </c>
      <c r="C253" t="s">
        <v>74</v>
      </c>
      <c r="D253" t="s">
        <v>180</v>
      </c>
      <c r="E253" t="s">
        <v>181</v>
      </c>
      <c r="F253">
        <v>4030</v>
      </c>
      <c r="G253">
        <v>323673</v>
      </c>
      <c r="H253">
        <v>318019</v>
      </c>
      <c r="I253">
        <v>260064</v>
      </c>
      <c r="J253">
        <v>466517</v>
      </c>
      <c r="K253">
        <v>290752</v>
      </c>
      <c r="L253">
        <v>343019</v>
      </c>
    </row>
    <row r="254" spans="1:12" x14ac:dyDescent="0.35">
      <c r="A254">
        <v>2024</v>
      </c>
      <c r="B254">
        <v>11</v>
      </c>
      <c r="C254" t="s">
        <v>74</v>
      </c>
      <c r="D254" t="s">
        <v>182</v>
      </c>
      <c r="E254" t="s">
        <v>183</v>
      </c>
      <c r="F254">
        <v>149</v>
      </c>
      <c r="G254">
        <v>354297</v>
      </c>
      <c r="H254">
        <v>333942</v>
      </c>
      <c r="I254">
        <v>262564</v>
      </c>
      <c r="J254">
        <v>459017</v>
      </c>
      <c r="K254">
        <v>305519</v>
      </c>
      <c r="L254">
        <v>401295</v>
      </c>
    </row>
    <row r="255" spans="1:12" x14ac:dyDescent="0.35">
      <c r="A255">
        <v>2024</v>
      </c>
      <c r="B255">
        <v>11</v>
      </c>
      <c r="C255" t="s">
        <v>74</v>
      </c>
      <c r="D255" t="s">
        <v>184</v>
      </c>
      <c r="E255" t="s">
        <v>185</v>
      </c>
      <c r="F255">
        <v>2</v>
      </c>
      <c r="G255">
        <v>364029</v>
      </c>
      <c r="H255">
        <v>364029</v>
      </c>
      <c r="I255">
        <v>328573</v>
      </c>
      <c r="J255">
        <v>399485</v>
      </c>
      <c r="K255">
        <v>328573</v>
      </c>
      <c r="L255">
        <v>399485</v>
      </c>
    </row>
    <row r="256" spans="1:12" x14ac:dyDescent="0.35">
      <c r="A256">
        <v>2024</v>
      </c>
      <c r="B256">
        <v>11</v>
      </c>
      <c r="C256" t="s">
        <v>74</v>
      </c>
      <c r="D256" t="s">
        <v>186</v>
      </c>
      <c r="E256" t="s">
        <v>187</v>
      </c>
      <c r="F256">
        <v>965</v>
      </c>
      <c r="G256">
        <v>287876</v>
      </c>
      <c r="H256">
        <v>285752</v>
      </c>
      <c r="I256">
        <v>262564</v>
      </c>
      <c r="J256">
        <v>510348</v>
      </c>
      <c r="K256">
        <v>275986</v>
      </c>
      <c r="L256">
        <v>298252</v>
      </c>
    </row>
    <row r="257" spans="1:12" x14ac:dyDescent="0.35">
      <c r="A257">
        <v>2024</v>
      </c>
      <c r="B257">
        <v>11</v>
      </c>
      <c r="C257" t="s">
        <v>74</v>
      </c>
      <c r="D257" t="s">
        <v>188</v>
      </c>
      <c r="E257" t="s">
        <v>189</v>
      </c>
      <c r="F257">
        <v>946</v>
      </c>
      <c r="G257">
        <v>413349</v>
      </c>
      <c r="H257">
        <v>388241</v>
      </c>
      <c r="I257">
        <v>309915</v>
      </c>
      <c r="J257">
        <v>703145</v>
      </c>
      <c r="K257">
        <v>362134</v>
      </c>
      <c r="L257">
        <v>458414</v>
      </c>
    </row>
    <row r="258" spans="1:12" x14ac:dyDescent="0.35">
      <c r="A258">
        <v>2024</v>
      </c>
      <c r="B258">
        <v>11</v>
      </c>
      <c r="C258" t="s">
        <v>74</v>
      </c>
      <c r="D258" t="s">
        <v>190</v>
      </c>
      <c r="E258" t="s">
        <v>191</v>
      </c>
      <c r="F258">
        <v>15170</v>
      </c>
      <c r="G258">
        <v>274618</v>
      </c>
      <c r="H258">
        <v>252427</v>
      </c>
      <c r="I258">
        <v>191418</v>
      </c>
      <c r="J258">
        <v>625288</v>
      </c>
      <c r="K258">
        <v>218684</v>
      </c>
      <c r="L258">
        <v>310336</v>
      </c>
    </row>
    <row r="259" spans="1:12" x14ac:dyDescent="0.35">
      <c r="A259">
        <v>2024</v>
      </c>
      <c r="B259">
        <v>11</v>
      </c>
      <c r="C259" t="s">
        <v>74</v>
      </c>
      <c r="D259" t="s">
        <v>192</v>
      </c>
      <c r="E259" t="s">
        <v>193</v>
      </c>
      <c r="F259">
        <v>139</v>
      </c>
      <c r="G259">
        <v>325670</v>
      </c>
      <c r="H259">
        <v>320519</v>
      </c>
      <c r="I259">
        <v>270986</v>
      </c>
      <c r="J259">
        <v>435729</v>
      </c>
      <c r="K259">
        <v>305519</v>
      </c>
      <c r="L259">
        <v>338019</v>
      </c>
    </row>
    <row r="260" spans="1:12" x14ac:dyDescent="0.35">
      <c r="A260">
        <v>2024</v>
      </c>
      <c r="B260">
        <v>11</v>
      </c>
      <c r="C260" t="s">
        <v>74</v>
      </c>
      <c r="D260" t="s">
        <v>194</v>
      </c>
      <c r="E260" t="s">
        <v>195</v>
      </c>
      <c r="F260">
        <v>3522</v>
      </c>
      <c r="G260">
        <v>281127</v>
      </c>
      <c r="H260">
        <v>254767</v>
      </c>
      <c r="I260">
        <v>206184</v>
      </c>
      <c r="J260">
        <v>590804</v>
      </c>
      <c r="K260">
        <v>233265</v>
      </c>
      <c r="L260">
        <v>318486</v>
      </c>
    </row>
    <row r="261" spans="1:12" x14ac:dyDescent="0.35">
      <c r="A261">
        <v>2024</v>
      </c>
      <c r="B261">
        <v>11</v>
      </c>
      <c r="C261" t="s">
        <v>74</v>
      </c>
      <c r="D261" t="s">
        <v>196</v>
      </c>
      <c r="E261" t="s">
        <v>197</v>
      </c>
      <c r="F261">
        <v>2464</v>
      </c>
      <c r="G261">
        <v>327280</v>
      </c>
      <c r="H261">
        <v>318942</v>
      </c>
      <c r="I261">
        <v>203868</v>
      </c>
      <c r="J261">
        <v>588304</v>
      </c>
      <c r="K261">
        <v>270988</v>
      </c>
      <c r="L261">
        <v>393797</v>
      </c>
    </row>
    <row r="262" spans="1:12" x14ac:dyDescent="0.35">
      <c r="A262">
        <v>2024</v>
      </c>
      <c r="B262">
        <v>11</v>
      </c>
      <c r="C262" t="s">
        <v>74</v>
      </c>
      <c r="D262" t="s">
        <v>198</v>
      </c>
      <c r="E262" t="s">
        <v>199</v>
      </c>
      <c r="F262">
        <v>214</v>
      </c>
      <c r="G262">
        <v>407108</v>
      </c>
      <c r="H262">
        <v>406985</v>
      </c>
      <c r="I262">
        <v>313573</v>
      </c>
      <c r="J262">
        <v>560015</v>
      </c>
      <c r="K262">
        <v>389487</v>
      </c>
      <c r="L262">
        <v>426936</v>
      </c>
    </row>
    <row r="263" spans="1:12" x14ac:dyDescent="0.35">
      <c r="A263">
        <v>2024</v>
      </c>
      <c r="B263">
        <v>11</v>
      </c>
      <c r="C263" t="s">
        <v>74</v>
      </c>
      <c r="D263" t="s">
        <v>200</v>
      </c>
      <c r="E263" t="s">
        <v>201</v>
      </c>
      <c r="F263">
        <v>458</v>
      </c>
      <c r="G263">
        <v>355972</v>
      </c>
      <c r="H263">
        <v>348155</v>
      </c>
      <c r="I263">
        <v>262564</v>
      </c>
      <c r="J263">
        <v>470544</v>
      </c>
      <c r="K263">
        <v>313019</v>
      </c>
      <c r="L263">
        <v>401295</v>
      </c>
    </row>
    <row r="264" spans="1:12" x14ac:dyDescent="0.35">
      <c r="A264">
        <v>2024</v>
      </c>
      <c r="B264">
        <v>11</v>
      </c>
      <c r="C264" t="s">
        <v>74</v>
      </c>
      <c r="D264" t="s">
        <v>202</v>
      </c>
      <c r="E264" t="s">
        <v>203</v>
      </c>
      <c r="F264">
        <v>1149</v>
      </c>
      <c r="G264">
        <v>308876</v>
      </c>
      <c r="H264">
        <v>298252</v>
      </c>
      <c r="I264">
        <v>194102</v>
      </c>
      <c r="J264">
        <v>460963</v>
      </c>
      <c r="K264">
        <v>269275</v>
      </c>
      <c r="L264">
        <v>366295</v>
      </c>
    </row>
    <row r="265" spans="1:12" x14ac:dyDescent="0.35">
      <c r="A265">
        <v>2024</v>
      </c>
      <c r="B265">
        <v>11</v>
      </c>
      <c r="C265" t="s">
        <v>74</v>
      </c>
      <c r="D265" t="s">
        <v>204</v>
      </c>
      <c r="E265" t="s">
        <v>205</v>
      </c>
      <c r="F265">
        <v>358</v>
      </c>
      <c r="G265">
        <v>381695</v>
      </c>
      <c r="H265">
        <v>384719</v>
      </c>
      <c r="I265">
        <v>262564</v>
      </c>
      <c r="J265">
        <v>575804</v>
      </c>
      <c r="K265">
        <v>328573</v>
      </c>
      <c r="L265">
        <v>424436</v>
      </c>
    </row>
    <row r="266" spans="1:12" x14ac:dyDescent="0.35">
      <c r="A266">
        <v>2024</v>
      </c>
      <c r="B266">
        <v>11</v>
      </c>
      <c r="C266" t="s">
        <v>74</v>
      </c>
      <c r="D266" t="s">
        <v>206</v>
      </c>
      <c r="E266" t="s">
        <v>207</v>
      </c>
      <c r="F266">
        <v>2923</v>
      </c>
      <c r="G266">
        <v>293204</v>
      </c>
      <c r="H266">
        <v>285752</v>
      </c>
      <c r="I266">
        <v>242797</v>
      </c>
      <c r="J266">
        <v>458229</v>
      </c>
      <c r="K266">
        <v>275986</v>
      </c>
      <c r="L266">
        <v>305519</v>
      </c>
    </row>
    <row r="267" spans="1:12" x14ac:dyDescent="0.35">
      <c r="A267">
        <v>2024</v>
      </c>
      <c r="B267">
        <v>11</v>
      </c>
      <c r="C267" t="s">
        <v>74</v>
      </c>
      <c r="D267" t="s">
        <v>208</v>
      </c>
      <c r="E267" t="s">
        <v>209</v>
      </c>
      <c r="F267">
        <v>5</v>
      </c>
      <c r="G267">
        <v>260157</v>
      </c>
      <c r="H267">
        <v>261590</v>
      </c>
      <c r="I267">
        <v>250716</v>
      </c>
      <c r="J267">
        <v>266590</v>
      </c>
      <c r="K267">
        <v>255297</v>
      </c>
      <c r="L267">
        <v>266590</v>
      </c>
    </row>
    <row r="268" spans="1:12" x14ac:dyDescent="0.35">
      <c r="A268">
        <v>2024</v>
      </c>
      <c r="B268">
        <v>11</v>
      </c>
      <c r="C268" t="s">
        <v>74</v>
      </c>
      <c r="D268" t="s">
        <v>210</v>
      </c>
      <c r="E268" t="s">
        <v>211</v>
      </c>
      <c r="F268">
        <v>9</v>
      </c>
      <c r="G268">
        <v>296253</v>
      </c>
      <c r="H268">
        <v>262564</v>
      </c>
      <c r="I268">
        <v>262564</v>
      </c>
      <c r="J268">
        <v>398143</v>
      </c>
      <c r="K268">
        <v>262564</v>
      </c>
      <c r="L268">
        <v>328807</v>
      </c>
    </row>
    <row r="269" spans="1:12" x14ac:dyDescent="0.35">
      <c r="A269">
        <v>2024</v>
      </c>
      <c r="B269">
        <v>12</v>
      </c>
      <c r="C269" t="s">
        <v>75</v>
      </c>
      <c r="D269" t="s">
        <v>164</v>
      </c>
      <c r="E269" t="s">
        <v>165</v>
      </c>
      <c r="F269">
        <v>84</v>
      </c>
      <c r="G269">
        <v>313268</v>
      </c>
      <c r="H269">
        <v>310636</v>
      </c>
      <c r="I269">
        <v>262564</v>
      </c>
      <c r="J269">
        <v>378474</v>
      </c>
      <c r="K269">
        <v>298486</v>
      </c>
      <c r="L269">
        <v>326442</v>
      </c>
    </row>
    <row r="270" spans="1:12" x14ac:dyDescent="0.35">
      <c r="A270">
        <v>2024</v>
      </c>
      <c r="B270">
        <v>12</v>
      </c>
      <c r="C270" t="s">
        <v>75</v>
      </c>
      <c r="D270" t="s">
        <v>166</v>
      </c>
      <c r="E270" t="s">
        <v>167</v>
      </c>
      <c r="F270">
        <v>3011</v>
      </c>
      <c r="G270">
        <v>251388</v>
      </c>
      <c r="H270">
        <v>233819</v>
      </c>
      <c r="I270">
        <v>191418</v>
      </c>
      <c r="J270">
        <v>465963</v>
      </c>
      <c r="K270">
        <v>211787</v>
      </c>
      <c r="L270">
        <v>280752</v>
      </c>
    </row>
    <row r="271" spans="1:12" x14ac:dyDescent="0.35">
      <c r="A271">
        <v>2024</v>
      </c>
      <c r="B271">
        <v>12</v>
      </c>
      <c r="C271" t="s">
        <v>75</v>
      </c>
      <c r="D271" t="s">
        <v>168</v>
      </c>
      <c r="E271" t="s">
        <v>169</v>
      </c>
      <c r="F271">
        <v>52</v>
      </c>
      <c r="G271">
        <v>293808</v>
      </c>
      <c r="H271">
        <v>283486</v>
      </c>
      <c r="I271">
        <v>262564</v>
      </c>
      <c r="J271">
        <v>348942</v>
      </c>
      <c r="K271">
        <v>275986</v>
      </c>
      <c r="L271">
        <v>315519</v>
      </c>
    </row>
    <row r="272" spans="1:12" x14ac:dyDescent="0.35">
      <c r="A272">
        <v>2024</v>
      </c>
      <c r="B272">
        <v>12</v>
      </c>
      <c r="C272" t="s">
        <v>75</v>
      </c>
      <c r="D272" t="s">
        <v>170</v>
      </c>
      <c r="E272" t="s">
        <v>171</v>
      </c>
      <c r="F272">
        <v>16</v>
      </c>
      <c r="G272">
        <v>281464</v>
      </c>
      <c r="H272">
        <v>283486</v>
      </c>
      <c r="I272">
        <v>262564</v>
      </c>
      <c r="J272">
        <v>298486</v>
      </c>
      <c r="K272">
        <v>275986</v>
      </c>
      <c r="L272">
        <v>290752</v>
      </c>
    </row>
    <row r="273" spans="1:12" x14ac:dyDescent="0.35">
      <c r="A273">
        <v>2024</v>
      </c>
      <c r="B273">
        <v>12</v>
      </c>
      <c r="C273" t="s">
        <v>75</v>
      </c>
      <c r="D273" t="s">
        <v>172</v>
      </c>
      <c r="E273" t="s">
        <v>173</v>
      </c>
      <c r="F273">
        <v>702</v>
      </c>
      <c r="G273">
        <v>241320</v>
      </c>
      <c r="H273">
        <v>240765</v>
      </c>
      <c r="I273">
        <v>207526</v>
      </c>
      <c r="J273">
        <v>289324</v>
      </c>
      <c r="K273">
        <v>227895</v>
      </c>
      <c r="L273">
        <v>252526</v>
      </c>
    </row>
    <row r="274" spans="1:12" x14ac:dyDescent="0.35">
      <c r="A274">
        <v>2024</v>
      </c>
      <c r="B274">
        <v>12</v>
      </c>
      <c r="C274" t="s">
        <v>75</v>
      </c>
      <c r="D274" t="s">
        <v>174</v>
      </c>
      <c r="E274" t="s">
        <v>175</v>
      </c>
      <c r="F274">
        <v>125</v>
      </c>
      <c r="G274">
        <v>287916</v>
      </c>
      <c r="H274">
        <v>287564</v>
      </c>
      <c r="I274">
        <v>262564</v>
      </c>
      <c r="J274">
        <v>321442</v>
      </c>
      <c r="K274">
        <v>275986</v>
      </c>
      <c r="L274">
        <v>298252</v>
      </c>
    </row>
    <row r="275" spans="1:12" x14ac:dyDescent="0.35">
      <c r="A275">
        <v>2024</v>
      </c>
      <c r="B275">
        <v>12</v>
      </c>
      <c r="C275" t="s">
        <v>75</v>
      </c>
      <c r="D275" t="s">
        <v>176</v>
      </c>
      <c r="E275" t="s">
        <v>177</v>
      </c>
      <c r="F275">
        <v>5</v>
      </c>
      <c r="G275">
        <v>373120</v>
      </c>
      <c r="H275">
        <v>379719</v>
      </c>
      <c r="I275">
        <v>280063</v>
      </c>
      <c r="J275">
        <v>445729</v>
      </c>
      <c r="K275">
        <v>371295</v>
      </c>
      <c r="L275">
        <v>388795</v>
      </c>
    </row>
    <row r="276" spans="1:12" x14ac:dyDescent="0.35">
      <c r="A276">
        <v>2024</v>
      </c>
      <c r="B276">
        <v>12</v>
      </c>
      <c r="C276" t="s">
        <v>75</v>
      </c>
      <c r="D276" t="s">
        <v>178</v>
      </c>
      <c r="E276" t="s">
        <v>179</v>
      </c>
      <c r="F276">
        <v>26</v>
      </c>
      <c r="G276">
        <v>281467</v>
      </c>
      <c r="H276">
        <v>275986</v>
      </c>
      <c r="I276">
        <v>275986</v>
      </c>
      <c r="J276">
        <v>298486</v>
      </c>
      <c r="K276">
        <v>275986</v>
      </c>
      <c r="L276">
        <v>283486</v>
      </c>
    </row>
    <row r="277" spans="1:12" x14ac:dyDescent="0.35">
      <c r="A277">
        <v>2024</v>
      </c>
      <c r="B277">
        <v>12</v>
      </c>
      <c r="C277" t="s">
        <v>75</v>
      </c>
      <c r="D277" t="s">
        <v>180</v>
      </c>
      <c r="E277" t="s">
        <v>181</v>
      </c>
      <c r="F277">
        <v>4033</v>
      </c>
      <c r="G277">
        <v>323667</v>
      </c>
      <c r="H277">
        <v>318019</v>
      </c>
      <c r="I277">
        <v>260064</v>
      </c>
      <c r="J277">
        <v>466517</v>
      </c>
      <c r="K277">
        <v>290752</v>
      </c>
      <c r="L277">
        <v>343019</v>
      </c>
    </row>
    <row r="278" spans="1:12" x14ac:dyDescent="0.35">
      <c r="A278">
        <v>2024</v>
      </c>
      <c r="B278">
        <v>12</v>
      </c>
      <c r="C278" t="s">
        <v>75</v>
      </c>
      <c r="D278" t="s">
        <v>182</v>
      </c>
      <c r="E278" t="s">
        <v>183</v>
      </c>
      <c r="F278">
        <v>149</v>
      </c>
      <c r="G278">
        <v>354347</v>
      </c>
      <c r="H278">
        <v>333942</v>
      </c>
      <c r="I278">
        <v>262564</v>
      </c>
      <c r="J278">
        <v>459017</v>
      </c>
      <c r="K278">
        <v>305519</v>
      </c>
      <c r="L278">
        <v>401295</v>
      </c>
    </row>
    <row r="279" spans="1:12" x14ac:dyDescent="0.35">
      <c r="A279">
        <v>2024</v>
      </c>
      <c r="B279">
        <v>12</v>
      </c>
      <c r="C279" t="s">
        <v>75</v>
      </c>
      <c r="D279" t="s">
        <v>184</v>
      </c>
      <c r="E279" t="s">
        <v>185</v>
      </c>
      <c r="F279">
        <v>2</v>
      </c>
      <c r="G279">
        <v>364029</v>
      </c>
      <c r="H279">
        <v>364029</v>
      </c>
      <c r="I279">
        <v>328573</v>
      </c>
      <c r="J279">
        <v>399485</v>
      </c>
      <c r="K279">
        <v>328573</v>
      </c>
      <c r="L279">
        <v>399485</v>
      </c>
    </row>
    <row r="280" spans="1:12" x14ac:dyDescent="0.35">
      <c r="A280">
        <v>2024</v>
      </c>
      <c r="B280">
        <v>12</v>
      </c>
      <c r="C280" t="s">
        <v>75</v>
      </c>
      <c r="D280" t="s">
        <v>186</v>
      </c>
      <c r="E280" t="s">
        <v>187</v>
      </c>
      <c r="F280">
        <v>963</v>
      </c>
      <c r="G280">
        <v>287888</v>
      </c>
      <c r="H280">
        <v>285752</v>
      </c>
      <c r="I280">
        <v>262564</v>
      </c>
      <c r="J280">
        <v>510348</v>
      </c>
      <c r="K280">
        <v>275986</v>
      </c>
      <c r="L280">
        <v>298252</v>
      </c>
    </row>
    <row r="281" spans="1:12" x14ac:dyDescent="0.35">
      <c r="A281">
        <v>2024</v>
      </c>
      <c r="B281">
        <v>12</v>
      </c>
      <c r="C281" t="s">
        <v>75</v>
      </c>
      <c r="D281" t="s">
        <v>188</v>
      </c>
      <c r="E281" t="s">
        <v>189</v>
      </c>
      <c r="F281">
        <v>980</v>
      </c>
      <c r="G281">
        <v>412001</v>
      </c>
      <c r="H281">
        <v>388241</v>
      </c>
      <c r="I281">
        <v>309915</v>
      </c>
      <c r="J281">
        <v>703145</v>
      </c>
      <c r="K281">
        <v>358242</v>
      </c>
      <c r="L281">
        <v>455128</v>
      </c>
    </row>
    <row r="282" spans="1:12" x14ac:dyDescent="0.35">
      <c r="A282">
        <v>2024</v>
      </c>
      <c r="B282">
        <v>12</v>
      </c>
      <c r="C282" t="s">
        <v>75</v>
      </c>
      <c r="D282" t="s">
        <v>190</v>
      </c>
      <c r="E282" t="s">
        <v>191</v>
      </c>
      <c r="F282">
        <v>15208</v>
      </c>
      <c r="G282">
        <v>274517</v>
      </c>
      <c r="H282">
        <v>252427</v>
      </c>
      <c r="I282">
        <v>191418</v>
      </c>
      <c r="J282">
        <v>625288</v>
      </c>
      <c r="K282">
        <v>218684</v>
      </c>
      <c r="L282">
        <v>310336</v>
      </c>
    </row>
    <row r="283" spans="1:12" x14ac:dyDescent="0.35">
      <c r="A283">
        <v>2024</v>
      </c>
      <c r="B283">
        <v>12</v>
      </c>
      <c r="C283" t="s">
        <v>75</v>
      </c>
      <c r="D283" t="s">
        <v>192</v>
      </c>
      <c r="E283" t="s">
        <v>193</v>
      </c>
      <c r="F283">
        <v>139</v>
      </c>
      <c r="G283">
        <v>325634</v>
      </c>
      <c r="H283">
        <v>320519</v>
      </c>
      <c r="I283">
        <v>270986</v>
      </c>
      <c r="J283">
        <v>435729</v>
      </c>
      <c r="K283">
        <v>305519</v>
      </c>
      <c r="L283">
        <v>338019</v>
      </c>
    </row>
    <row r="284" spans="1:12" x14ac:dyDescent="0.35">
      <c r="A284">
        <v>2024</v>
      </c>
      <c r="B284">
        <v>12</v>
      </c>
      <c r="C284" t="s">
        <v>75</v>
      </c>
      <c r="D284" t="s">
        <v>194</v>
      </c>
      <c r="E284" t="s">
        <v>195</v>
      </c>
      <c r="F284">
        <v>3522</v>
      </c>
      <c r="G284">
        <v>281231</v>
      </c>
      <c r="H284">
        <v>255765</v>
      </c>
      <c r="I284">
        <v>206184</v>
      </c>
      <c r="J284">
        <v>590804</v>
      </c>
      <c r="K284">
        <v>233265</v>
      </c>
      <c r="L284">
        <v>318486</v>
      </c>
    </row>
    <row r="285" spans="1:12" x14ac:dyDescent="0.35">
      <c r="A285">
        <v>2024</v>
      </c>
      <c r="B285">
        <v>12</v>
      </c>
      <c r="C285" t="s">
        <v>75</v>
      </c>
      <c r="D285" t="s">
        <v>196</v>
      </c>
      <c r="E285" t="s">
        <v>197</v>
      </c>
      <c r="F285">
        <v>2464</v>
      </c>
      <c r="G285">
        <v>327322</v>
      </c>
      <c r="H285">
        <v>318942</v>
      </c>
      <c r="I285">
        <v>203868</v>
      </c>
      <c r="J285">
        <v>588304</v>
      </c>
      <c r="K285">
        <v>270988</v>
      </c>
      <c r="L285">
        <v>393795</v>
      </c>
    </row>
    <row r="286" spans="1:12" x14ac:dyDescent="0.35">
      <c r="A286">
        <v>2024</v>
      </c>
      <c r="B286">
        <v>12</v>
      </c>
      <c r="C286" t="s">
        <v>75</v>
      </c>
      <c r="D286" t="s">
        <v>198</v>
      </c>
      <c r="E286" t="s">
        <v>199</v>
      </c>
      <c r="F286">
        <v>216</v>
      </c>
      <c r="G286">
        <v>406971</v>
      </c>
      <c r="H286">
        <v>406985</v>
      </c>
      <c r="I286">
        <v>313573</v>
      </c>
      <c r="J286">
        <v>560015</v>
      </c>
      <c r="K286">
        <v>389487</v>
      </c>
      <c r="L286">
        <v>426936</v>
      </c>
    </row>
    <row r="287" spans="1:12" x14ac:dyDescent="0.35">
      <c r="A287">
        <v>2024</v>
      </c>
      <c r="B287">
        <v>12</v>
      </c>
      <c r="C287" t="s">
        <v>75</v>
      </c>
      <c r="D287" t="s">
        <v>200</v>
      </c>
      <c r="E287" t="s">
        <v>201</v>
      </c>
      <c r="F287">
        <v>455</v>
      </c>
      <c r="G287">
        <v>355995</v>
      </c>
      <c r="H287">
        <v>348155</v>
      </c>
      <c r="I287">
        <v>262564</v>
      </c>
      <c r="J287">
        <v>470544</v>
      </c>
      <c r="K287">
        <v>313019</v>
      </c>
      <c r="L287">
        <v>401295</v>
      </c>
    </row>
    <row r="288" spans="1:12" x14ac:dyDescent="0.35">
      <c r="A288">
        <v>2024</v>
      </c>
      <c r="B288">
        <v>12</v>
      </c>
      <c r="C288" t="s">
        <v>75</v>
      </c>
      <c r="D288" t="s">
        <v>202</v>
      </c>
      <c r="E288" t="s">
        <v>203</v>
      </c>
      <c r="F288">
        <v>1148</v>
      </c>
      <c r="G288">
        <v>308706</v>
      </c>
      <c r="H288">
        <v>298252</v>
      </c>
      <c r="I288">
        <v>194102</v>
      </c>
      <c r="J288">
        <v>460963</v>
      </c>
      <c r="K288">
        <v>269275</v>
      </c>
      <c r="L288">
        <v>366295</v>
      </c>
    </row>
    <row r="289" spans="1:12" x14ac:dyDescent="0.35">
      <c r="A289">
        <v>2024</v>
      </c>
      <c r="B289">
        <v>12</v>
      </c>
      <c r="C289" t="s">
        <v>75</v>
      </c>
      <c r="D289" t="s">
        <v>204</v>
      </c>
      <c r="E289" t="s">
        <v>205</v>
      </c>
      <c r="F289">
        <v>358</v>
      </c>
      <c r="G289">
        <v>381417</v>
      </c>
      <c r="H289">
        <v>384719</v>
      </c>
      <c r="I289">
        <v>262564</v>
      </c>
      <c r="J289">
        <v>575804</v>
      </c>
      <c r="K289">
        <v>328573</v>
      </c>
      <c r="L289">
        <v>424436</v>
      </c>
    </row>
    <row r="290" spans="1:12" x14ac:dyDescent="0.35">
      <c r="A290">
        <v>2024</v>
      </c>
      <c r="B290">
        <v>12</v>
      </c>
      <c r="C290" t="s">
        <v>75</v>
      </c>
      <c r="D290" t="s">
        <v>206</v>
      </c>
      <c r="E290" t="s">
        <v>207</v>
      </c>
      <c r="F290">
        <v>2929</v>
      </c>
      <c r="G290">
        <v>293188</v>
      </c>
      <c r="H290">
        <v>285752</v>
      </c>
      <c r="I290">
        <v>242797</v>
      </c>
      <c r="J290">
        <v>458229</v>
      </c>
      <c r="K290">
        <v>275986</v>
      </c>
      <c r="L290">
        <v>305519</v>
      </c>
    </row>
    <row r="291" spans="1:12" x14ac:dyDescent="0.35">
      <c r="A291">
        <v>2024</v>
      </c>
      <c r="B291">
        <v>12</v>
      </c>
      <c r="C291" t="s">
        <v>75</v>
      </c>
      <c r="D291" t="s">
        <v>208</v>
      </c>
      <c r="E291" t="s">
        <v>209</v>
      </c>
      <c r="F291">
        <v>5</v>
      </c>
      <c r="G291">
        <v>260157</v>
      </c>
      <c r="H291">
        <v>261590</v>
      </c>
      <c r="I291">
        <v>250716</v>
      </c>
      <c r="J291">
        <v>266590</v>
      </c>
      <c r="K291">
        <v>255297</v>
      </c>
      <c r="L291">
        <v>266590</v>
      </c>
    </row>
    <row r="292" spans="1:12" x14ac:dyDescent="0.35">
      <c r="A292">
        <v>2024</v>
      </c>
      <c r="B292">
        <v>12</v>
      </c>
      <c r="C292" t="s">
        <v>75</v>
      </c>
      <c r="D292" t="s">
        <v>210</v>
      </c>
      <c r="E292" t="s">
        <v>211</v>
      </c>
      <c r="F292">
        <v>10</v>
      </c>
      <c r="G292">
        <v>292884</v>
      </c>
      <c r="H292">
        <v>262564</v>
      </c>
      <c r="I292">
        <v>262564</v>
      </c>
      <c r="J292">
        <v>398143</v>
      </c>
      <c r="K292">
        <v>262564</v>
      </c>
      <c r="L292">
        <v>328807</v>
      </c>
    </row>
    <row r="293" spans="1:12" x14ac:dyDescent="0.35">
      <c r="A293">
        <v>2025</v>
      </c>
      <c r="B293">
        <v>1</v>
      </c>
      <c r="C293" t="s">
        <v>42</v>
      </c>
      <c r="D293" t="s">
        <v>164</v>
      </c>
      <c r="E293" t="s">
        <v>165</v>
      </c>
      <c r="F293">
        <v>84</v>
      </c>
      <c r="G293">
        <v>315008</v>
      </c>
      <c r="H293">
        <v>313252</v>
      </c>
      <c r="I293">
        <v>262564</v>
      </c>
      <c r="J293">
        <v>378474</v>
      </c>
      <c r="K293">
        <v>300752</v>
      </c>
      <c r="L293">
        <v>326442</v>
      </c>
    </row>
    <row r="294" spans="1:12" x14ac:dyDescent="0.35">
      <c r="A294">
        <v>2025</v>
      </c>
      <c r="B294">
        <v>1</v>
      </c>
      <c r="C294" t="s">
        <v>42</v>
      </c>
      <c r="D294" t="s">
        <v>166</v>
      </c>
      <c r="E294" t="s">
        <v>167</v>
      </c>
      <c r="F294">
        <v>2965</v>
      </c>
      <c r="G294">
        <v>251248</v>
      </c>
      <c r="H294">
        <v>232895</v>
      </c>
      <c r="I294">
        <v>191418</v>
      </c>
      <c r="J294">
        <v>465963</v>
      </c>
      <c r="K294">
        <v>211787</v>
      </c>
      <c r="L294">
        <v>280752</v>
      </c>
    </row>
    <row r="295" spans="1:12" x14ac:dyDescent="0.35">
      <c r="A295">
        <v>2025</v>
      </c>
      <c r="B295">
        <v>1</v>
      </c>
      <c r="C295" t="s">
        <v>42</v>
      </c>
      <c r="D295" t="s">
        <v>168</v>
      </c>
      <c r="E295" t="s">
        <v>169</v>
      </c>
      <c r="F295">
        <v>52</v>
      </c>
      <c r="G295">
        <v>293712</v>
      </c>
      <c r="H295">
        <v>283486</v>
      </c>
      <c r="I295">
        <v>262564</v>
      </c>
      <c r="J295">
        <v>348942</v>
      </c>
      <c r="K295">
        <v>275986</v>
      </c>
      <c r="L295">
        <v>315519</v>
      </c>
    </row>
    <row r="296" spans="1:12" x14ac:dyDescent="0.35">
      <c r="A296">
        <v>2025</v>
      </c>
      <c r="B296">
        <v>1</v>
      </c>
      <c r="C296" t="s">
        <v>42</v>
      </c>
      <c r="D296" t="s">
        <v>170</v>
      </c>
      <c r="E296" t="s">
        <v>171</v>
      </c>
      <c r="F296">
        <v>16</v>
      </c>
      <c r="G296">
        <v>282150</v>
      </c>
      <c r="H296">
        <v>283486</v>
      </c>
      <c r="I296">
        <v>262564</v>
      </c>
      <c r="J296">
        <v>298486</v>
      </c>
      <c r="K296">
        <v>277564</v>
      </c>
      <c r="L296">
        <v>290752</v>
      </c>
    </row>
    <row r="297" spans="1:12" x14ac:dyDescent="0.35">
      <c r="A297">
        <v>2025</v>
      </c>
      <c r="B297">
        <v>1</v>
      </c>
      <c r="C297" t="s">
        <v>42</v>
      </c>
      <c r="D297" t="s">
        <v>172</v>
      </c>
      <c r="E297" t="s">
        <v>173</v>
      </c>
      <c r="F297">
        <v>663</v>
      </c>
      <c r="G297">
        <v>241869</v>
      </c>
      <c r="H297">
        <v>240765</v>
      </c>
      <c r="I297">
        <v>207710</v>
      </c>
      <c r="J297">
        <v>289558</v>
      </c>
      <c r="K297">
        <v>227895</v>
      </c>
      <c r="L297">
        <v>252661</v>
      </c>
    </row>
    <row r="298" spans="1:12" x14ac:dyDescent="0.35">
      <c r="A298">
        <v>2025</v>
      </c>
      <c r="B298">
        <v>1</v>
      </c>
      <c r="C298" t="s">
        <v>42</v>
      </c>
      <c r="D298" t="s">
        <v>174</v>
      </c>
      <c r="E298" t="s">
        <v>175</v>
      </c>
      <c r="F298">
        <v>125</v>
      </c>
      <c r="G298">
        <v>288447</v>
      </c>
      <c r="H298">
        <v>287564</v>
      </c>
      <c r="I298">
        <v>262564</v>
      </c>
      <c r="J298">
        <v>321442</v>
      </c>
      <c r="K298">
        <v>275986</v>
      </c>
      <c r="L298">
        <v>298486</v>
      </c>
    </row>
    <row r="299" spans="1:12" x14ac:dyDescent="0.35">
      <c r="A299">
        <v>2025</v>
      </c>
      <c r="B299">
        <v>1</v>
      </c>
      <c r="C299" t="s">
        <v>42</v>
      </c>
      <c r="D299" t="s">
        <v>176</v>
      </c>
      <c r="E299" t="s">
        <v>177</v>
      </c>
      <c r="F299">
        <v>5</v>
      </c>
      <c r="G299">
        <v>375805</v>
      </c>
      <c r="H299">
        <v>384719</v>
      </c>
      <c r="I299">
        <v>280063</v>
      </c>
      <c r="J299">
        <v>445729</v>
      </c>
      <c r="K299">
        <v>379719</v>
      </c>
      <c r="L299">
        <v>388795</v>
      </c>
    </row>
    <row r="300" spans="1:12" x14ac:dyDescent="0.35">
      <c r="A300">
        <v>2025</v>
      </c>
      <c r="B300">
        <v>1</v>
      </c>
      <c r="C300" t="s">
        <v>42</v>
      </c>
      <c r="D300" t="s">
        <v>178</v>
      </c>
      <c r="E300" t="s">
        <v>179</v>
      </c>
      <c r="F300">
        <v>26</v>
      </c>
      <c r="G300">
        <v>281467</v>
      </c>
      <c r="H300">
        <v>275986</v>
      </c>
      <c r="I300">
        <v>275986</v>
      </c>
      <c r="J300">
        <v>298486</v>
      </c>
      <c r="K300">
        <v>275986</v>
      </c>
      <c r="L300">
        <v>283486</v>
      </c>
    </row>
    <row r="301" spans="1:12" x14ac:dyDescent="0.35">
      <c r="A301">
        <v>2025</v>
      </c>
      <c r="B301">
        <v>1</v>
      </c>
      <c r="C301" t="s">
        <v>42</v>
      </c>
      <c r="D301" t="s">
        <v>180</v>
      </c>
      <c r="E301" t="s">
        <v>181</v>
      </c>
      <c r="F301">
        <v>4036</v>
      </c>
      <c r="G301">
        <v>323732</v>
      </c>
      <c r="H301">
        <v>316442</v>
      </c>
      <c r="I301">
        <v>260064</v>
      </c>
      <c r="J301">
        <v>466517</v>
      </c>
      <c r="K301">
        <v>290752</v>
      </c>
      <c r="L301">
        <v>343019</v>
      </c>
    </row>
    <row r="302" spans="1:12" x14ac:dyDescent="0.35">
      <c r="A302">
        <v>2025</v>
      </c>
      <c r="B302">
        <v>1</v>
      </c>
      <c r="C302" t="s">
        <v>42</v>
      </c>
      <c r="D302" t="s">
        <v>182</v>
      </c>
      <c r="E302" t="s">
        <v>183</v>
      </c>
      <c r="F302">
        <v>146</v>
      </c>
      <c r="G302">
        <v>356710</v>
      </c>
      <c r="H302">
        <v>341719</v>
      </c>
      <c r="I302">
        <v>262564</v>
      </c>
      <c r="J302">
        <v>464941</v>
      </c>
      <c r="K302">
        <v>305752</v>
      </c>
      <c r="L302">
        <v>401295</v>
      </c>
    </row>
    <row r="303" spans="1:12" x14ac:dyDescent="0.35">
      <c r="A303">
        <v>2025</v>
      </c>
      <c r="B303">
        <v>1</v>
      </c>
      <c r="C303" t="s">
        <v>42</v>
      </c>
      <c r="D303" t="s">
        <v>184</v>
      </c>
      <c r="E303" t="s">
        <v>185</v>
      </c>
      <c r="F303">
        <v>2</v>
      </c>
      <c r="G303">
        <v>364029</v>
      </c>
      <c r="H303">
        <v>364029</v>
      </c>
      <c r="I303">
        <v>328573</v>
      </c>
      <c r="J303">
        <v>399485</v>
      </c>
      <c r="K303">
        <v>328573</v>
      </c>
      <c r="L303">
        <v>399485</v>
      </c>
    </row>
    <row r="304" spans="1:12" x14ac:dyDescent="0.35">
      <c r="A304">
        <v>2025</v>
      </c>
      <c r="B304">
        <v>1</v>
      </c>
      <c r="C304" t="s">
        <v>42</v>
      </c>
      <c r="D304" t="s">
        <v>186</v>
      </c>
      <c r="E304" t="s">
        <v>187</v>
      </c>
      <c r="F304">
        <v>982</v>
      </c>
      <c r="G304">
        <v>289821</v>
      </c>
      <c r="H304">
        <v>287677</v>
      </c>
      <c r="I304">
        <v>262564</v>
      </c>
      <c r="J304">
        <v>510348</v>
      </c>
      <c r="K304">
        <v>275986</v>
      </c>
      <c r="L304">
        <v>298486</v>
      </c>
    </row>
    <row r="305" spans="1:12" x14ac:dyDescent="0.35">
      <c r="A305">
        <v>2025</v>
      </c>
      <c r="B305">
        <v>1</v>
      </c>
      <c r="C305" t="s">
        <v>42</v>
      </c>
      <c r="D305" t="s">
        <v>188</v>
      </c>
      <c r="E305" t="s">
        <v>189</v>
      </c>
      <c r="F305">
        <v>987</v>
      </c>
      <c r="G305">
        <v>430086</v>
      </c>
      <c r="H305">
        <v>399904</v>
      </c>
      <c r="I305">
        <v>309915</v>
      </c>
      <c r="J305">
        <v>723965</v>
      </c>
      <c r="K305">
        <v>364634</v>
      </c>
      <c r="L305">
        <v>484842</v>
      </c>
    </row>
    <row r="306" spans="1:12" x14ac:dyDescent="0.35">
      <c r="A306">
        <v>2025</v>
      </c>
      <c r="B306">
        <v>1</v>
      </c>
      <c r="C306" t="s">
        <v>42</v>
      </c>
      <c r="D306" t="s">
        <v>190</v>
      </c>
      <c r="E306" t="s">
        <v>191</v>
      </c>
      <c r="F306">
        <v>15165</v>
      </c>
      <c r="G306">
        <v>275104</v>
      </c>
      <c r="H306">
        <v>253216</v>
      </c>
      <c r="I306">
        <v>191418</v>
      </c>
      <c r="J306">
        <v>643540</v>
      </c>
      <c r="K306">
        <v>218918</v>
      </c>
      <c r="L306">
        <v>310336</v>
      </c>
    </row>
    <row r="307" spans="1:12" x14ac:dyDescent="0.35">
      <c r="A307">
        <v>2025</v>
      </c>
      <c r="B307">
        <v>1</v>
      </c>
      <c r="C307" t="s">
        <v>42</v>
      </c>
      <c r="D307" t="s">
        <v>192</v>
      </c>
      <c r="E307" t="s">
        <v>193</v>
      </c>
      <c r="F307">
        <v>137</v>
      </c>
      <c r="G307">
        <v>325360</v>
      </c>
      <c r="H307">
        <v>320519</v>
      </c>
      <c r="I307">
        <v>270986</v>
      </c>
      <c r="J307">
        <v>437432</v>
      </c>
      <c r="K307">
        <v>305519</v>
      </c>
      <c r="L307">
        <v>335519</v>
      </c>
    </row>
    <row r="308" spans="1:12" x14ac:dyDescent="0.35">
      <c r="A308">
        <v>2025</v>
      </c>
      <c r="B308">
        <v>1</v>
      </c>
      <c r="C308" t="s">
        <v>42</v>
      </c>
      <c r="D308" t="s">
        <v>194</v>
      </c>
      <c r="E308" t="s">
        <v>195</v>
      </c>
      <c r="F308">
        <v>3470</v>
      </c>
      <c r="G308">
        <v>285240</v>
      </c>
      <c r="H308">
        <v>256176</v>
      </c>
      <c r="I308">
        <v>206184</v>
      </c>
      <c r="J308">
        <v>590804</v>
      </c>
      <c r="K308">
        <v>233676</v>
      </c>
      <c r="L308">
        <v>325519</v>
      </c>
    </row>
    <row r="309" spans="1:12" x14ac:dyDescent="0.35">
      <c r="A309">
        <v>2025</v>
      </c>
      <c r="B309">
        <v>1</v>
      </c>
      <c r="C309" t="s">
        <v>42</v>
      </c>
      <c r="D309" t="s">
        <v>196</v>
      </c>
      <c r="E309" t="s">
        <v>197</v>
      </c>
      <c r="F309">
        <v>2439</v>
      </c>
      <c r="G309">
        <v>330586</v>
      </c>
      <c r="H309">
        <v>320752</v>
      </c>
      <c r="I309">
        <v>203868</v>
      </c>
      <c r="J309">
        <v>575804</v>
      </c>
      <c r="K309">
        <v>275986</v>
      </c>
      <c r="L309">
        <v>399485</v>
      </c>
    </row>
    <row r="310" spans="1:12" x14ac:dyDescent="0.35">
      <c r="A310">
        <v>2025</v>
      </c>
      <c r="B310">
        <v>1</v>
      </c>
      <c r="C310" t="s">
        <v>42</v>
      </c>
      <c r="D310" t="s">
        <v>198</v>
      </c>
      <c r="E310" t="s">
        <v>199</v>
      </c>
      <c r="F310">
        <v>218</v>
      </c>
      <c r="G310">
        <v>417296</v>
      </c>
      <c r="H310">
        <v>416985</v>
      </c>
      <c r="I310">
        <v>313573</v>
      </c>
      <c r="J310">
        <v>565551</v>
      </c>
      <c r="K310">
        <v>399485</v>
      </c>
      <c r="L310">
        <v>439436</v>
      </c>
    </row>
    <row r="311" spans="1:12" x14ac:dyDescent="0.35">
      <c r="A311">
        <v>2025</v>
      </c>
      <c r="B311">
        <v>1</v>
      </c>
      <c r="C311" t="s">
        <v>42</v>
      </c>
      <c r="D311" t="s">
        <v>200</v>
      </c>
      <c r="E311" t="s">
        <v>201</v>
      </c>
      <c r="F311">
        <v>453</v>
      </c>
      <c r="G311">
        <v>361564</v>
      </c>
      <c r="H311">
        <v>350974</v>
      </c>
      <c r="I311">
        <v>262564</v>
      </c>
      <c r="J311">
        <v>490199</v>
      </c>
      <c r="K311">
        <v>313573</v>
      </c>
      <c r="L311">
        <v>409485</v>
      </c>
    </row>
    <row r="312" spans="1:12" x14ac:dyDescent="0.35">
      <c r="A312">
        <v>2025</v>
      </c>
      <c r="B312">
        <v>1</v>
      </c>
      <c r="C312" t="s">
        <v>42</v>
      </c>
      <c r="D312" t="s">
        <v>202</v>
      </c>
      <c r="E312" t="s">
        <v>203</v>
      </c>
      <c r="F312">
        <v>1120</v>
      </c>
      <c r="G312">
        <v>310081</v>
      </c>
      <c r="H312">
        <v>300636</v>
      </c>
      <c r="I312">
        <v>197861</v>
      </c>
      <c r="J312">
        <v>460963</v>
      </c>
      <c r="K312">
        <v>269275</v>
      </c>
      <c r="L312">
        <v>365974</v>
      </c>
    </row>
    <row r="313" spans="1:12" x14ac:dyDescent="0.35">
      <c r="A313">
        <v>2025</v>
      </c>
      <c r="B313">
        <v>1</v>
      </c>
      <c r="C313" t="s">
        <v>42</v>
      </c>
      <c r="D313" t="s">
        <v>204</v>
      </c>
      <c r="E313" t="s">
        <v>205</v>
      </c>
      <c r="F313">
        <v>354</v>
      </c>
      <c r="G313">
        <v>382364</v>
      </c>
      <c r="H313">
        <v>385507</v>
      </c>
      <c r="I313">
        <v>262564</v>
      </c>
      <c r="J313">
        <v>575804</v>
      </c>
      <c r="K313">
        <v>333155</v>
      </c>
      <c r="L313">
        <v>424436</v>
      </c>
    </row>
    <row r="314" spans="1:12" x14ac:dyDescent="0.35">
      <c r="A314">
        <v>2025</v>
      </c>
      <c r="B314">
        <v>1</v>
      </c>
      <c r="C314" t="s">
        <v>42</v>
      </c>
      <c r="D314" t="s">
        <v>206</v>
      </c>
      <c r="E314" t="s">
        <v>207</v>
      </c>
      <c r="F314">
        <v>2930</v>
      </c>
      <c r="G314">
        <v>294155</v>
      </c>
      <c r="H314">
        <v>285986</v>
      </c>
      <c r="I314">
        <v>242797</v>
      </c>
      <c r="J314">
        <v>458229</v>
      </c>
      <c r="K314">
        <v>275986</v>
      </c>
      <c r="L314">
        <v>305519</v>
      </c>
    </row>
    <row r="315" spans="1:12" x14ac:dyDescent="0.35">
      <c r="A315">
        <v>2025</v>
      </c>
      <c r="B315">
        <v>1</v>
      </c>
      <c r="C315" t="s">
        <v>42</v>
      </c>
      <c r="D315" t="s">
        <v>208</v>
      </c>
      <c r="E315" t="s">
        <v>209</v>
      </c>
      <c r="F315">
        <v>5</v>
      </c>
      <c r="G315">
        <v>262962</v>
      </c>
      <c r="H315">
        <v>264745</v>
      </c>
      <c r="I315">
        <v>255297</v>
      </c>
      <c r="J315">
        <v>266590</v>
      </c>
      <c r="K315">
        <v>261590</v>
      </c>
      <c r="L315">
        <v>266590</v>
      </c>
    </row>
    <row r="316" spans="1:12" x14ac:dyDescent="0.35">
      <c r="A316">
        <v>2025</v>
      </c>
      <c r="B316">
        <v>1</v>
      </c>
      <c r="C316" t="s">
        <v>42</v>
      </c>
      <c r="D316" t="s">
        <v>210</v>
      </c>
      <c r="E316" t="s">
        <v>211</v>
      </c>
      <c r="F316">
        <v>9</v>
      </c>
      <c r="G316">
        <v>297086</v>
      </c>
      <c r="H316">
        <v>270064</v>
      </c>
      <c r="I316">
        <v>262564</v>
      </c>
      <c r="J316">
        <v>398143</v>
      </c>
      <c r="K316">
        <v>262564</v>
      </c>
      <c r="L316">
        <v>328807</v>
      </c>
    </row>
    <row r="317" spans="1:12" x14ac:dyDescent="0.35">
      <c r="A317">
        <v>2025</v>
      </c>
      <c r="B317">
        <v>2</v>
      </c>
      <c r="C317" t="s">
        <v>63</v>
      </c>
      <c r="D317" t="s">
        <v>164</v>
      </c>
      <c r="E317" t="s">
        <v>165</v>
      </c>
      <c r="F317">
        <v>84</v>
      </c>
      <c r="G317">
        <v>314607</v>
      </c>
      <c r="H317">
        <v>313252</v>
      </c>
      <c r="I317">
        <v>262564</v>
      </c>
      <c r="J317">
        <v>378474</v>
      </c>
      <c r="K317">
        <v>300752</v>
      </c>
      <c r="L317">
        <v>328019</v>
      </c>
    </row>
    <row r="318" spans="1:12" x14ac:dyDescent="0.35">
      <c r="A318">
        <v>2025</v>
      </c>
      <c r="B318">
        <v>2</v>
      </c>
      <c r="C318" t="s">
        <v>63</v>
      </c>
      <c r="D318" t="s">
        <v>166</v>
      </c>
      <c r="E318" t="s">
        <v>167</v>
      </c>
      <c r="F318">
        <v>3072</v>
      </c>
      <c r="G318">
        <v>251634</v>
      </c>
      <c r="H318">
        <v>234685</v>
      </c>
      <c r="I318">
        <v>191418</v>
      </c>
      <c r="J318">
        <v>465963</v>
      </c>
      <c r="K318">
        <v>211787</v>
      </c>
      <c r="L318">
        <v>280752</v>
      </c>
    </row>
    <row r="319" spans="1:12" x14ac:dyDescent="0.35">
      <c r="A319">
        <v>2025</v>
      </c>
      <c r="B319">
        <v>2</v>
      </c>
      <c r="C319" t="s">
        <v>63</v>
      </c>
      <c r="D319" t="s">
        <v>168</v>
      </c>
      <c r="E319" t="s">
        <v>169</v>
      </c>
      <c r="F319">
        <v>56</v>
      </c>
      <c r="G319">
        <v>293040</v>
      </c>
      <c r="H319">
        <v>283486</v>
      </c>
      <c r="I319">
        <v>262564</v>
      </c>
      <c r="J319">
        <v>348942</v>
      </c>
      <c r="K319">
        <v>270064</v>
      </c>
      <c r="L319">
        <v>320519</v>
      </c>
    </row>
    <row r="320" spans="1:12" x14ac:dyDescent="0.35">
      <c r="A320">
        <v>2025</v>
      </c>
      <c r="B320">
        <v>2</v>
      </c>
      <c r="C320" t="s">
        <v>63</v>
      </c>
      <c r="D320" t="s">
        <v>170</v>
      </c>
      <c r="E320" t="s">
        <v>171</v>
      </c>
      <c r="F320">
        <v>16</v>
      </c>
      <c r="G320">
        <v>282975</v>
      </c>
      <c r="H320">
        <v>283486</v>
      </c>
      <c r="I320">
        <v>262564</v>
      </c>
      <c r="J320">
        <v>307425</v>
      </c>
      <c r="K320">
        <v>275986</v>
      </c>
      <c r="L320">
        <v>290986</v>
      </c>
    </row>
    <row r="321" spans="1:12" x14ac:dyDescent="0.35">
      <c r="A321">
        <v>2025</v>
      </c>
      <c r="B321">
        <v>2</v>
      </c>
      <c r="C321" t="s">
        <v>63</v>
      </c>
      <c r="D321" t="s">
        <v>172</v>
      </c>
      <c r="E321" t="s">
        <v>173</v>
      </c>
      <c r="F321">
        <v>687</v>
      </c>
      <c r="G321">
        <v>244687</v>
      </c>
      <c r="H321">
        <v>242897</v>
      </c>
      <c r="I321">
        <v>207808</v>
      </c>
      <c r="J321">
        <v>289694</v>
      </c>
      <c r="K321">
        <v>232710</v>
      </c>
      <c r="L321">
        <v>257661</v>
      </c>
    </row>
    <row r="322" spans="1:12" x14ac:dyDescent="0.35">
      <c r="A322">
        <v>2025</v>
      </c>
      <c r="B322">
        <v>2</v>
      </c>
      <c r="C322" t="s">
        <v>63</v>
      </c>
      <c r="D322" t="s">
        <v>174</v>
      </c>
      <c r="E322" t="s">
        <v>175</v>
      </c>
      <c r="F322">
        <v>126</v>
      </c>
      <c r="G322">
        <v>288132</v>
      </c>
      <c r="H322">
        <v>286775</v>
      </c>
      <c r="I322">
        <v>262564</v>
      </c>
      <c r="J322">
        <v>336117</v>
      </c>
      <c r="K322">
        <v>275986</v>
      </c>
      <c r="L322">
        <v>298486</v>
      </c>
    </row>
    <row r="323" spans="1:12" x14ac:dyDescent="0.35">
      <c r="A323">
        <v>2025</v>
      </c>
      <c r="B323">
        <v>2</v>
      </c>
      <c r="C323" t="s">
        <v>63</v>
      </c>
      <c r="D323" t="s">
        <v>176</v>
      </c>
      <c r="E323" t="s">
        <v>177</v>
      </c>
      <c r="F323">
        <v>5</v>
      </c>
      <c r="G323">
        <v>375805</v>
      </c>
      <c r="H323">
        <v>384719</v>
      </c>
      <c r="I323">
        <v>280063</v>
      </c>
      <c r="J323">
        <v>445729</v>
      </c>
      <c r="K323">
        <v>379719</v>
      </c>
      <c r="L323">
        <v>388795</v>
      </c>
    </row>
    <row r="324" spans="1:12" x14ac:dyDescent="0.35">
      <c r="A324">
        <v>2025</v>
      </c>
      <c r="B324">
        <v>2</v>
      </c>
      <c r="C324" t="s">
        <v>63</v>
      </c>
      <c r="D324" t="s">
        <v>178</v>
      </c>
      <c r="E324" t="s">
        <v>179</v>
      </c>
      <c r="F324">
        <v>26</v>
      </c>
      <c r="G324">
        <v>281755</v>
      </c>
      <c r="H324">
        <v>275986</v>
      </c>
      <c r="I324">
        <v>275986</v>
      </c>
      <c r="J324">
        <v>305986</v>
      </c>
      <c r="K324">
        <v>275986</v>
      </c>
      <c r="L324">
        <v>283486</v>
      </c>
    </row>
    <row r="325" spans="1:12" x14ac:dyDescent="0.35">
      <c r="A325">
        <v>2025</v>
      </c>
      <c r="B325">
        <v>2</v>
      </c>
      <c r="C325" t="s">
        <v>63</v>
      </c>
      <c r="D325" t="s">
        <v>180</v>
      </c>
      <c r="E325" t="s">
        <v>181</v>
      </c>
      <c r="F325">
        <v>4094</v>
      </c>
      <c r="G325">
        <v>326026</v>
      </c>
      <c r="H325">
        <v>318019</v>
      </c>
      <c r="I325">
        <v>260064</v>
      </c>
      <c r="J325">
        <v>595575</v>
      </c>
      <c r="K325">
        <v>290752</v>
      </c>
      <c r="L325">
        <v>354084</v>
      </c>
    </row>
    <row r="326" spans="1:12" x14ac:dyDescent="0.35">
      <c r="A326">
        <v>2025</v>
      </c>
      <c r="B326">
        <v>2</v>
      </c>
      <c r="C326" t="s">
        <v>63</v>
      </c>
      <c r="D326" t="s">
        <v>182</v>
      </c>
      <c r="E326" t="s">
        <v>183</v>
      </c>
      <c r="F326">
        <v>146</v>
      </c>
      <c r="G326">
        <v>359724</v>
      </c>
      <c r="H326">
        <v>347920</v>
      </c>
      <c r="I326">
        <v>262564</v>
      </c>
      <c r="J326">
        <v>460547</v>
      </c>
      <c r="K326">
        <v>305752</v>
      </c>
      <c r="L326">
        <v>412710</v>
      </c>
    </row>
    <row r="327" spans="1:12" x14ac:dyDescent="0.35">
      <c r="A327">
        <v>2025</v>
      </c>
      <c r="B327">
        <v>2</v>
      </c>
      <c r="C327" t="s">
        <v>63</v>
      </c>
      <c r="D327" t="s">
        <v>184</v>
      </c>
      <c r="E327" t="s">
        <v>185</v>
      </c>
      <c r="F327">
        <v>2</v>
      </c>
      <c r="G327">
        <v>364029</v>
      </c>
      <c r="H327">
        <v>364029</v>
      </c>
      <c r="I327">
        <v>328573</v>
      </c>
      <c r="J327">
        <v>399485</v>
      </c>
      <c r="K327">
        <v>328573</v>
      </c>
      <c r="L327">
        <v>399485</v>
      </c>
    </row>
    <row r="328" spans="1:12" x14ac:dyDescent="0.35">
      <c r="A328">
        <v>2025</v>
      </c>
      <c r="B328">
        <v>2</v>
      </c>
      <c r="C328" t="s">
        <v>63</v>
      </c>
      <c r="D328" t="s">
        <v>186</v>
      </c>
      <c r="E328" t="s">
        <v>187</v>
      </c>
      <c r="F328">
        <v>1003</v>
      </c>
      <c r="G328">
        <v>289077</v>
      </c>
      <c r="H328">
        <v>285986</v>
      </c>
      <c r="I328">
        <v>260064</v>
      </c>
      <c r="J328">
        <v>510348</v>
      </c>
      <c r="K328">
        <v>275986</v>
      </c>
      <c r="L328">
        <v>298486</v>
      </c>
    </row>
    <row r="329" spans="1:12" x14ac:dyDescent="0.35">
      <c r="A329">
        <v>2025</v>
      </c>
      <c r="B329">
        <v>2</v>
      </c>
      <c r="C329" t="s">
        <v>63</v>
      </c>
      <c r="D329" t="s">
        <v>188</v>
      </c>
      <c r="E329" t="s">
        <v>189</v>
      </c>
      <c r="F329">
        <v>1000</v>
      </c>
      <c r="G329">
        <v>416049</v>
      </c>
      <c r="H329">
        <v>392404</v>
      </c>
      <c r="I329">
        <v>309915</v>
      </c>
      <c r="J329">
        <v>698145</v>
      </c>
      <c r="K329">
        <v>363241</v>
      </c>
      <c r="L329">
        <v>460005</v>
      </c>
    </row>
    <row r="330" spans="1:12" x14ac:dyDescent="0.35">
      <c r="A330">
        <v>2025</v>
      </c>
      <c r="B330">
        <v>2</v>
      </c>
      <c r="C330" t="s">
        <v>63</v>
      </c>
      <c r="D330" t="s">
        <v>190</v>
      </c>
      <c r="E330" t="s">
        <v>191</v>
      </c>
      <c r="F330">
        <v>15563</v>
      </c>
      <c r="G330">
        <v>275479</v>
      </c>
      <c r="H330">
        <v>251085</v>
      </c>
      <c r="I330">
        <v>191418</v>
      </c>
      <c r="J330">
        <v>643538</v>
      </c>
      <c r="K330">
        <v>218684</v>
      </c>
      <c r="L330">
        <v>313020</v>
      </c>
    </row>
    <row r="331" spans="1:12" x14ac:dyDescent="0.35">
      <c r="A331">
        <v>2025</v>
      </c>
      <c r="B331">
        <v>2</v>
      </c>
      <c r="C331" t="s">
        <v>63</v>
      </c>
      <c r="D331" t="s">
        <v>192</v>
      </c>
      <c r="E331" t="s">
        <v>193</v>
      </c>
      <c r="F331">
        <v>136</v>
      </c>
      <c r="G331">
        <v>328474</v>
      </c>
      <c r="H331">
        <v>320519</v>
      </c>
      <c r="I331">
        <v>270986</v>
      </c>
      <c r="J331">
        <v>449067</v>
      </c>
      <c r="K331">
        <v>305519</v>
      </c>
      <c r="L331">
        <v>348474</v>
      </c>
    </row>
    <row r="332" spans="1:12" x14ac:dyDescent="0.35">
      <c r="A332">
        <v>2025</v>
      </c>
      <c r="B332">
        <v>2</v>
      </c>
      <c r="C332" t="s">
        <v>63</v>
      </c>
      <c r="D332" t="s">
        <v>194</v>
      </c>
      <c r="E332" t="s">
        <v>195</v>
      </c>
      <c r="F332">
        <v>3480</v>
      </c>
      <c r="G332">
        <v>287539</v>
      </c>
      <c r="H332">
        <v>255950</v>
      </c>
      <c r="I332">
        <v>210080</v>
      </c>
      <c r="J332">
        <v>598512</v>
      </c>
      <c r="K332">
        <v>233868</v>
      </c>
      <c r="L332">
        <v>333573</v>
      </c>
    </row>
    <row r="333" spans="1:12" x14ac:dyDescent="0.35">
      <c r="A333">
        <v>2025</v>
      </c>
      <c r="B333">
        <v>2</v>
      </c>
      <c r="C333" t="s">
        <v>63</v>
      </c>
      <c r="D333" t="s">
        <v>196</v>
      </c>
      <c r="E333" t="s">
        <v>197</v>
      </c>
      <c r="F333">
        <v>2454</v>
      </c>
      <c r="G333">
        <v>336314</v>
      </c>
      <c r="H333">
        <v>331932</v>
      </c>
      <c r="I333">
        <v>203868</v>
      </c>
      <c r="J333">
        <v>596560</v>
      </c>
      <c r="K333">
        <v>278976</v>
      </c>
      <c r="L333">
        <v>400322</v>
      </c>
    </row>
    <row r="334" spans="1:12" x14ac:dyDescent="0.35">
      <c r="A334">
        <v>2025</v>
      </c>
      <c r="B334">
        <v>2</v>
      </c>
      <c r="C334" t="s">
        <v>63</v>
      </c>
      <c r="D334" t="s">
        <v>198</v>
      </c>
      <c r="E334" t="s">
        <v>199</v>
      </c>
      <c r="F334">
        <v>223</v>
      </c>
      <c r="G334">
        <v>418592</v>
      </c>
      <c r="H334">
        <v>421936</v>
      </c>
      <c r="I334">
        <v>313573</v>
      </c>
      <c r="J334">
        <v>560015</v>
      </c>
      <c r="K334">
        <v>399485</v>
      </c>
      <c r="L334">
        <v>441324</v>
      </c>
    </row>
    <row r="335" spans="1:12" x14ac:dyDescent="0.35">
      <c r="A335">
        <v>2025</v>
      </c>
      <c r="B335">
        <v>2</v>
      </c>
      <c r="C335" t="s">
        <v>63</v>
      </c>
      <c r="D335" t="s">
        <v>200</v>
      </c>
      <c r="E335" t="s">
        <v>201</v>
      </c>
      <c r="F335">
        <v>451</v>
      </c>
      <c r="G335">
        <v>361090</v>
      </c>
      <c r="H335">
        <v>348155</v>
      </c>
      <c r="I335">
        <v>262564</v>
      </c>
      <c r="J335">
        <v>504883</v>
      </c>
      <c r="K335">
        <v>313573</v>
      </c>
      <c r="L335">
        <v>409485</v>
      </c>
    </row>
    <row r="336" spans="1:12" x14ac:dyDescent="0.35">
      <c r="A336">
        <v>2025</v>
      </c>
      <c r="B336">
        <v>2</v>
      </c>
      <c r="C336" t="s">
        <v>63</v>
      </c>
      <c r="D336" t="s">
        <v>202</v>
      </c>
      <c r="E336" t="s">
        <v>203</v>
      </c>
      <c r="F336">
        <v>1118</v>
      </c>
      <c r="G336">
        <v>310135</v>
      </c>
      <c r="H336">
        <v>298486</v>
      </c>
      <c r="I336">
        <v>196787</v>
      </c>
      <c r="J336">
        <v>460963</v>
      </c>
      <c r="K336">
        <v>269509</v>
      </c>
      <c r="L336">
        <v>363474</v>
      </c>
    </row>
    <row r="337" spans="1:12" x14ac:dyDescent="0.35">
      <c r="A337">
        <v>2025</v>
      </c>
      <c r="B337">
        <v>2</v>
      </c>
      <c r="C337" t="s">
        <v>63</v>
      </c>
      <c r="D337" t="s">
        <v>204</v>
      </c>
      <c r="E337" t="s">
        <v>205</v>
      </c>
      <c r="F337">
        <v>351</v>
      </c>
      <c r="G337">
        <v>384101</v>
      </c>
      <c r="H337">
        <v>384719</v>
      </c>
      <c r="I337">
        <v>262564</v>
      </c>
      <c r="J337">
        <v>598760</v>
      </c>
      <c r="K337">
        <v>333155</v>
      </c>
      <c r="L337">
        <v>424436</v>
      </c>
    </row>
    <row r="338" spans="1:12" x14ac:dyDescent="0.35">
      <c r="A338">
        <v>2025</v>
      </c>
      <c r="B338">
        <v>2</v>
      </c>
      <c r="C338" t="s">
        <v>63</v>
      </c>
      <c r="D338" t="s">
        <v>206</v>
      </c>
      <c r="E338" t="s">
        <v>207</v>
      </c>
      <c r="F338">
        <v>3072</v>
      </c>
      <c r="G338">
        <v>293802</v>
      </c>
      <c r="H338">
        <v>285986</v>
      </c>
      <c r="I338">
        <v>242797</v>
      </c>
      <c r="J338">
        <v>458229</v>
      </c>
      <c r="K338">
        <v>275986</v>
      </c>
      <c r="L338">
        <v>305519</v>
      </c>
    </row>
    <row r="339" spans="1:12" x14ac:dyDescent="0.35">
      <c r="A339">
        <v>2025</v>
      </c>
      <c r="B339">
        <v>2</v>
      </c>
      <c r="C339" t="s">
        <v>63</v>
      </c>
      <c r="D339" t="s">
        <v>208</v>
      </c>
      <c r="E339" t="s">
        <v>209</v>
      </c>
      <c r="F339">
        <v>5</v>
      </c>
      <c r="G339">
        <v>262573</v>
      </c>
      <c r="H339">
        <v>262797</v>
      </c>
      <c r="I339">
        <v>255297</v>
      </c>
      <c r="J339">
        <v>266590</v>
      </c>
      <c r="K339">
        <v>261590</v>
      </c>
      <c r="L339">
        <v>266590</v>
      </c>
    </row>
    <row r="340" spans="1:12" x14ac:dyDescent="0.35">
      <c r="A340">
        <v>2025</v>
      </c>
      <c r="B340">
        <v>2</v>
      </c>
      <c r="C340" t="s">
        <v>63</v>
      </c>
      <c r="D340" t="s">
        <v>210</v>
      </c>
      <c r="E340" t="s">
        <v>211</v>
      </c>
      <c r="F340">
        <v>17</v>
      </c>
      <c r="G340">
        <v>281723</v>
      </c>
      <c r="H340">
        <v>262564</v>
      </c>
      <c r="I340">
        <v>262564</v>
      </c>
      <c r="J340">
        <v>398143</v>
      </c>
      <c r="K340">
        <v>262564</v>
      </c>
      <c r="L340">
        <v>270064</v>
      </c>
    </row>
    <row r="341" spans="1:12" x14ac:dyDescent="0.35">
      <c r="A341">
        <v>2025</v>
      </c>
      <c r="B341">
        <v>3</v>
      </c>
      <c r="C341" t="s">
        <v>66</v>
      </c>
      <c r="D341" t="s">
        <v>164</v>
      </c>
      <c r="E341" t="s">
        <v>165</v>
      </c>
      <c r="F341">
        <v>85</v>
      </c>
      <c r="G341">
        <v>315034</v>
      </c>
      <c r="H341">
        <v>318942</v>
      </c>
      <c r="I341">
        <v>262564</v>
      </c>
      <c r="J341">
        <v>378474</v>
      </c>
      <c r="K341">
        <v>298486</v>
      </c>
      <c r="L341">
        <v>328942</v>
      </c>
    </row>
    <row r="342" spans="1:12" x14ac:dyDescent="0.35">
      <c r="A342">
        <v>2025</v>
      </c>
      <c r="B342">
        <v>3</v>
      </c>
      <c r="C342" t="s">
        <v>66</v>
      </c>
      <c r="D342" t="s">
        <v>166</v>
      </c>
      <c r="E342" t="s">
        <v>167</v>
      </c>
      <c r="F342">
        <v>3114</v>
      </c>
      <c r="G342">
        <v>251886</v>
      </c>
      <c r="H342">
        <v>235395</v>
      </c>
      <c r="I342">
        <v>191418</v>
      </c>
      <c r="J342">
        <v>466985</v>
      </c>
      <c r="K342">
        <v>212341</v>
      </c>
      <c r="L342">
        <v>280064</v>
      </c>
    </row>
    <row r="343" spans="1:12" x14ac:dyDescent="0.35">
      <c r="A343">
        <v>2025</v>
      </c>
      <c r="B343">
        <v>3</v>
      </c>
      <c r="C343" t="s">
        <v>66</v>
      </c>
      <c r="D343" t="s">
        <v>168</v>
      </c>
      <c r="E343" t="s">
        <v>169</v>
      </c>
      <c r="F343">
        <v>60</v>
      </c>
      <c r="G343">
        <v>290737</v>
      </c>
      <c r="H343">
        <v>283486</v>
      </c>
      <c r="I343">
        <v>262564</v>
      </c>
      <c r="J343">
        <v>348942</v>
      </c>
      <c r="K343">
        <v>262564</v>
      </c>
      <c r="L343">
        <v>313942</v>
      </c>
    </row>
    <row r="344" spans="1:12" x14ac:dyDescent="0.35">
      <c r="A344">
        <v>2025</v>
      </c>
      <c r="B344">
        <v>3</v>
      </c>
      <c r="C344" t="s">
        <v>66</v>
      </c>
      <c r="D344" t="s">
        <v>170</v>
      </c>
      <c r="E344" t="s">
        <v>171</v>
      </c>
      <c r="F344">
        <v>16</v>
      </c>
      <c r="G344">
        <v>285553</v>
      </c>
      <c r="H344">
        <v>284892</v>
      </c>
      <c r="I344">
        <v>270064</v>
      </c>
      <c r="J344">
        <v>305519</v>
      </c>
      <c r="K344">
        <v>283486</v>
      </c>
      <c r="L344">
        <v>290986</v>
      </c>
    </row>
    <row r="345" spans="1:12" x14ac:dyDescent="0.35">
      <c r="A345">
        <v>2025</v>
      </c>
      <c r="B345">
        <v>3</v>
      </c>
      <c r="C345" t="s">
        <v>66</v>
      </c>
      <c r="D345" t="s">
        <v>212</v>
      </c>
      <c r="E345" t="s">
        <v>213</v>
      </c>
      <c r="F345">
        <v>1</v>
      </c>
      <c r="G345">
        <v>300519</v>
      </c>
      <c r="H345">
        <v>300519</v>
      </c>
      <c r="I345">
        <v>300519</v>
      </c>
      <c r="J345">
        <v>300519</v>
      </c>
      <c r="K345">
        <v>300519</v>
      </c>
      <c r="L345">
        <v>300519</v>
      </c>
    </row>
    <row r="346" spans="1:12" x14ac:dyDescent="0.35">
      <c r="A346">
        <v>2025</v>
      </c>
      <c r="B346">
        <v>3</v>
      </c>
      <c r="C346" t="s">
        <v>66</v>
      </c>
      <c r="D346" t="s">
        <v>172</v>
      </c>
      <c r="E346" t="s">
        <v>173</v>
      </c>
      <c r="F346">
        <v>715</v>
      </c>
      <c r="G346">
        <v>242388</v>
      </c>
      <c r="H346">
        <v>240765</v>
      </c>
      <c r="I346">
        <v>207526</v>
      </c>
      <c r="J346">
        <v>289324</v>
      </c>
      <c r="K346">
        <v>228265</v>
      </c>
      <c r="L346">
        <v>253216</v>
      </c>
    </row>
    <row r="347" spans="1:12" x14ac:dyDescent="0.35">
      <c r="A347">
        <v>2025</v>
      </c>
      <c r="B347">
        <v>3</v>
      </c>
      <c r="C347" t="s">
        <v>66</v>
      </c>
      <c r="D347" t="s">
        <v>174</v>
      </c>
      <c r="E347" t="s">
        <v>175</v>
      </c>
      <c r="F347">
        <v>138</v>
      </c>
      <c r="G347">
        <v>288313</v>
      </c>
      <c r="H347">
        <v>289051</v>
      </c>
      <c r="I347">
        <v>262564</v>
      </c>
      <c r="J347">
        <v>335403</v>
      </c>
      <c r="K347">
        <v>275986</v>
      </c>
      <c r="L347">
        <v>298486</v>
      </c>
    </row>
    <row r="348" spans="1:12" x14ac:dyDescent="0.35">
      <c r="A348">
        <v>2025</v>
      </c>
      <c r="B348">
        <v>3</v>
      </c>
      <c r="C348" t="s">
        <v>66</v>
      </c>
      <c r="D348" t="s">
        <v>176</v>
      </c>
      <c r="E348" t="s">
        <v>177</v>
      </c>
      <c r="F348">
        <v>5</v>
      </c>
      <c r="G348">
        <v>380120</v>
      </c>
      <c r="H348">
        <v>384719</v>
      </c>
      <c r="I348">
        <v>301636</v>
      </c>
      <c r="J348">
        <v>445729</v>
      </c>
      <c r="K348">
        <v>379719</v>
      </c>
      <c r="L348">
        <v>388795</v>
      </c>
    </row>
    <row r="349" spans="1:12" x14ac:dyDescent="0.35">
      <c r="A349">
        <v>2025</v>
      </c>
      <c r="B349">
        <v>3</v>
      </c>
      <c r="C349" t="s">
        <v>66</v>
      </c>
      <c r="D349" t="s">
        <v>178</v>
      </c>
      <c r="E349" t="s">
        <v>179</v>
      </c>
      <c r="F349">
        <v>26</v>
      </c>
      <c r="G349">
        <v>282044</v>
      </c>
      <c r="H349">
        <v>275986</v>
      </c>
      <c r="I349">
        <v>275986</v>
      </c>
      <c r="J349">
        <v>305986</v>
      </c>
      <c r="K349">
        <v>275986</v>
      </c>
      <c r="L349">
        <v>283486</v>
      </c>
    </row>
    <row r="350" spans="1:12" x14ac:dyDescent="0.35">
      <c r="A350">
        <v>2025</v>
      </c>
      <c r="B350">
        <v>3</v>
      </c>
      <c r="C350" t="s">
        <v>66</v>
      </c>
      <c r="D350" t="s">
        <v>180</v>
      </c>
      <c r="E350" t="s">
        <v>181</v>
      </c>
      <c r="F350">
        <v>4185</v>
      </c>
      <c r="G350">
        <v>324795</v>
      </c>
      <c r="H350">
        <v>320519</v>
      </c>
      <c r="I350">
        <v>260064</v>
      </c>
      <c r="J350">
        <v>467763</v>
      </c>
      <c r="K350">
        <v>288252</v>
      </c>
      <c r="L350">
        <v>350052</v>
      </c>
    </row>
    <row r="351" spans="1:12" x14ac:dyDescent="0.35">
      <c r="A351">
        <v>2025</v>
      </c>
      <c r="B351">
        <v>3</v>
      </c>
      <c r="C351" t="s">
        <v>66</v>
      </c>
      <c r="D351" t="s">
        <v>182</v>
      </c>
      <c r="E351" t="s">
        <v>183</v>
      </c>
      <c r="F351">
        <v>148</v>
      </c>
      <c r="G351">
        <v>356757</v>
      </c>
      <c r="H351">
        <v>341442</v>
      </c>
      <c r="I351">
        <v>262564</v>
      </c>
      <c r="J351">
        <v>459017</v>
      </c>
      <c r="K351">
        <v>305752</v>
      </c>
      <c r="L351">
        <v>402219</v>
      </c>
    </row>
    <row r="352" spans="1:12" x14ac:dyDescent="0.35">
      <c r="A352">
        <v>2025</v>
      </c>
      <c r="B352">
        <v>3</v>
      </c>
      <c r="C352" t="s">
        <v>66</v>
      </c>
      <c r="D352" t="s">
        <v>184</v>
      </c>
      <c r="E352" t="s">
        <v>185</v>
      </c>
      <c r="F352">
        <v>2</v>
      </c>
      <c r="G352">
        <v>364029</v>
      </c>
      <c r="H352">
        <v>364029</v>
      </c>
      <c r="I352">
        <v>328573</v>
      </c>
      <c r="J352">
        <v>399485</v>
      </c>
      <c r="K352">
        <v>328573</v>
      </c>
      <c r="L352">
        <v>399485</v>
      </c>
    </row>
    <row r="353" spans="1:12" x14ac:dyDescent="0.35">
      <c r="A353">
        <v>2025</v>
      </c>
      <c r="B353">
        <v>3</v>
      </c>
      <c r="C353" t="s">
        <v>66</v>
      </c>
      <c r="D353" t="s">
        <v>186</v>
      </c>
      <c r="E353" t="s">
        <v>187</v>
      </c>
      <c r="F353">
        <v>1024</v>
      </c>
      <c r="G353">
        <v>289904</v>
      </c>
      <c r="H353">
        <v>288486</v>
      </c>
      <c r="I353">
        <v>260064</v>
      </c>
      <c r="J353">
        <v>510348</v>
      </c>
      <c r="K353">
        <v>275986</v>
      </c>
      <c r="L353">
        <v>298486</v>
      </c>
    </row>
    <row r="354" spans="1:12" x14ac:dyDescent="0.35">
      <c r="A354">
        <v>2025</v>
      </c>
      <c r="B354">
        <v>3</v>
      </c>
      <c r="C354" t="s">
        <v>66</v>
      </c>
      <c r="D354" t="s">
        <v>188</v>
      </c>
      <c r="E354" t="s">
        <v>189</v>
      </c>
      <c r="F354">
        <v>998</v>
      </c>
      <c r="G354">
        <v>416247</v>
      </c>
      <c r="H354">
        <v>392404</v>
      </c>
      <c r="I354">
        <v>309915</v>
      </c>
      <c r="J354">
        <v>698145</v>
      </c>
      <c r="K354">
        <v>363241</v>
      </c>
      <c r="L354">
        <v>460005</v>
      </c>
    </row>
    <row r="355" spans="1:12" x14ac:dyDescent="0.35">
      <c r="A355">
        <v>2025</v>
      </c>
      <c r="B355">
        <v>3</v>
      </c>
      <c r="C355" t="s">
        <v>66</v>
      </c>
      <c r="D355" t="s">
        <v>190</v>
      </c>
      <c r="E355" t="s">
        <v>191</v>
      </c>
      <c r="F355">
        <v>15923</v>
      </c>
      <c r="G355">
        <v>274203</v>
      </c>
      <c r="H355">
        <v>250346</v>
      </c>
      <c r="I355">
        <v>191418</v>
      </c>
      <c r="J355">
        <v>643538</v>
      </c>
      <c r="K355">
        <v>218265</v>
      </c>
      <c r="L355">
        <v>308575</v>
      </c>
    </row>
    <row r="356" spans="1:12" x14ac:dyDescent="0.35">
      <c r="A356">
        <v>2025</v>
      </c>
      <c r="B356">
        <v>3</v>
      </c>
      <c r="C356" t="s">
        <v>66</v>
      </c>
      <c r="D356" t="s">
        <v>192</v>
      </c>
      <c r="E356" t="s">
        <v>193</v>
      </c>
      <c r="F356">
        <v>136</v>
      </c>
      <c r="G356">
        <v>329027</v>
      </c>
      <c r="H356">
        <v>326288</v>
      </c>
      <c r="I356">
        <v>270986</v>
      </c>
      <c r="J356">
        <v>435643</v>
      </c>
      <c r="K356">
        <v>305519</v>
      </c>
      <c r="L356">
        <v>345052</v>
      </c>
    </row>
    <row r="357" spans="1:12" x14ac:dyDescent="0.35">
      <c r="A357">
        <v>2025</v>
      </c>
      <c r="B357">
        <v>3</v>
      </c>
      <c r="C357" t="s">
        <v>66</v>
      </c>
      <c r="D357" t="s">
        <v>194</v>
      </c>
      <c r="E357" t="s">
        <v>195</v>
      </c>
      <c r="F357">
        <v>3482</v>
      </c>
      <c r="G357">
        <v>285494</v>
      </c>
      <c r="H357">
        <v>256368</v>
      </c>
      <c r="I357">
        <v>206184</v>
      </c>
      <c r="J357">
        <v>590804</v>
      </c>
      <c r="K357">
        <v>233868</v>
      </c>
      <c r="L357">
        <v>325752</v>
      </c>
    </row>
    <row r="358" spans="1:12" x14ac:dyDescent="0.35">
      <c r="A358">
        <v>2025</v>
      </c>
      <c r="B358">
        <v>3</v>
      </c>
      <c r="C358" t="s">
        <v>66</v>
      </c>
      <c r="D358" t="s">
        <v>196</v>
      </c>
      <c r="E358" t="s">
        <v>197</v>
      </c>
      <c r="F358">
        <v>2474</v>
      </c>
      <c r="G358">
        <v>330799</v>
      </c>
      <c r="H358">
        <v>322230</v>
      </c>
      <c r="I358">
        <v>203868</v>
      </c>
      <c r="J358">
        <v>588304</v>
      </c>
      <c r="K358">
        <v>275988</v>
      </c>
      <c r="L358">
        <v>399485</v>
      </c>
    </row>
    <row r="359" spans="1:12" x14ac:dyDescent="0.35">
      <c r="A359">
        <v>2025</v>
      </c>
      <c r="B359">
        <v>3</v>
      </c>
      <c r="C359" t="s">
        <v>66</v>
      </c>
      <c r="D359" t="s">
        <v>198</v>
      </c>
      <c r="E359" t="s">
        <v>199</v>
      </c>
      <c r="F359">
        <v>224</v>
      </c>
      <c r="G359">
        <v>414949</v>
      </c>
      <c r="H359">
        <v>416936</v>
      </c>
      <c r="I359">
        <v>313573</v>
      </c>
      <c r="J359">
        <v>560015</v>
      </c>
      <c r="K359">
        <v>399485</v>
      </c>
      <c r="L359">
        <v>433044</v>
      </c>
    </row>
    <row r="360" spans="1:12" x14ac:dyDescent="0.35">
      <c r="A360">
        <v>2025</v>
      </c>
      <c r="B360">
        <v>3</v>
      </c>
      <c r="C360" t="s">
        <v>66</v>
      </c>
      <c r="D360" t="s">
        <v>200</v>
      </c>
      <c r="E360" t="s">
        <v>201</v>
      </c>
      <c r="F360">
        <v>474</v>
      </c>
      <c r="G360">
        <v>355135</v>
      </c>
      <c r="H360">
        <v>340790</v>
      </c>
      <c r="I360">
        <v>262564</v>
      </c>
      <c r="J360">
        <v>487995</v>
      </c>
      <c r="K360">
        <v>308942</v>
      </c>
      <c r="L360">
        <v>401985</v>
      </c>
    </row>
    <row r="361" spans="1:12" x14ac:dyDescent="0.35">
      <c r="A361">
        <v>2025</v>
      </c>
      <c r="B361">
        <v>3</v>
      </c>
      <c r="C361" t="s">
        <v>66</v>
      </c>
      <c r="D361" t="s">
        <v>202</v>
      </c>
      <c r="E361" t="s">
        <v>203</v>
      </c>
      <c r="F361">
        <v>1123</v>
      </c>
      <c r="G361">
        <v>309040</v>
      </c>
      <c r="H361">
        <v>298252</v>
      </c>
      <c r="I361">
        <v>196787</v>
      </c>
      <c r="J361">
        <v>460963</v>
      </c>
      <c r="K361">
        <v>269509</v>
      </c>
      <c r="L361">
        <v>361295</v>
      </c>
    </row>
    <row r="362" spans="1:12" x14ac:dyDescent="0.35">
      <c r="A362">
        <v>2025</v>
      </c>
      <c r="B362">
        <v>3</v>
      </c>
      <c r="C362" t="s">
        <v>66</v>
      </c>
      <c r="D362" t="s">
        <v>204</v>
      </c>
      <c r="E362" t="s">
        <v>205</v>
      </c>
      <c r="F362">
        <v>352</v>
      </c>
      <c r="G362">
        <v>384024</v>
      </c>
      <c r="H362">
        <v>384766</v>
      </c>
      <c r="I362">
        <v>262564</v>
      </c>
      <c r="J362">
        <v>575804</v>
      </c>
      <c r="K362">
        <v>333155</v>
      </c>
      <c r="L362">
        <v>429017</v>
      </c>
    </row>
    <row r="363" spans="1:12" x14ac:dyDescent="0.35">
      <c r="A363">
        <v>2025</v>
      </c>
      <c r="B363">
        <v>3</v>
      </c>
      <c r="C363" t="s">
        <v>66</v>
      </c>
      <c r="D363" t="s">
        <v>206</v>
      </c>
      <c r="E363" t="s">
        <v>207</v>
      </c>
      <c r="F363">
        <v>3226</v>
      </c>
      <c r="G363">
        <v>293279</v>
      </c>
      <c r="H363">
        <v>285752</v>
      </c>
      <c r="I363">
        <v>242797</v>
      </c>
      <c r="J363">
        <v>458229</v>
      </c>
      <c r="K363">
        <v>275986</v>
      </c>
      <c r="L363">
        <v>305519</v>
      </c>
    </row>
    <row r="364" spans="1:12" x14ac:dyDescent="0.35">
      <c r="A364">
        <v>2025</v>
      </c>
      <c r="B364">
        <v>3</v>
      </c>
      <c r="C364" t="s">
        <v>66</v>
      </c>
      <c r="D364" t="s">
        <v>208</v>
      </c>
      <c r="E364" t="s">
        <v>209</v>
      </c>
      <c r="F364">
        <v>5</v>
      </c>
      <c r="G364">
        <v>262573</v>
      </c>
      <c r="H364">
        <v>262797</v>
      </c>
      <c r="I364">
        <v>255297</v>
      </c>
      <c r="J364">
        <v>266590</v>
      </c>
      <c r="K364">
        <v>261590</v>
      </c>
      <c r="L364">
        <v>266590</v>
      </c>
    </row>
    <row r="365" spans="1:12" x14ac:dyDescent="0.35">
      <c r="A365">
        <v>2025</v>
      </c>
      <c r="B365">
        <v>3</v>
      </c>
      <c r="C365" t="s">
        <v>66</v>
      </c>
      <c r="D365" t="s">
        <v>210</v>
      </c>
      <c r="E365" t="s">
        <v>211</v>
      </c>
      <c r="F365">
        <v>23</v>
      </c>
      <c r="G365">
        <v>278681</v>
      </c>
      <c r="H365">
        <v>262564</v>
      </c>
      <c r="I365">
        <v>262564</v>
      </c>
      <c r="J365">
        <v>398143</v>
      </c>
      <c r="K365">
        <v>262564</v>
      </c>
      <c r="L365">
        <v>277564</v>
      </c>
    </row>
    <row r="366" spans="1:12" x14ac:dyDescent="0.35">
      <c r="A366">
        <v>2025</v>
      </c>
      <c r="B366">
        <v>4</v>
      </c>
      <c r="C366" t="s">
        <v>67</v>
      </c>
      <c r="D366" t="s">
        <v>164</v>
      </c>
      <c r="E366" t="s">
        <v>165</v>
      </c>
      <c r="F366">
        <v>84</v>
      </c>
      <c r="G366">
        <v>314607</v>
      </c>
      <c r="H366">
        <v>313252</v>
      </c>
      <c r="I366">
        <v>262564</v>
      </c>
      <c r="J366">
        <v>378474</v>
      </c>
      <c r="K366">
        <v>300752</v>
      </c>
      <c r="L366">
        <v>328019</v>
      </c>
    </row>
    <row r="367" spans="1:12" x14ac:dyDescent="0.35">
      <c r="A367">
        <v>2025</v>
      </c>
      <c r="B367">
        <v>4</v>
      </c>
      <c r="C367" t="s">
        <v>67</v>
      </c>
      <c r="D367" t="s">
        <v>166</v>
      </c>
      <c r="E367" t="s">
        <v>167</v>
      </c>
      <c r="F367">
        <v>3072</v>
      </c>
      <c r="G367">
        <v>251643</v>
      </c>
      <c r="H367">
        <v>234763</v>
      </c>
      <c r="I367">
        <v>191418</v>
      </c>
      <c r="J367">
        <v>465963</v>
      </c>
      <c r="K367">
        <v>211787</v>
      </c>
      <c r="L367">
        <v>280752</v>
      </c>
    </row>
    <row r="368" spans="1:12" x14ac:dyDescent="0.35">
      <c r="A368">
        <v>2025</v>
      </c>
      <c r="B368">
        <v>4</v>
      </c>
      <c r="C368" t="s">
        <v>67</v>
      </c>
      <c r="D368" t="s">
        <v>168</v>
      </c>
      <c r="E368" t="s">
        <v>169</v>
      </c>
      <c r="F368">
        <v>56</v>
      </c>
      <c r="G368">
        <v>293040</v>
      </c>
      <c r="H368">
        <v>283486</v>
      </c>
      <c r="I368">
        <v>262564</v>
      </c>
      <c r="J368">
        <v>348942</v>
      </c>
      <c r="K368">
        <v>270064</v>
      </c>
      <c r="L368">
        <v>320519</v>
      </c>
    </row>
    <row r="369" spans="1:12" x14ac:dyDescent="0.35">
      <c r="A369">
        <v>2025</v>
      </c>
      <c r="B369">
        <v>4</v>
      </c>
      <c r="C369" t="s">
        <v>67</v>
      </c>
      <c r="D369" t="s">
        <v>170</v>
      </c>
      <c r="E369" t="s">
        <v>171</v>
      </c>
      <c r="F369">
        <v>16</v>
      </c>
      <c r="G369">
        <v>282975</v>
      </c>
      <c r="H369">
        <v>283486</v>
      </c>
      <c r="I369">
        <v>262564</v>
      </c>
      <c r="J369">
        <v>307425</v>
      </c>
      <c r="K369">
        <v>275986</v>
      </c>
      <c r="L369">
        <v>290986</v>
      </c>
    </row>
    <row r="370" spans="1:12" x14ac:dyDescent="0.35">
      <c r="A370">
        <v>2025</v>
      </c>
      <c r="B370">
        <v>4</v>
      </c>
      <c r="C370" t="s">
        <v>67</v>
      </c>
      <c r="D370" t="s">
        <v>172</v>
      </c>
      <c r="E370" t="s">
        <v>173</v>
      </c>
      <c r="F370">
        <v>687</v>
      </c>
      <c r="G370">
        <v>244708</v>
      </c>
      <c r="H370">
        <v>242897</v>
      </c>
      <c r="I370">
        <v>207808</v>
      </c>
      <c r="J370">
        <v>289694</v>
      </c>
      <c r="K370">
        <v>232710</v>
      </c>
      <c r="L370">
        <v>257661</v>
      </c>
    </row>
    <row r="371" spans="1:12" x14ac:dyDescent="0.35">
      <c r="A371">
        <v>2025</v>
      </c>
      <c r="B371">
        <v>4</v>
      </c>
      <c r="C371" t="s">
        <v>67</v>
      </c>
      <c r="D371" t="s">
        <v>174</v>
      </c>
      <c r="E371" t="s">
        <v>175</v>
      </c>
      <c r="F371">
        <v>126</v>
      </c>
      <c r="G371">
        <v>288132</v>
      </c>
      <c r="H371">
        <v>286775</v>
      </c>
      <c r="I371">
        <v>262564</v>
      </c>
      <c r="J371">
        <v>336117</v>
      </c>
      <c r="K371">
        <v>275986</v>
      </c>
      <c r="L371">
        <v>298486</v>
      </c>
    </row>
    <row r="372" spans="1:12" x14ac:dyDescent="0.35">
      <c r="A372">
        <v>2025</v>
      </c>
      <c r="B372">
        <v>4</v>
      </c>
      <c r="C372" t="s">
        <v>67</v>
      </c>
      <c r="D372" t="s">
        <v>176</v>
      </c>
      <c r="E372" t="s">
        <v>177</v>
      </c>
      <c r="F372">
        <v>5</v>
      </c>
      <c r="G372">
        <v>375805</v>
      </c>
      <c r="H372">
        <v>384719</v>
      </c>
      <c r="I372">
        <v>280063</v>
      </c>
      <c r="J372">
        <v>445729</v>
      </c>
      <c r="K372">
        <v>379719</v>
      </c>
      <c r="L372">
        <v>388795</v>
      </c>
    </row>
    <row r="373" spans="1:12" x14ac:dyDescent="0.35">
      <c r="A373">
        <v>2025</v>
      </c>
      <c r="B373">
        <v>4</v>
      </c>
      <c r="C373" t="s">
        <v>67</v>
      </c>
      <c r="D373" t="s">
        <v>178</v>
      </c>
      <c r="E373" t="s">
        <v>179</v>
      </c>
      <c r="F373">
        <v>26</v>
      </c>
      <c r="G373">
        <v>281755</v>
      </c>
      <c r="H373">
        <v>275986</v>
      </c>
      <c r="I373">
        <v>275986</v>
      </c>
      <c r="J373">
        <v>305986</v>
      </c>
      <c r="K373">
        <v>275986</v>
      </c>
      <c r="L373">
        <v>283486</v>
      </c>
    </row>
    <row r="374" spans="1:12" x14ac:dyDescent="0.35">
      <c r="A374">
        <v>2025</v>
      </c>
      <c r="B374">
        <v>4</v>
      </c>
      <c r="C374" t="s">
        <v>67</v>
      </c>
      <c r="D374" t="s">
        <v>180</v>
      </c>
      <c r="E374" t="s">
        <v>181</v>
      </c>
      <c r="F374">
        <v>4094</v>
      </c>
      <c r="G374">
        <v>326054</v>
      </c>
      <c r="H374">
        <v>318136</v>
      </c>
      <c r="I374">
        <v>260064</v>
      </c>
      <c r="J374">
        <v>595575</v>
      </c>
      <c r="K374">
        <v>290752</v>
      </c>
      <c r="L374">
        <v>354084</v>
      </c>
    </row>
    <row r="375" spans="1:12" x14ac:dyDescent="0.35">
      <c r="A375">
        <v>2025</v>
      </c>
      <c r="B375">
        <v>4</v>
      </c>
      <c r="C375" t="s">
        <v>67</v>
      </c>
      <c r="D375" t="s">
        <v>182</v>
      </c>
      <c r="E375" t="s">
        <v>183</v>
      </c>
      <c r="F375">
        <v>146</v>
      </c>
      <c r="G375">
        <v>359724</v>
      </c>
      <c r="H375">
        <v>347920</v>
      </c>
      <c r="I375">
        <v>262564</v>
      </c>
      <c r="J375">
        <v>460547</v>
      </c>
      <c r="K375">
        <v>305752</v>
      </c>
      <c r="L375">
        <v>412710</v>
      </c>
    </row>
    <row r="376" spans="1:12" x14ac:dyDescent="0.35">
      <c r="A376">
        <v>2025</v>
      </c>
      <c r="B376">
        <v>4</v>
      </c>
      <c r="C376" t="s">
        <v>67</v>
      </c>
      <c r="D376" t="s">
        <v>184</v>
      </c>
      <c r="E376" t="s">
        <v>185</v>
      </c>
      <c r="F376">
        <v>2</v>
      </c>
      <c r="G376">
        <v>364029</v>
      </c>
      <c r="H376">
        <v>364029</v>
      </c>
      <c r="I376">
        <v>328573</v>
      </c>
      <c r="J376">
        <v>399485</v>
      </c>
      <c r="K376">
        <v>328573</v>
      </c>
      <c r="L376">
        <v>399485</v>
      </c>
    </row>
    <row r="377" spans="1:12" x14ac:dyDescent="0.35">
      <c r="A377">
        <v>2025</v>
      </c>
      <c r="B377">
        <v>4</v>
      </c>
      <c r="C377" t="s">
        <v>67</v>
      </c>
      <c r="D377" t="s">
        <v>186</v>
      </c>
      <c r="E377" t="s">
        <v>187</v>
      </c>
      <c r="F377">
        <v>1003</v>
      </c>
      <c r="G377">
        <v>289077</v>
      </c>
      <c r="H377">
        <v>285986</v>
      </c>
      <c r="I377">
        <v>260064</v>
      </c>
      <c r="J377">
        <v>510348</v>
      </c>
      <c r="K377">
        <v>275986</v>
      </c>
      <c r="L377">
        <v>298486</v>
      </c>
    </row>
    <row r="378" spans="1:12" x14ac:dyDescent="0.35">
      <c r="A378">
        <v>2025</v>
      </c>
      <c r="B378">
        <v>4</v>
      </c>
      <c r="C378" t="s">
        <v>67</v>
      </c>
      <c r="D378" t="s">
        <v>188</v>
      </c>
      <c r="E378" t="s">
        <v>189</v>
      </c>
      <c r="F378">
        <v>1000</v>
      </c>
      <c r="G378">
        <v>416049</v>
      </c>
      <c r="H378">
        <v>392404</v>
      </c>
      <c r="I378">
        <v>309915</v>
      </c>
      <c r="J378">
        <v>698145</v>
      </c>
      <c r="K378">
        <v>363241</v>
      </c>
      <c r="L378">
        <v>460005</v>
      </c>
    </row>
    <row r="379" spans="1:12" x14ac:dyDescent="0.35">
      <c r="A379">
        <v>2025</v>
      </c>
      <c r="B379">
        <v>4</v>
      </c>
      <c r="C379" t="s">
        <v>67</v>
      </c>
      <c r="D379" t="s">
        <v>190</v>
      </c>
      <c r="E379" t="s">
        <v>191</v>
      </c>
      <c r="F379">
        <v>15551</v>
      </c>
      <c r="G379">
        <v>275287</v>
      </c>
      <c r="H379">
        <v>250900</v>
      </c>
      <c r="I379">
        <v>191418</v>
      </c>
      <c r="J379">
        <v>643538</v>
      </c>
      <c r="K379">
        <v>218684</v>
      </c>
      <c r="L379">
        <v>313019</v>
      </c>
    </row>
    <row r="380" spans="1:12" x14ac:dyDescent="0.35">
      <c r="A380">
        <v>2025</v>
      </c>
      <c r="B380">
        <v>4</v>
      </c>
      <c r="C380" t="s">
        <v>67</v>
      </c>
      <c r="D380" t="s">
        <v>192</v>
      </c>
      <c r="E380" t="s">
        <v>193</v>
      </c>
      <c r="F380">
        <v>136</v>
      </c>
      <c r="G380">
        <v>328474</v>
      </c>
      <c r="H380">
        <v>320519</v>
      </c>
      <c r="I380">
        <v>270986</v>
      </c>
      <c r="J380">
        <v>449067</v>
      </c>
      <c r="K380">
        <v>305519</v>
      </c>
      <c r="L380">
        <v>348474</v>
      </c>
    </row>
    <row r="381" spans="1:12" x14ac:dyDescent="0.35">
      <c r="A381">
        <v>2025</v>
      </c>
      <c r="B381">
        <v>4</v>
      </c>
      <c r="C381" t="s">
        <v>67</v>
      </c>
      <c r="D381" t="s">
        <v>194</v>
      </c>
      <c r="E381" t="s">
        <v>195</v>
      </c>
      <c r="F381">
        <v>3476</v>
      </c>
      <c r="G381">
        <v>287246</v>
      </c>
      <c r="H381">
        <v>255950</v>
      </c>
      <c r="I381">
        <v>210080</v>
      </c>
      <c r="J381">
        <v>598512</v>
      </c>
      <c r="K381">
        <v>233868</v>
      </c>
      <c r="L381">
        <v>333486</v>
      </c>
    </row>
    <row r="382" spans="1:12" x14ac:dyDescent="0.35">
      <c r="A382">
        <v>2025</v>
      </c>
      <c r="B382">
        <v>4</v>
      </c>
      <c r="C382" t="s">
        <v>67</v>
      </c>
      <c r="D382" t="s">
        <v>196</v>
      </c>
      <c r="E382" t="s">
        <v>197</v>
      </c>
      <c r="F382">
        <v>2454</v>
      </c>
      <c r="G382">
        <v>336357</v>
      </c>
      <c r="H382">
        <v>331932</v>
      </c>
      <c r="I382">
        <v>203868</v>
      </c>
      <c r="J382">
        <v>596560</v>
      </c>
      <c r="K382">
        <v>278976</v>
      </c>
      <c r="L382">
        <v>400322</v>
      </c>
    </row>
    <row r="383" spans="1:12" x14ac:dyDescent="0.35">
      <c r="A383">
        <v>2025</v>
      </c>
      <c r="B383">
        <v>4</v>
      </c>
      <c r="C383" t="s">
        <v>67</v>
      </c>
      <c r="D383" t="s">
        <v>198</v>
      </c>
      <c r="E383" t="s">
        <v>199</v>
      </c>
      <c r="F383">
        <v>223</v>
      </c>
      <c r="G383">
        <v>418592</v>
      </c>
      <c r="H383">
        <v>421936</v>
      </c>
      <c r="I383">
        <v>313573</v>
      </c>
      <c r="J383">
        <v>560015</v>
      </c>
      <c r="K383">
        <v>399485</v>
      </c>
      <c r="L383">
        <v>441324</v>
      </c>
    </row>
    <row r="384" spans="1:12" x14ac:dyDescent="0.35">
      <c r="A384">
        <v>2025</v>
      </c>
      <c r="B384">
        <v>4</v>
      </c>
      <c r="C384" t="s">
        <v>67</v>
      </c>
      <c r="D384" t="s">
        <v>200</v>
      </c>
      <c r="E384" t="s">
        <v>201</v>
      </c>
      <c r="F384">
        <v>451</v>
      </c>
      <c r="G384">
        <v>361090</v>
      </c>
      <c r="H384">
        <v>348155</v>
      </c>
      <c r="I384">
        <v>262564</v>
      </c>
      <c r="J384">
        <v>504883</v>
      </c>
      <c r="K384">
        <v>313573</v>
      </c>
      <c r="L384">
        <v>409485</v>
      </c>
    </row>
    <row r="385" spans="1:12" x14ac:dyDescent="0.35">
      <c r="A385">
        <v>2025</v>
      </c>
      <c r="B385">
        <v>4</v>
      </c>
      <c r="C385" t="s">
        <v>67</v>
      </c>
      <c r="D385" t="s">
        <v>202</v>
      </c>
      <c r="E385" t="s">
        <v>203</v>
      </c>
      <c r="F385">
        <v>1118</v>
      </c>
      <c r="G385">
        <v>310135</v>
      </c>
      <c r="H385">
        <v>298486</v>
      </c>
      <c r="I385">
        <v>196787</v>
      </c>
      <c r="J385">
        <v>460963</v>
      </c>
      <c r="K385">
        <v>269509</v>
      </c>
      <c r="L385">
        <v>363474</v>
      </c>
    </row>
    <row r="386" spans="1:12" x14ac:dyDescent="0.35">
      <c r="A386">
        <v>2025</v>
      </c>
      <c r="B386">
        <v>4</v>
      </c>
      <c r="C386" t="s">
        <v>67</v>
      </c>
      <c r="D386" t="s">
        <v>204</v>
      </c>
      <c r="E386" t="s">
        <v>205</v>
      </c>
      <c r="F386">
        <v>351</v>
      </c>
      <c r="G386">
        <v>384223</v>
      </c>
      <c r="H386">
        <v>384719</v>
      </c>
      <c r="I386">
        <v>262564</v>
      </c>
      <c r="J386">
        <v>598760</v>
      </c>
      <c r="K386">
        <v>333155</v>
      </c>
      <c r="L386">
        <v>424436</v>
      </c>
    </row>
    <row r="387" spans="1:12" x14ac:dyDescent="0.35">
      <c r="A387">
        <v>2025</v>
      </c>
      <c r="B387">
        <v>4</v>
      </c>
      <c r="C387" t="s">
        <v>67</v>
      </c>
      <c r="D387" t="s">
        <v>206</v>
      </c>
      <c r="E387" t="s">
        <v>207</v>
      </c>
      <c r="F387">
        <v>3072</v>
      </c>
      <c r="G387">
        <v>293802</v>
      </c>
      <c r="H387">
        <v>285986</v>
      </c>
      <c r="I387">
        <v>242797</v>
      </c>
      <c r="J387">
        <v>458229</v>
      </c>
      <c r="K387">
        <v>275986</v>
      </c>
      <c r="L387">
        <v>305519</v>
      </c>
    </row>
    <row r="388" spans="1:12" x14ac:dyDescent="0.35">
      <c r="A388">
        <v>2025</v>
      </c>
      <c r="B388">
        <v>4</v>
      </c>
      <c r="C388" t="s">
        <v>67</v>
      </c>
      <c r="D388" t="s">
        <v>208</v>
      </c>
      <c r="E388" t="s">
        <v>209</v>
      </c>
      <c r="F388">
        <v>5</v>
      </c>
      <c r="G388">
        <v>262573</v>
      </c>
      <c r="H388">
        <v>262797</v>
      </c>
      <c r="I388">
        <v>255297</v>
      </c>
      <c r="J388">
        <v>266590</v>
      </c>
      <c r="K388">
        <v>261590</v>
      </c>
      <c r="L388">
        <v>266590</v>
      </c>
    </row>
    <row r="389" spans="1:12" x14ac:dyDescent="0.35">
      <c r="A389">
        <v>2025</v>
      </c>
      <c r="B389">
        <v>4</v>
      </c>
      <c r="C389" t="s">
        <v>67</v>
      </c>
      <c r="D389" t="s">
        <v>210</v>
      </c>
      <c r="E389" t="s">
        <v>211</v>
      </c>
      <c r="F389">
        <v>17</v>
      </c>
      <c r="G389">
        <v>281723</v>
      </c>
      <c r="H389">
        <v>262564</v>
      </c>
      <c r="I389">
        <v>262564</v>
      </c>
      <c r="J389">
        <v>398143</v>
      </c>
      <c r="K389">
        <v>262564</v>
      </c>
      <c r="L389">
        <v>270064</v>
      </c>
    </row>
    <row r="390" spans="1:12" x14ac:dyDescent="0.35">
      <c r="A390">
        <v>2025</v>
      </c>
      <c r="B390">
        <v>5</v>
      </c>
      <c r="C390" t="s">
        <v>68</v>
      </c>
      <c r="D390" t="s">
        <v>164</v>
      </c>
      <c r="E390" t="s">
        <v>165</v>
      </c>
      <c r="F390">
        <v>89</v>
      </c>
      <c r="G390">
        <v>315247</v>
      </c>
      <c r="H390">
        <v>318942</v>
      </c>
      <c r="I390">
        <v>270064</v>
      </c>
      <c r="J390">
        <v>378474</v>
      </c>
      <c r="K390">
        <v>298486</v>
      </c>
      <c r="L390">
        <v>326442</v>
      </c>
    </row>
    <row r="391" spans="1:12" x14ac:dyDescent="0.35">
      <c r="A391">
        <v>2025</v>
      </c>
      <c r="B391">
        <v>5</v>
      </c>
      <c r="C391" t="s">
        <v>68</v>
      </c>
      <c r="D391" t="s">
        <v>166</v>
      </c>
      <c r="E391" t="s">
        <v>167</v>
      </c>
      <c r="F391">
        <v>3172</v>
      </c>
      <c r="G391">
        <v>252464</v>
      </c>
      <c r="H391">
        <v>236243</v>
      </c>
      <c r="I391">
        <v>191418</v>
      </c>
      <c r="J391">
        <v>465963</v>
      </c>
      <c r="K391">
        <v>212895</v>
      </c>
      <c r="L391">
        <v>280752</v>
      </c>
    </row>
    <row r="392" spans="1:12" x14ac:dyDescent="0.35">
      <c r="A392">
        <v>2025</v>
      </c>
      <c r="B392">
        <v>5</v>
      </c>
      <c r="C392" t="s">
        <v>68</v>
      </c>
      <c r="D392" t="s">
        <v>168</v>
      </c>
      <c r="E392" t="s">
        <v>169</v>
      </c>
      <c r="F392">
        <v>61</v>
      </c>
      <c r="G392">
        <v>292239</v>
      </c>
      <c r="H392">
        <v>283486</v>
      </c>
      <c r="I392">
        <v>262564</v>
      </c>
      <c r="J392">
        <v>348942</v>
      </c>
      <c r="K392">
        <v>270064</v>
      </c>
      <c r="L392">
        <v>313942</v>
      </c>
    </row>
    <row r="393" spans="1:12" x14ac:dyDescent="0.35">
      <c r="A393">
        <v>2025</v>
      </c>
      <c r="B393">
        <v>5</v>
      </c>
      <c r="C393" t="s">
        <v>68</v>
      </c>
      <c r="D393" t="s">
        <v>170</v>
      </c>
      <c r="E393" t="s">
        <v>171</v>
      </c>
      <c r="F393">
        <v>16</v>
      </c>
      <c r="G393">
        <v>287149</v>
      </c>
      <c r="H393">
        <v>285525</v>
      </c>
      <c r="I393">
        <v>275986</v>
      </c>
      <c r="J393">
        <v>305519</v>
      </c>
      <c r="K393">
        <v>283486</v>
      </c>
      <c r="L393">
        <v>290986</v>
      </c>
    </row>
    <row r="394" spans="1:12" x14ac:dyDescent="0.35">
      <c r="A394">
        <v>2025</v>
      </c>
      <c r="B394">
        <v>5</v>
      </c>
      <c r="C394" t="s">
        <v>68</v>
      </c>
      <c r="D394" t="s">
        <v>212</v>
      </c>
      <c r="E394" t="s">
        <v>213</v>
      </c>
      <c r="F394">
        <v>1</v>
      </c>
      <c r="G394">
        <v>300519</v>
      </c>
      <c r="H394">
        <v>300519</v>
      </c>
      <c r="I394">
        <v>300519</v>
      </c>
      <c r="J394">
        <v>300519</v>
      </c>
      <c r="K394">
        <v>300519</v>
      </c>
      <c r="L394">
        <v>300519</v>
      </c>
    </row>
    <row r="395" spans="1:12" x14ac:dyDescent="0.35">
      <c r="A395">
        <v>2025</v>
      </c>
      <c r="B395">
        <v>5</v>
      </c>
      <c r="C395" t="s">
        <v>68</v>
      </c>
      <c r="D395" t="s">
        <v>172</v>
      </c>
      <c r="E395" t="s">
        <v>173</v>
      </c>
      <c r="F395">
        <v>727</v>
      </c>
      <c r="G395">
        <v>241723</v>
      </c>
      <c r="H395">
        <v>240765</v>
      </c>
      <c r="I395">
        <v>207526</v>
      </c>
      <c r="J395">
        <v>289324</v>
      </c>
      <c r="K395">
        <v>227895</v>
      </c>
      <c r="L395">
        <v>252661</v>
      </c>
    </row>
    <row r="396" spans="1:12" x14ac:dyDescent="0.35">
      <c r="A396">
        <v>2025</v>
      </c>
      <c r="B396">
        <v>5</v>
      </c>
      <c r="C396" t="s">
        <v>68</v>
      </c>
      <c r="D396" t="s">
        <v>174</v>
      </c>
      <c r="E396" t="s">
        <v>175</v>
      </c>
      <c r="F396">
        <v>144</v>
      </c>
      <c r="G396">
        <v>289699</v>
      </c>
      <c r="H396">
        <v>290752</v>
      </c>
      <c r="I396">
        <v>262564</v>
      </c>
      <c r="J396">
        <v>335674</v>
      </c>
      <c r="K396">
        <v>275986</v>
      </c>
      <c r="L396">
        <v>303252</v>
      </c>
    </row>
    <row r="397" spans="1:12" x14ac:dyDescent="0.35">
      <c r="A397">
        <v>2025</v>
      </c>
      <c r="B397">
        <v>5</v>
      </c>
      <c r="C397" t="s">
        <v>68</v>
      </c>
      <c r="D397" t="s">
        <v>176</v>
      </c>
      <c r="E397" t="s">
        <v>177</v>
      </c>
      <c r="F397">
        <v>5</v>
      </c>
      <c r="G397">
        <v>381174</v>
      </c>
      <c r="H397">
        <v>388795</v>
      </c>
      <c r="I397">
        <v>293486</v>
      </c>
      <c r="J397">
        <v>445729</v>
      </c>
      <c r="K397">
        <v>384719</v>
      </c>
      <c r="L397">
        <v>393143</v>
      </c>
    </row>
    <row r="398" spans="1:12" x14ac:dyDescent="0.35">
      <c r="A398">
        <v>2025</v>
      </c>
      <c r="B398">
        <v>5</v>
      </c>
      <c r="C398" t="s">
        <v>68</v>
      </c>
      <c r="D398" t="s">
        <v>178</v>
      </c>
      <c r="E398" t="s">
        <v>179</v>
      </c>
      <c r="F398">
        <v>29</v>
      </c>
      <c r="G398">
        <v>280029</v>
      </c>
      <c r="H398">
        <v>275986</v>
      </c>
      <c r="I398">
        <v>262564</v>
      </c>
      <c r="J398">
        <v>305986</v>
      </c>
      <c r="K398">
        <v>275986</v>
      </c>
      <c r="L398">
        <v>283486</v>
      </c>
    </row>
    <row r="399" spans="1:12" x14ac:dyDescent="0.35">
      <c r="A399">
        <v>2025</v>
      </c>
      <c r="B399">
        <v>5</v>
      </c>
      <c r="C399" t="s">
        <v>68</v>
      </c>
      <c r="D399" t="s">
        <v>214</v>
      </c>
      <c r="E399" t="s">
        <v>215</v>
      </c>
      <c r="F399">
        <v>836</v>
      </c>
      <c r="G399">
        <v>247304</v>
      </c>
      <c r="H399">
        <v>243769</v>
      </c>
      <c r="I399">
        <v>223636</v>
      </c>
      <c r="J399">
        <v>333518</v>
      </c>
      <c r="K399">
        <v>223636</v>
      </c>
      <c r="L399">
        <v>262563</v>
      </c>
    </row>
    <row r="400" spans="1:12" x14ac:dyDescent="0.35">
      <c r="A400">
        <v>2025</v>
      </c>
      <c r="B400">
        <v>5</v>
      </c>
      <c r="C400" t="s">
        <v>68</v>
      </c>
      <c r="D400" t="s">
        <v>180</v>
      </c>
      <c r="E400" t="s">
        <v>181</v>
      </c>
      <c r="F400">
        <v>4263</v>
      </c>
      <c r="G400">
        <v>324138</v>
      </c>
      <c r="H400">
        <v>318942</v>
      </c>
      <c r="I400">
        <v>260064</v>
      </c>
      <c r="J400">
        <v>466517</v>
      </c>
      <c r="K400">
        <v>285986</v>
      </c>
      <c r="L400">
        <v>350974</v>
      </c>
    </row>
    <row r="401" spans="1:12" x14ac:dyDescent="0.35">
      <c r="A401">
        <v>2025</v>
      </c>
      <c r="B401">
        <v>5</v>
      </c>
      <c r="C401" t="s">
        <v>68</v>
      </c>
      <c r="D401" t="s">
        <v>182</v>
      </c>
      <c r="E401" t="s">
        <v>183</v>
      </c>
      <c r="F401">
        <v>149</v>
      </c>
      <c r="G401">
        <v>357381</v>
      </c>
      <c r="H401">
        <v>341442</v>
      </c>
      <c r="I401">
        <v>262564</v>
      </c>
      <c r="J401">
        <v>459017</v>
      </c>
      <c r="K401">
        <v>313019</v>
      </c>
      <c r="L401">
        <v>402219</v>
      </c>
    </row>
    <row r="402" spans="1:12" x14ac:dyDescent="0.35">
      <c r="A402">
        <v>2025</v>
      </c>
      <c r="B402">
        <v>5</v>
      </c>
      <c r="C402" t="s">
        <v>68</v>
      </c>
      <c r="D402" t="s">
        <v>184</v>
      </c>
      <c r="E402" t="s">
        <v>185</v>
      </c>
      <c r="F402">
        <v>2</v>
      </c>
      <c r="G402">
        <v>413416</v>
      </c>
      <c r="H402">
        <v>413416</v>
      </c>
      <c r="I402">
        <v>340655</v>
      </c>
      <c r="J402">
        <v>486177</v>
      </c>
      <c r="K402">
        <v>340655</v>
      </c>
      <c r="L402">
        <v>486177</v>
      </c>
    </row>
    <row r="403" spans="1:12" x14ac:dyDescent="0.35">
      <c r="A403">
        <v>2025</v>
      </c>
      <c r="B403">
        <v>5</v>
      </c>
      <c r="C403" t="s">
        <v>68</v>
      </c>
      <c r="D403" t="s">
        <v>186</v>
      </c>
      <c r="E403" t="s">
        <v>187</v>
      </c>
      <c r="F403">
        <v>1030</v>
      </c>
      <c r="G403">
        <v>290456</v>
      </c>
      <c r="H403">
        <v>285986</v>
      </c>
      <c r="I403">
        <v>260064</v>
      </c>
      <c r="J403">
        <v>510348</v>
      </c>
      <c r="K403">
        <v>275986</v>
      </c>
      <c r="L403">
        <v>298486</v>
      </c>
    </row>
    <row r="404" spans="1:12" x14ac:dyDescent="0.35">
      <c r="A404">
        <v>2025</v>
      </c>
      <c r="B404">
        <v>5</v>
      </c>
      <c r="C404" t="s">
        <v>68</v>
      </c>
      <c r="D404" t="s">
        <v>188</v>
      </c>
      <c r="E404" t="s">
        <v>189</v>
      </c>
      <c r="F404">
        <v>996</v>
      </c>
      <c r="G404">
        <v>417058</v>
      </c>
      <c r="H404">
        <v>392404</v>
      </c>
      <c r="I404">
        <v>309915</v>
      </c>
      <c r="J404">
        <v>698145</v>
      </c>
      <c r="K404">
        <v>363241</v>
      </c>
      <c r="L404">
        <v>460005</v>
      </c>
    </row>
    <row r="405" spans="1:12" x14ac:dyDescent="0.35">
      <c r="A405">
        <v>2025</v>
      </c>
      <c r="B405">
        <v>5</v>
      </c>
      <c r="C405" t="s">
        <v>68</v>
      </c>
      <c r="D405" t="s">
        <v>190</v>
      </c>
      <c r="E405" t="s">
        <v>191</v>
      </c>
      <c r="F405">
        <v>16304</v>
      </c>
      <c r="G405">
        <v>273492</v>
      </c>
      <c r="H405">
        <v>249422</v>
      </c>
      <c r="I405">
        <v>191418</v>
      </c>
      <c r="J405">
        <v>643538</v>
      </c>
      <c r="K405">
        <v>218131</v>
      </c>
      <c r="L405">
        <v>308942</v>
      </c>
    </row>
    <row r="406" spans="1:12" x14ac:dyDescent="0.35">
      <c r="A406">
        <v>2025</v>
      </c>
      <c r="B406">
        <v>5</v>
      </c>
      <c r="C406" t="s">
        <v>68</v>
      </c>
      <c r="D406" t="s">
        <v>192</v>
      </c>
      <c r="E406" t="s">
        <v>193</v>
      </c>
      <c r="F406">
        <v>135</v>
      </c>
      <c r="G406">
        <v>328910</v>
      </c>
      <c r="H406">
        <v>326442</v>
      </c>
      <c r="I406">
        <v>270986</v>
      </c>
      <c r="J406">
        <v>435643</v>
      </c>
      <c r="K406">
        <v>305519</v>
      </c>
      <c r="L406">
        <v>345052</v>
      </c>
    </row>
    <row r="407" spans="1:12" x14ac:dyDescent="0.35">
      <c r="A407">
        <v>2025</v>
      </c>
      <c r="B407">
        <v>5</v>
      </c>
      <c r="C407" t="s">
        <v>68</v>
      </c>
      <c r="D407" t="s">
        <v>194</v>
      </c>
      <c r="E407" t="s">
        <v>195</v>
      </c>
      <c r="F407">
        <v>3498</v>
      </c>
      <c r="G407">
        <v>286865</v>
      </c>
      <c r="H407">
        <v>260765</v>
      </c>
      <c r="I407">
        <v>206184</v>
      </c>
      <c r="J407">
        <v>590804</v>
      </c>
      <c r="K407">
        <v>235765</v>
      </c>
      <c r="L407">
        <v>325986</v>
      </c>
    </row>
    <row r="408" spans="1:12" x14ac:dyDescent="0.35">
      <c r="A408">
        <v>2025</v>
      </c>
      <c r="B408">
        <v>5</v>
      </c>
      <c r="C408" t="s">
        <v>68</v>
      </c>
      <c r="D408" t="s">
        <v>196</v>
      </c>
      <c r="E408" t="s">
        <v>197</v>
      </c>
      <c r="F408">
        <v>2503</v>
      </c>
      <c r="G408">
        <v>330082</v>
      </c>
      <c r="H408">
        <v>320655</v>
      </c>
      <c r="I408">
        <v>206553</v>
      </c>
      <c r="J408">
        <v>588304</v>
      </c>
      <c r="K408">
        <v>275988</v>
      </c>
      <c r="L408">
        <v>399485</v>
      </c>
    </row>
    <row r="409" spans="1:12" x14ac:dyDescent="0.35">
      <c r="A409">
        <v>2025</v>
      </c>
      <c r="B409">
        <v>5</v>
      </c>
      <c r="C409" t="s">
        <v>68</v>
      </c>
      <c r="D409" t="s">
        <v>198</v>
      </c>
      <c r="E409" t="s">
        <v>199</v>
      </c>
      <c r="F409">
        <v>226</v>
      </c>
      <c r="G409">
        <v>414569</v>
      </c>
      <c r="H409">
        <v>416936</v>
      </c>
      <c r="I409">
        <v>313573</v>
      </c>
      <c r="J409">
        <v>560015</v>
      </c>
      <c r="K409">
        <v>399485</v>
      </c>
      <c r="L409">
        <v>433044</v>
      </c>
    </row>
    <row r="410" spans="1:12" x14ac:dyDescent="0.35">
      <c r="A410">
        <v>2025</v>
      </c>
      <c r="B410">
        <v>5</v>
      </c>
      <c r="C410" t="s">
        <v>68</v>
      </c>
      <c r="D410" t="s">
        <v>200</v>
      </c>
      <c r="E410" t="s">
        <v>201</v>
      </c>
      <c r="F410">
        <v>492</v>
      </c>
      <c r="G410">
        <v>352103</v>
      </c>
      <c r="H410">
        <v>339405</v>
      </c>
      <c r="I410">
        <v>262564</v>
      </c>
      <c r="J410">
        <v>487995</v>
      </c>
      <c r="K410">
        <v>305519</v>
      </c>
      <c r="L410">
        <v>399719</v>
      </c>
    </row>
    <row r="411" spans="1:12" x14ac:dyDescent="0.35">
      <c r="A411">
        <v>2025</v>
      </c>
      <c r="B411">
        <v>5</v>
      </c>
      <c r="C411" t="s">
        <v>68</v>
      </c>
      <c r="D411" t="s">
        <v>202</v>
      </c>
      <c r="E411" t="s">
        <v>203</v>
      </c>
      <c r="F411">
        <v>1113</v>
      </c>
      <c r="G411">
        <v>308529</v>
      </c>
      <c r="H411">
        <v>298252</v>
      </c>
      <c r="I411">
        <v>196787</v>
      </c>
      <c r="J411">
        <v>450729</v>
      </c>
      <c r="K411">
        <v>269644</v>
      </c>
      <c r="L411">
        <v>358474</v>
      </c>
    </row>
    <row r="412" spans="1:12" x14ac:dyDescent="0.35">
      <c r="A412">
        <v>2025</v>
      </c>
      <c r="B412">
        <v>5</v>
      </c>
      <c r="C412" t="s">
        <v>68</v>
      </c>
      <c r="D412" t="s">
        <v>204</v>
      </c>
      <c r="E412" t="s">
        <v>205</v>
      </c>
      <c r="F412">
        <v>352</v>
      </c>
      <c r="G412">
        <v>381928</v>
      </c>
      <c r="H412">
        <v>384719</v>
      </c>
      <c r="I412">
        <v>262564</v>
      </c>
      <c r="J412">
        <v>575804</v>
      </c>
      <c r="K412">
        <v>328155</v>
      </c>
      <c r="L412">
        <v>424436</v>
      </c>
    </row>
    <row r="413" spans="1:12" x14ac:dyDescent="0.35">
      <c r="A413">
        <v>2025</v>
      </c>
      <c r="B413">
        <v>5</v>
      </c>
      <c r="C413" t="s">
        <v>68</v>
      </c>
      <c r="D413" t="s">
        <v>206</v>
      </c>
      <c r="E413" t="s">
        <v>207</v>
      </c>
      <c r="F413">
        <v>3378</v>
      </c>
      <c r="G413">
        <v>293247</v>
      </c>
      <c r="H413">
        <v>285064</v>
      </c>
      <c r="I413">
        <v>242797</v>
      </c>
      <c r="J413">
        <v>458229</v>
      </c>
      <c r="K413">
        <v>275986</v>
      </c>
      <c r="L413">
        <v>305519</v>
      </c>
    </row>
    <row r="414" spans="1:12" x14ac:dyDescent="0.35">
      <c r="A414">
        <v>2025</v>
      </c>
      <c r="B414">
        <v>5</v>
      </c>
      <c r="C414" t="s">
        <v>68</v>
      </c>
      <c r="D414" t="s">
        <v>208</v>
      </c>
      <c r="E414" t="s">
        <v>209</v>
      </c>
      <c r="F414">
        <v>5</v>
      </c>
      <c r="G414">
        <v>262573</v>
      </c>
      <c r="H414">
        <v>262797</v>
      </c>
      <c r="I414">
        <v>255297</v>
      </c>
      <c r="J414">
        <v>266590</v>
      </c>
      <c r="K414">
        <v>261590</v>
      </c>
      <c r="L414">
        <v>266590</v>
      </c>
    </row>
    <row r="415" spans="1:12" x14ac:dyDescent="0.35">
      <c r="A415">
        <v>2025</v>
      </c>
      <c r="B415">
        <v>5</v>
      </c>
      <c r="C415" t="s">
        <v>68</v>
      </c>
      <c r="D415" t="s">
        <v>210</v>
      </c>
      <c r="E415" t="s">
        <v>211</v>
      </c>
      <c r="F415">
        <v>34</v>
      </c>
      <c r="G415">
        <v>273540</v>
      </c>
      <c r="H415">
        <v>262564</v>
      </c>
      <c r="I415">
        <v>262564</v>
      </c>
      <c r="J415">
        <v>398143</v>
      </c>
      <c r="K415">
        <v>262564</v>
      </c>
      <c r="L415">
        <v>270064</v>
      </c>
    </row>
    <row r="416" spans="1:12" x14ac:dyDescent="0.35">
      <c r="A416">
        <v>2025</v>
      </c>
      <c r="B416">
        <v>6</v>
      </c>
      <c r="C416" t="s">
        <v>69</v>
      </c>
      <c r="D416" t="s">
        <v>164</v>
      </c>
      <c r="E416" t="s">
        <v>165</v>
      </c>
      <c r="F416">
        <v>89</v>
      </c>
      <c r="G416">
        <v>315303</v>
      </c>
      <c r="H416">
        <v>318942</v>
      </c>
      <c r="I416">
        <v>270064</v>
      </c>
      <c r="J416">
        <v>378474</v>
      </c>
      <c r="K416">
        <v>298486</v>
      </c>
      <c r="L416">
        <v>326442</v>
      </c>
    </row>
    <row r="417" spans="1:12" x14ac:dyDescent="0.35">
      <c r="A417">
        <v>2025</v>
      </c>
      <c r="B417">
        <v>6</v>
      </c>
      <c r="C417" t="s">
        <v>69</v>
      </c>
      <c r="D417" t="s">
        <v>166</v>
      </c>
      <c r="E417" t="s">
        <v>167</v>
      </c>
      <c r="F417">
        <v>3188</v>
      </c>
      <c r="G417">
        <v>252587</v>
      </c>
      <c r="H417">
        <v>236319</v>
      </c>
      <c r="I417">
        <v>191418</v>
      </c>
      <c r="J417">
        <v>465963</v>
      </c>
      <c r="K417">
        <v>212895</v>
      </c>
      <c r="L417">
        <v>280752</v>
      </c>
    </row>
    <row r="418" spans="1:12" x14ac:dyDescent="0.35">
      <c r="A418">
        <v>2025</v>
      </c>
      <c r="B418">
        <v>6</v>
      </c>
      <c r="C418" t="s">
        <v>69</v>
      </c>
      <c r="D418" t="s">
        <v>168</v>
      </c>
      <c r="E418" t="s">
        <v>169</v>
      </c>
      <c r="F418">
        <v>62</v>
      </c>
      <c r="G418">
        <v>292276</v>
      </c>
      <c r="H418">
        <v>283486</v>
      </c>
      <c r="I418">
        <v>262564</v>
      </c>
      <c r="J418">
        <v>348942</v>
      </c>
      <c r="K418">
        <v>270064</v>
      </c>
      <c r="L418">
        <v>313942</v>
      </c>
    </row>
    <row r="419" spans="1:12" x14ac:dyDescent="0.35">
      <c r="A419">
        <v>2025</v>
      </c>
      <c r="B419">
        <v>6</v>
      </c>
      <c r="C419" t="s">
        <v>69</v>
      </c>
      <c r="D419" t="s">
        <v>170</v>
      </c>
      <c r="E419" t="s">
        <v>171</v>
      </c>
      <c r="F419">
        <v>16</v>
      </c>
      <c r="G419">
        <v>291537</v>
      </c>
      <c r="H419">
        <v>290986</v>
      </c>
      <c r="I419">
        <v>275986</v>
      </c>
      <c r="J419">
        <v>319921</v>
      </c>
      <c r="K419">
        <v>283486</v>
      </c>
      <c r="L419">
        <v>298486</v>
      </c>
    </row>
    <row r="420" spans="1:12" x14ac:dyDescent="0.35">
      <c r="A420">
        <v>2025</v>
      </c>
      <c r="B420">
        <v>6</v>
      </c>
      <c r="C420" t="s">
        <v>69</v>
      </c>
      <c r="D420" t="s">
        <v>212</v>
      </c>
      <c r="E420" t="s">
        <v>213</v>
      </c>
      <c r="F420">
        <v>1</v>
      </c>
      <c r="G420">
        <v>300519</v>
      </c>
      <c r="H420">
        <v>300519</v>
      </c>
      <c r="I420">
        <v>300519</v>
      </c>
      <c r="J420">
        <v>300519</v>
      </c>
      <c r="K420">
        <v>300519</v>
      </c>
      <c r="L420">
        <v>300519</v>
      </c>
    </row>
    <row r="421" spans="1:12" x14ac:dyDescent="0.35">
      <c r="A421">
        <v>2025</v>
      </c>
      <c r="B421">
        <v>6</v>
      </c>
      <c r="C421" t="s">
        <v>69</v>
      </c>
      <c r="D421" t="s">
        <v>172</v>
      </c>
      <c r="E421" t="s">
        <v>173</v>
      </c>
      <c r="F421">
        <v>731</v>
      </c>
      <c r="G421">
        <v>241621</v>
      </c>
      <c r="H421">
        <v>240765</v>
      </c>
      <c r="I421">
        <v>207526</v>
      </c>
      <c r="J421">
        <v>289337</v>
      </c>
      <c r="K421">
        <v>228265</v>
      </c>
      <c r="L421">
        <v>252526</v>
      </c>
    </row>
    <row r="422" spans="1:12" x14ac:dyDescent="0.35">
      <c r="A422">
        <v>2025</v>
      </c>
      <c r="B422">
        <v>6</v>
      </c>
      <c r="C422" t="s">
        <v>69</v>
      </c>
      <c r="D422" t="s">
        <v>174</v>
      </c>
      <c r="E422" t="s">
        <v>175</v>
      </c>
      <c r="F422">
        <v>145</v>
      </c>
      <c r="G422">
        <v>289130</v>
      </c>
      <c r="H422">
        <v>290752</v>
      </c>
      <c r="I422">
        <v>262564</v>
      </c>
      <c r="J422">
        <v>330752</v>
      </c>
      <c r="K422">
        <v>275986</v>
      </c>
      <c r="L422">
        <v>298486</v>
      </c>
    </row>
    <row r="423" spans="1:12" x14ac:dyDescent="0.35">
      <c r="A423">
        <v>2025</v>
      </c>
      <c r="B423">
        <v>6</v>
      </c>
      <c r="C423" t="s">
        <v>69</v>
      </c>
      <c r="D423" t="s">
        <v>176</v>
      </c>
      <c r="E423" t="s">
        <v>177</v>
      </c>
      <c r="F423">
        <v>5</v>
      </c>
      <c r="G423">
        <v>381174</v>
      </c>
      <c r="H423">
        <v>388795</v>
      </c>
      <c r="I423">
        <v>293486</v>
      </c>
      <c r="J423">
        <v>445729</v>
      </c>
      <c r="K423">
        <v>384719</v>
      </c>
      <c r="L423">
        <v>393143</v>
      </c>
    </row>
    <row r="424" spans="1:12" x14ac:dyDescent="0.35">
      <c r="A424">
        <v>2025</v>
      </c>
      <c r="B424">
        <v>6</v>
      </c>
      <c r="C424" t="s">
        <v>69</v>
      </c>
      <c r="D424" t="s">
        <v>178</v>
      </c>
      <c r="E424" t="s">
        <v>179</v>
      </c>
      <c r="F424">
        <v>29</v>
      </c>
      <c r="G424">
        <v>280029</v>
      </c>
      <c r="H424">
        <v>275986</v>
      </c>
      <c r="I424">
        <v>262564</v>
      </c>
      <c r="J424">
        <v>305986</v>
      </c>
      <c r="K424">
        <v>275986</v>
      </c>
      <c r="L424">
        <v>283486</v>
      </c>
    </row>
    <row r="425" spans="1:12" x14ac:dyDescent="0.35">
      <c r="A425">
        <v>2025</v>
      </c>
      <c r="B425">
        <v>6</v>
      </c>
      <c r="C425" t="s">
        <v>69</v>
      </c>
      <c r="D425" t="s">
        <v>214</v>
      </c>
      <c r="E425" t="s">
        <v>215</v>
      </c>
      <c r="F425">
        <v>885</v>
      </c>
      <c r="G425">
        <v>246269</v>
      </c>
      <c r="H425">
        <v>243769</v>
      </c>
      <c r="I425">
        <v>223636</v>
      </c>
      <c r="J425">
        <v>334896</v>
      </c>
      <c r="K425">
        <v>223636</v>
      </c>
      <c r="L425">
        <v>261269</v>
      </c>
    </row>
    <row r="426" spans="1:12" x14ac:dyDescent="0.35">
      <c r="A426">
        <v>2025</v>
      </c>
      <c r="B426">
        <v>6</v>
      </c>
      <c r="C426" t="s">
        <v>69</v>
      </c>
      <c r="D426" t="s">
        <v>180</v>
      </c>
      <c r="E426" t="s">
        <v>181</v>
      </c>
      <c r="F426">
        <v>4474</v>
      </c>
      <c r="G426">
        <v>322902</v>
      </c>
      <c r="H426">
        <v>317901</v>
      </c>
      <c r="I426">
        <v>260064</v>
      </c>
      <c r="J426">
        <v>465963</v>
      </c>
      <c r="K426">
        <v>283486</v>
      </c>
      <c r="L426">
        <v>350052</v>
      </c>
    </row>
    <row r="427" spans="1:12" x14ac:dyDescent="0.35">
      <c r="A427">
        <v>2025</v>
      </c>
      <c r="B427">
        <v>6</v>
      </c>
      <c r="C427" t="s">
        <v>69</v>
      </c>
      <c r="D427" t="s">
        <v>182</v>
      </c>
      <c r="E427" t="s">
        <v>183</v>
      </c>
      <c r="F427">
        <v>149</v>
      </c>
      <c r="G427">
        <v>356890</v>
      </c>
      <c r="H427">
        <v>341442</v>
      </c>
      <c r="I427">
        <v>262564</v>
      </c>
      <c r="J427">
        <v>461517</v>
      </c>
      <c r="K427">
        <v>313019</v>
      </c>
      <c r="L427">
        <v>402219</v>
      </c>
    </row>
    <row r="428" spans="1:12" x14ac:dyDescent="0.35">
      <c r="A428">
        <v>2025</v>
      </c>
      <c r="B428">
        <v>6</v>
      </c>
      <c r="C428" t="s">
        <v>69</v>
      </c>
      <c r="D428" t="s">
        <v>184</v>
      </c>
      <c r="E428" t="s">
        <v>185</v>
      </c>
      <c r="F428">
        <v>2</v>
      </c>
      <c r="G428">
        <v>378796</v>
      </c>
      <c r="H428">
        <v>378796</v>
      </c>
      <c r="I428">
        <v>340655</v>
      </c>
      <c r="J428">
        <v>416936</v>
      </c>
      <c r="K428">
        <v>340655</v>
      </c>
      <c r="L428">
        <v>416936</v>
      </c>
    </row>
    <row r="429" spans="1:12" x14ac:dyDescent="0.35">
      <c r="A429">
        <v>2025</v>
      </c>
      <c r="B429">
        <v>6</v>
      </c>
      <c r="C429" t="s">
        <v>69</v>
      </c>
      <c r="D429" t="s">
        <v>186</v>
      </c>
      <c r="E429" t="s">
        <v>187</v>
      </c>
      <c r="F429">
        <v>1034</v>
      </c>
      <c r="G429">
        <v>290438</v>
      </c>
      <c r="H429">
        <v>288486</v>
      </c>
      <c r="I429">
        <v>260064</v>
      </c>
      <c r="J429">
        <v>510348</v>
      </c>
      <c r="K429">
        <v>275986</v>
      </c>
      <c r="L429">
        <v>298486</v>
      </c>
    </row>
    <row r="430" spans="1:12" x14ac:dyDescent="0.35">
      <c r="A430">
        <v>2025</v>
      </c>
      <c r="B430">
        <v>6</v>
      </c>
      <c r="C430" t="s">
        <v>69</v>
      </c>
      <c r="D430" t="s">
        <v>188</v>
      </c>
      <c r="E430" t="s">
        <v>189</v>
      </c>
      <c r="F430">
        <v>995</v>
      </c>
      <c r="G430">
        <v>426561</v>
      </c>
      <c r="H430">
        <v>399301</v>
      </c>
      <c r="I430">
        <v>309915</v>
      </c>
      <c r="J430">
        <v>704559</v>
      </c>
      <c r="K430">
        <v>365741</v>
      </c>
      <c r="L430">
        <v>471234</v>
      </c>
    </row>
    <row r="431" spans="1:12" x14ac:dyDescent="0.35">
      <c r="A431">
        <v>2025</v>
      </c>
      <c r="B431">
        <v>6</v>
      </c>
      <c r="C431" t="s">
        <v>69</v>
      </c>
      <c r="D431" t="s">
        <v>190</v>
      </c>
      <c r="E431" t="s">
        <v>191</v>
      </c>
      <c r="F431">
        <v>16320</v>
      </c>
      <c r="G431">
        <v>273732</v>
      </c>
      <c r="H431">
        <v>249324</v>
      </c>
      <c r="I431">
        <v>191418</v>
      </c>
      <c r="J431">
        <v>643538</v>
      </c>
      <c r="K431">
        <v>216922</v>
      </c>
      <c r="L431">
        <v>310752</v>
      </c>
    </row>
    <row r="432" spans="1:12" x14ac:dyDescent="0.35">
      <c r="A432">
        <v>2025</v>
      </c>
      <c r="B432">
        <v>6</v>
      </c>
      <c r="C432" t="s">
        <v>69</v>
      </c>
      <c r="D432" t="s">
        <v>192</v>
      </c>
      <c r="E432" t="s">
        <v>193</v>
      </c>
      <c r="F432">
        <v>135</v>
      </c>
      <c r="G432">
        <v>329363</v>
      </c>
      <c r="H432">
        <v>326442</v>
      </c>
      <c r="I432">
        <v>270986</v>
      </c>
      <c r="J432">
        <v>435643</v>
      </c>
      <c r="K432">
        <v>308942</v>
      </c>
      <c r="L432">
        <v>343942</v>
      </c>
    </row>
    <row r="433" spans="1:12" x14ac:dyDescent="0.35">
      <c r="A433">
        <v>2025</v>
      </c>
      <c r="B433">
        <v>6</v>
      </c>
      <c r="C433" t="s">
        <v>69</v>
      </c>
      <c r="D433" t="s">
        <v>194</v>
      </c>
      <c r="E433" t="s">
        <v>195</v>
      </c>
      <c r="F433">
        <v>3503</v>
      </c>
      <c r="G433">
        <v>291933</v>
      </c>
      <c r="H433">
        <v>265950</v>
      </c>
      <c r="I433">
        <v>206184</v>
      </c>
      <c r="J433">
        <v>590804</v>
      </c>
      <c r="K433">
        <v>238265</v>
      </c>
      <c r="L433">
        <v>333252</v>
      </c>
    </row>
    <row r="434" spans="1:12" x14ac:dyDescent="0.35">
      <c r="A434">
        <v>2025</v>
      </c>
      <c r="B434">
        <v>6</v>
      </c>
      <c r="C434" t="s">
        <v>69</v>
      </c>
      <c r="D434" t="s">
        <v>196</v>
      </c>
      <c r="E434" t="s">
        <v>197</v>
      </c>
      <c r="F434">
        <v>2501</v>
      </c>
      <c r="G434">
        <v>330072</v>
      </c>
      <c r="H434">
        <v>320655</v>
      </c>
      <c r="I434">
        <v>206553</v>
      </c>
      <c r="J434">
        <v>588304</v>
      </c>
      <c r="K434">
        <v>275988</v>
      </c>
      <c r="L434">
        <v>399485</v>
      </c>
    </row>
    <row r="435" spans="1:12" x14ac:dyDescent="0.35">
      <c r="A435">
        <v>2025</v>
      </c>
      <c r="B435">
        <v>6</v>
      </c>
      <c r="C435" t="s">
        <v>69</v>
      </c>
      <c r="D435" t="s">
        <v>198</v>
      </c>
      <c r="E435" t="s">
        <v>199</v>
      </c>
      <c r="F435">
        <v>228</v>
      </c>
      <c r="G435">
        <v>413359</v>
      </c>
      <c r="H435">
        <v>416936</v>
      </c>
      <c r="I435">
        <v>313573</v>
      </c>
      <c r="J435">
        <v>560015</v>
      </c>
      <c r="K435">
        <v>399485</v>
      </c>
      <c r="L435">
        <v>433044</v>
      </c>
    </row>
    <row r="436" spans="1:12" x14ac:dyDescent="0.35">
      <c r="A436">
        <v>2025</v>
      </c>
      <c r="B436">
        <v>6</v>
      </c>
      <c r="C436" t="s">
        <v>69</v>
      </c>
      <c r="D436" t="s">
        <v>200</v>
      </c>
      <c r="E436" t="s">
        <v>201</v>
      </c>
      <c r="F436">
        <v>488</v>
      </c>
      <c r="G436">
        <v>352566</v>
      </c>
      <c r="H436">
        <v>340655</v>
      </c>
      <c r="I436">
        <v>265988</v>
      </c>
      <c r="J436">
        <v>487995</v>
      </c>
      <c r="K436">
        <v>305519</v>
      </c>
      <c r="L436">
        <v>400643</v>
      </c>
    </row>
    <row r="437" spans="1:12" x14ac:dyDescent="0.35">
      <c r="A437">
        <v>2025</v>
      </c>
      <c r="B437">
        <v>6</v>
      </c>
      <c r="C437" t="s">
        <v>69</v>
      </c>
      <c r="D437" t="s">
        <v>202</v>
      </c>
      <c r="E437" t="s">
        <v>203</v>
      </c>
      <c r="F437">
        <v>1114</v>
      </c>
      <c r="G437">
        <v>308643</v>
      </c>
      <c r="H437">
        <v>298252</v>
      </c>
      <c r="I437">
        <v>196787</v>
      </c>
      <c r="J437">
        <v>450729</v>
      </c>
      <c r="K437">
        <v>269644</v>
      </c>
      <c r="L437">
        <v>358474</v>
      </c>
    </row>
    <row r="438" spans="1:12" x14ac:dyDescent="0.35">
      <c r="A438">
        <v>2025</v>
      </c>
      <c r="B438">
        <v>6</v>
      </c>
      <c r="C438" t="s">
        <v>69</v>
      </c>
      <c r="D438" t="s">
        <v>204</v>
      </c>
      <c r="E438" t="s">
        <v>205</v>
      </c>
      <c r="F438">
        <v>347</v>
      </c>
      <c r="G438">
        <v>381790</v>
      </c>
      <c r="H438">
        <v>384719</v>
      </c>
      <c r="I438">
        <v>262564</v>
      </c>
      <c r="J438">
        <v>575804</v>
      </c>
      <c r="K438">
        <v>328155</v>
      </c>
      <c r="L438">
        <v>424436</v>
      </c>
    </row>
    <row r="439" spans="1:12" x14ac:dyDescent="0.35">
      <c r="A439">
        <v>2025</v>
      </c>
      <c r="B439">
        <v>6</v>
      </c>
      <c r="C439" t="s">
        <v>69</v>
      </c>
      <c r="D439" t="s">
        <v>206</v>
      </c>
      <c r="E439" t="s">
        <v>207</v>
      </c>
      <c r="F439">
        <v>3408</v>
      </c>
      <c r="G439">
        <v>293789</v>
      </c>
      <c r="H439">
        <v>285986</v>
      </c>
      <c r="I439">
        <v>247243</v>
      </c>
      <c r="J439">
        <v>458229</v>
      </c>
      <c r="K439">
        <v>275986</v>
      </c>
      <c r="L439">
        <v>305519</v>
      </c>
    </row>
    <row r="440" spans="1:12" x14ac:dyDescent="0.35">
      <c r="A440">
        <v>2025</v>
      </c>
      <c r="B440">
        <v>6</v>
      </c>
      <c r="C440" t="s">
        <v>69</v>
      </c>
      <c r="D440" t="s">
        <v>208</v>
      </c>
      <c r="E440" t="s">
        <v>209</v>
      </c>
      <c r="F440">
        <v>5</v>
      </c>
      <c r="G440">
        <v>262573</v>
      </c>
      <c r="H440">
        <v>262797</v>
      </c>
      <c r="I440">
        <v>255297</v>
      </c>
      <c r="J440">
        <v>266590</v>
      </c>
      <c r="K440">
        <v>261590</v>
      </c>
      <c r="L440">
        <v>266590</v>
      </c>
    </row>
    <row r="441" spans="1:12" x14ac:dyDescent="0.35">
      <c r="A441">
        <v>2025</v>
      </c>
      <c r="B441">
        <v>6</v>
      </c>
      <c r="C441" t="s">
        <v>69</v>
      </c>
      <c r="D441" t="s">
        <v>210</v>
      </c>
      <c r="E441" t="s">
        <v>211</v>
      </c>
      <c r="F441">
        <v>35</v>
      </c>
      <c r="G441">
        <v>273655</v>
      </c>
      <c r="H441">
        <v>262564</v>
      </c>
      <c r="I441">
        <v>262564</v>
      </c>
      <c r="J441">
        <v>398143</v>
      </c>
      <c r="K441">
        <v>262564</v>
      </c>
      <c r="L441">
        <v>270064</v>
      </c>
    </row>
    <row r="442" spans="1:12" x14ac:dyDescent="0.35">
      <c r="A442">
        <v>2025</v>
      </c>
      <c r="B442">
        <v>7</v>
      </c>
      <c r="C442" t="s">
        <v>70</v>
      </c>
      <c r="D442" t="s">
        <v>164</v>
      </c>
      <c r="E442" t="s">
        <v>165</v>
      </c>
      <c r="F442">
        <v>89</v>
      </c>
      <c r="G442">
        <v>315884</v>
      </c>
      <c r="H442">
        <v>318942</v>
      </c>
      <c r="I442">
        <v>270064</v>
      </c>
      <c r="J442">
        <v>378474</v>
      </c>
      <c r="K442">
        <v>298486</v>
      </c>
      <c r="L442">
        <v>328019</v>
      </c>
    </row>
    <row r="443" spans="1:12" x14ac:dyDescent="0.35">
      <c r="A443">
        <v>2025</v>
      </c>
      <c r="B443">
        <v>7</v>
      </c>
      <c r="C443" t="s">
        <v>70</v>
      </c>
      <c r="D443" t="s">
        <v>166</v>
      </c>
      <c r="E443" t="s">
        <v>167</v>
      </c>
      <c r="F443">
        <v>3198</v>
      </c>
      <c r="G443">
        <v>252820</v>
      </c>
      <c r="H443">
        <v>236319</v>
      </c>
      <c r="I443">
        <v>191418</v>
      </c>
      <c r="J443">
        <v>465963</v>
      </c>
      <c r="K443">
        <v>212895</v>
      </c>
      <c r="L443">
        <v>280986</v>
      </c>
    </row>
    <row r="444" spans="1:12" x14ac:dyDescent="0.35">
      <c r="A444">
        <v>2025</v>
      </c>
      <c r="B444">
        <v>7</v>
      </c>
      <c r="C444" t="s">
        <v>70</v>
      </c>
      <c r="D444" t="s">
        <v>168</v>
      </c>
      <c r="E444" t="s">
        <v>169</v>
      </c>
      <c r="F444">
        <v>62</v>
      </c>
      <c r="G444">
        <v>294128</v>
      </c>
      <c r="H444">
        <v>283486</v>
      </c>
      <c r="I444">
        <v>262564</v>
      </c>
      <c r="J444">
        <v>348942</v>
      </c>
      <c r="K444">
        <v>275986</v>
      </c>
      <c r="L444">
        <v>313942</v>
      </c>
    </row>
    <row r="445" spans="1:12" x14ac:dyDescent="0.35">
      <c r="A445">
        <v>2025</v>
      </c>
      <c r="B445">
        <v>7</v>
      </c>
      <c r="C445" t="s">
        <v>70</v>
      </c>
      <c r="D445" t="s">
        <v>170</v>
      </c>
      <c r="E445" t="s">
        <v>171</v>
      </c>
      <c r="F445">
        <v>16</v>
      </c>
      <c r="G445">
        <v>292548</v>
      </c>
      <c r="H445">
        <v>290986</v>
      </c>
      <c r="I445">
        <v>275986</v>
      </c>
      <c r="J445">
        <v>313252</v>
      </c>
      <c r="K445">
        <v>283486</v>
      </c>
      <c r="L445">
        <v>298486</v>
      </c>
    </row>
    <row r="446" spans="1:12" x14ac:dyDescent="0.35">
      <c r="A446">
        <v>2025</v>
      </c>
      <c r="B446">
        <v>7</v>
      </c>
      <c r="C446" t="s">
        <v>70</v>
      </c>
      <c r="D446" t="s">
        <v>212</v>
      </c>
      <c r="E446" t="s">
        <v>213</v>
      </c>
      <c r="F446">
        <v>1</v>
      </c>
      <c r="G446">
        <v>300519</v>
      </c>
      <c r="H446">
        <v>300519</v>
      </c>
      <c r="I446">
        <v>300519</v>
      </c>
      <c r="J446">
        <v>300519</v>
      </c>
      <c r="K446">
        <v>300519</v>
      </c>
      <c r="L446">
        <v>300519</v>
      </c>
    </row>
    <row r="447" spans="1:12" x14ac:dyDescent="0.35">
      <c r="A447">
        <v>2025</v>
      </c>
      <c r="B447">
        <v>7</v>
      </c>
      <c r="C447" t="s">
        <v>70</v>
      </c>
      <c r="D447" t="s">
        <v>172</v>
      </c>
      <c r="E447" t="s">
        <v>173</v>
      </c>
      <c r="F447">
        <v>733</v>
      </c>
      <c r="G447">
        <v>241176</v>
      </c>
      <c r="H447">
        <v>240765</v>
      </c>
      <c r="I447">
        <v>207526</v>
      </c>
      <c r="J447">
        <v>289324</v>
      </c>
      <c r="K447">
        <v>227895</v>
      </c>
      <c r="L447">
        <v>250765</v>
      </c>
    </row>
    <row r="448" spans="1:12" x14ac:dyDescent="0.35">
      <c r="A448">
        <v>2025</v>
      </c>
      <c r="B448">
        <v>7</v>
      </c>
      <c r="C448" t="s">
        <v>70</v>
      </c>
      <c r="D448" t="s">
        <v>174</v>
      </c>
      <c r="E448" t="s">
        <v>175</v>
      </c>
      <c r="F448">
        <v>146</v>
      </c>
      <c r="G448">
        <v>289561</v>
      </c>
      <c r="H448">
        <v>290752</v>
      </c>
      <c r="I448">
        <v>262564</v>
      </c>
      <c r="J448">
        <v>341426</v>
      </c>
      <c r="K448">
        <v>275986</v>
      </c>
      <c r="L448">
        <v>300986</v>
      </c>
    </row>
    <row r="449" spans="1:12" x14ac:dyDescent="0.35">
      <c r="A449">
        <v>2025</v>
      </c>
      <c r="B449">
        <v>7</v>
      </c>
      <c r="C449" t="s">
        <v>70</v>
      </c>
      <c r="D449" t="s">
        <v>176</v>
      </c>
      <c r="E449" t="s">
        <v>177</v>
      </c>
      <c r="F449">
        <v>5</v>
      </c>
      <c r="G449">
        <v>381174</v>
      </c>
      <c r="H449">
        <v>388795</v>
      </c>
      <c r="I449">
        <v>293486</v>
      </c>
      <c r="J449">
        <v>445729</v>
      </c>
      <c r="K449">
        <v>384719</v>
      </c>
      <c r="L449">
        <v>393143</v>
      </c>
    </row>
    <row r="450" spans="1:12" x14ac:dyDescent="0.35">
      <c r="A450">
        <v>2025</v>
      </c>
      <c r="B450">
        <v>7</v>
      </c>
      <c r="C450" t="s">
        <v>70</v>
      </c>
      <c r="D450" t="s">
        <v>178</v>
      </c>
      <c r="E450" t="s">
        <v>179</v>
      </c>
      <c r="F450">
        <v>30</v>
      </c>
      <c r="G450">
        <v>279530</v>
      </c>
      <c r="H450">
        <v>275986</v>
      </c>
      <c r="I450">
        <v>262564</v>
      </c>
      <c r="J450">
        <v>305986</v>
      </c>
      <c r="K450">
        <v>275986</v>
      </c>
      <c r="L450">
        <v>283486</v>
      </c>
    </row>
    <row r="451" spans="1:12" x14ac:dyDescent="0.35">
      <c r="A451">
        <v>2025</v>
      </c>
      <c r="B451">
        <v>7</v>
      </c>
      <c r="C451" t="s">
        <v>70</v>
      </c>
      <c r="D451" t="s">
        <v>214</v>
      </c>
      <c r="E451" t="s">
        <v>215</v>
      </c>
      <c r="F451">
        <v>935</v>
      </c>
      <c r="G451">
        <v>246073</v>
      </c>
      <c r="H451">
        <v>243769</v>
      </c>
      <c r="I451">
        <v>223636</v>
      </c>
      <c r="J451">
        <v>332795</v>
      </c>
      <c r="K451">
        <v>226136</v>
      </c>
      <c r="L451">
        <v>259558</v>
      </c>
    </row>
    <row r="452" spans="1:12" x14ac:dyDescent="0.35">
      <c r="A452">
        <v>2025</v>
      </c>
      <c r="B452">
        <v>7</v>
      </c>
      <c r="C452" t="s">
        <v>70</v>
      </c>
      <c r="D452" t="s">
        <v>180</v>
      </c>
      <c r="E452" t="s">
        <v>181</v>
      </c>
      <c r="F452">
        <v>4534</v>
      </c>
      <c r="G452">
        <v>322920</v>
      </c>
      <c r="H452">
        <v>318942</v>
      </c>
      <c r="I452">
        <v>260064</v>
      </c>
      <c r="J452">
        <v>465963</v>
      </c>
      <c r="K452">
        <v>283486</v>
      </c>
      <c r="L452">
        <v>350052</v>
      </c>
    </row>
    <row r="453" spans="1:12" x14ac:dyDescent="0.35">
      <c r="A453">
        <v>2025</v>
      </c>
      <c r="B453">
        <v>7</v>
      </c>
      <c r="C453" t="s">
        <v>70</v>
      </c>
      <c r="D453" t="s">
        <v>182</v>
      </c>
      <c r="E453" t="s">
        <v>183</v>
      </c>
      <c r="F453">
        <v>149</v>
      </c>
      <c r="G453">
        <v>356855</v>
      </c>
      <c r="H453">
        <v>341442</v>
      </c>
      <c r="I453">
        <v>262564</v>
      </c>
      <c r="J453">
        <v>461517</v>
      </c>
      <c r="K453">
        <v>313019</v>
      </c>
      <c r="L453">
        <v>401295</v>
      </c>
    </row>
    <row r="454" spans="1:12" x14ac:dyDescent="0.35">
      <c r="A454">
        <v>2025</v>
      </c>
      <c r="B454">
        <v>7</v>
      </c>
      <c r="C454" t="s">
        <v>70</v>
      </c>
      <c r="D454" t="s">
        <v>184</v>
      </c>
      <c r="E454" t="s">
        <v>185</v>
      </c>
      <c r="F454">
        <v>2</v>
      </c>
      <c r="G454">
        <v>378796</v>
      </c>
      <c r="H454">
        <v>378796</v>
      </c>
      <c r="I454">
        <v>340655</v>
      </c>
      <c r="J454">
        <v>416936</v>
      </c>
      <c r="K454">
        <v>340655</v>
      </c>
      <c r="L454">
        <v>416936</v>
      </c>
    </row>
    <row r="455" spans="1:12" x14ac:dyDescent="0.35">
      <c r="A455">
        <v>2025</v>
      </c>
      <c r="B455">
        <v>7</v>
      </c>
      <c r="C455" t="s">
        <v>70</v>
      </c>
      <c r="D455" t="s">
        <v>186</v>
      </c>
      <c r="E455" t="s">
        <v>187</v>
      </c>
      <c r="F455">
        <v>1036</v>
      </c>
      <c r="G455">
        <v>291001</v>
      </c>
      <c r="H455">
        <v>290752</v>
      </c>
      <c r="I455">
        <v>260064</v>
      </c>
      <c r="J455">
        <v>510348</v>
      </c>
      <c r="K455">
        <v>275986</v>
      </c>
      <c r="L455">
        <v>300519</v>
      </c>
    </row>
    <row r="456" spans="1:12" x14ac:dyDescent="0.35">
      <c r="A456">
        <v>2025</v>
      </c>
      <c r="B456">
        <v>7</v>
      </c>
      <c r="C456" t="s">
        <v>70</v>
      </c>
      <c r="D456" t="s">
        <v>188</v>
      </c>
      <c r="E456" t="s">
        <v>189</v>
      </c>
      <c r="F456">
        <v>944</v>
      </c>
      <c r="G456">
        <v>421541</v>
      </c>
      <c r="H456">
        <v>393771</v>
      </c>
      <c r="I456">
        <v>309915</v>
      </c>
      <c r="J456">
        <v>716531</v>
      </c>
      <c r="K456">
        <v>364632</v>
      </c>
      <c r="L456">
        <v>471234</v>
      </c>
    </row>
    <row r="457" spans="1:12" x14ac:dyDescent="0.35">
      <c r="A457">
        <v>2025</v>
      </c>
      <c r="B457">
        <v>7</v>
      </c>
      <c r="C457" t="s">
        <v>70</v>
      </c>
      <c r="D457" t="s">
        <v>190</v>
      </c>
      <c r="E457" t="s">
        <v>191</v>
      </c>
      <c r="F457">
        <v>16441</v>
      </c>
      <c r="G457">
        <v>274221</v>
      </c>
      <c r="H457">
        <v>249743</v>
      </c>
      <c r="I457">
        <v>191418</v>
      </c>
      <c r="J457">
        <v>643538</v>
      </c>
      <c r="K457">
        <v>216995</v>
      </c>
      <c r="L457">
        <v>312836</v>
      </c>
    </row>
    <row r="458" spans="1:12" x14ac:dyDescent="0.35">
      <c r="A458">
        <v>2025</v>
      </c>
      <c r="B458">
        <v>7</v>
      </c>
      <c r="C458" t="s">
        <v>70</v>
      </c>
      <c r="D458" t="s">
        <v>192</v>
      </c>
      <c r="E458" t="s">
        <v>193</v>
      </c>
      <c r="F458">
        <v>135</v>
      </c>
      <c r="G458">
        <v>330264</v>
      </c>
      <c r="H458">
        <v>326442</v>
      </c>
      <c r="I458">
        <v>270986</v>
      </c>
      <c r="J458">
        <v>435643</v>
      </c>
      <c r="K458">
        <v>308019</v>
      </c>
      <c r="L458">
        <v>345052</v>
      </c>
    </row>
    <row r="459" spans="1:12" x14ac:dyDescent="0.35">
      <c r="A459">
        <v>2025</v>
      </c>
      <c r="B459">
        <v>7</v>
      </c>
      <c r="C459" t="s">
        <v>70</v>
      </c>
      <c r="D459" t="s">
        <v>194</v>
      </c>
      <c r="E459" t="s">
        <v>195</v>
      </c>
      <c r="F459">
        <v>3499</v>
      </c>
      <c r="G459">
        <v>293164</v>
      </c>
      <c r="H459">
        <v>268450</v>
      </c>
      <c r="I459">
        <v>206184</v>
      </c>
      <c r="J459">
        <v>590804</v>
      </c>
      <c r="K459">
        <v>238450</v>
      </c>
      <c r="L459">
        <v>333252</v>
      </c>
    </row>
    <row r="460" spans="1:12" x14ac:dyDescent="0.35">
      <c r="A460">
        <v>2025</v>
      </c>
      <c r="B460">
        <v>7</v>
      </c>
      <c r="C460" t="s">
        <v>70</v>
      </c>
      <c r="D460" t="s">
        <v>196</v>
      </c>
      <c r="E460" t="s">
        <v>197</v>
      </c>
      <c r="F460">
        <v>2502</v>
      </c>
      <c r="G460">
        <v>330440</v>
      </c>
      <c r="H460">
        <v>320655</v>
      </c>
      <c r="I460">
        <v>206553</v>
      </c>
      <c r="J460">
        <v>588304</v>
      </c>
      <c r="K460">
        <v>275988</v>
      </c>
      <c r="L460">
        <v>399485</v>
      </c>
    </row>
    <row r="461" spans="1:12" x14ac:dyDescent="0.35">
      <c r="A461">
        <v>2025</v>
      </c>
      <c r="B461">
        <v>7</v>
      </c>
      <c r="C461" t="s">
        <v>70</v>
      </c>
      <c r="D461" t="s">
        <v>198</v>
      </c>
      <c r="E461" t="s">
        <v>199</v>
      </c>
      <c r="F461">
        <v>228</v>
      </c>
      <c r="G461">
        <v>415959</v>
      </c>
      <c r="H461">
        <v>416936</v>
      </c>
      <c r="I461">
        <v>313573</v>
      </c>
      <c r="J461">
        <v>592439</v>
      </c>
      <c r="K461">
        <v>399485</v>
      </c>
      <c r="L461">
        <v>433044</v>
      </c>
    </row>
    <row r="462" spans="1:12" x14ac:dyDescent="0.35">
      <c r="A462">
        <v>2025</v>
      </c>
      <c r="B462">
        <v>7</v>
      </c>
      <c r="C462" t="s">
        <v>70</v>
      </c>
      <c r="D462" t="s">
        <v>200</v>
      </c>
      <c r="E462" t="s">
        <v>201</v>
      </c>
      <c r="F462">
        <v>489</v>
      </c>
      <c r="G462">
        <v>352863</v>
      </c>
      <c r="H462">
        <v>338155</v>
      </c>
      <c r="I462">
        <v>265988</v>
      </c>
      <c r="J462">
        <v>487995</v>
      </c>
      <c r="K462">
        <v>305519</v>
      </c>
      <c r="L462">
        <v>401985</v>
      </c>
    </row>
    <row r="463" spans="1:12" x14ac:dyDescent="0.35">
      <c r="A463">
        <v>2025</v>
      </c>
      <c r="B463">
        <v>7</v>
      </c>
      <c r="C463" t="s">
        <v>70</v>
      </c>
      <c r="D463" t="s">
        <v>202</v>
      </c>
      <c r="E463" t="s">
        <v>203</v>
      </c>
      <c r="F463">
        <v>1113</v>
      </c>
      <c r="G463">
        <v>308890</v>
      </c>
      <c r="H463">
        <v>298252</v>
      </c>
      <c r="I463">
        <v>196787</v>
      </c>
      <c r="J463">
        <v>450729</v>
      </c>
      <c r="K463">
        <v>269644</v>
      </c>
      <c r="L463">
        <v>358474</v>
      </c>
    </row>
    <row r="464" spans="1:12" x14ac:dyDescent="0.35">
      <c r="A464">
        <v>2025</v>
      </c>
      <c r="B464">
        <v>7</v>
      </c>
      <c r="C464" t="s">
        <v>70</v>
      </c>
      <c r="D464" t="s">
        <v>204</v>
      </c>
      <c r="E464" t="s">
        <v>205</v>
      </c>
      <c r="F464">
        <v>347</v>
      </c>
      <c r="G464">
        <v>382288</v>
      </c>
      <c r="H464">
        <v>384719</v>
      </c>
      <c r="I464">
        <v>262564</v>
      </c>
      <c r="J464">
        <v>575804</v>
      </c>
      <c r="K464">
        <v>333155</v>
      </c>
      <c r="L464">
        <v>424436</v>
      </c>
    </row>
    <row r="465" spans="1:12" x14ac:dyDescent="0.35">
      <c r="A465">
        <v>2025</v>
      </c>
      <c r="B465">
        <v>7</v>
      </c>
      <c r="C465" t="s">
        <v>70</v>
      </c>
      <c r="D465" t="s">
        <v>206</v>
      </c>
      <c r="E465" t="s">
        <v>207</v>
      </c>
      <c r="F465">
        <v>3425</v>
      </c>
      <c r="G465">
        <v>294439</v>
      </c>
      <c r="H465">
        <v>290752</v>
      </c>
      <c r="I465">
        <v>246824</v>
      </c>
      <c r="J465">
        <v>458229</v>
      </c>
      <c r="K465">
        <v>275986</v>
      </c>
      <c r="L465">
        <v>305752</v>
      </c>
    </row>
    <row r="466" spans="1:12" x14ac:dyDescent="0.35">
      <c r="A466">
        <v>2025</v>
      </c>
      <c r="B466">
        <v>7</v>
      </c>
      <c r="C466" t="s">
        <v>70</v>
      </c>
      <c r="D466" t="s">
        <v>208</v>
      </c>
      <c r="E466" t="s">
        <v>209</v>
      </c>
      <c r="F466">
        <v>5</v>
      </c>
      <c r="G466">
        <v>262573</v>
      </c>
      <c r="H466">
        <v>262797</v>
      </c>
      <c r="I466">
        <v>255297</v>
      </c>
      <c r="J466">
        <v>266590</v>
      </c>
      <c r="K466">
        <v>261590</v>
      </c>
      <c r="L466">
        <v>266590</v>
      </c>
    </row>
    <row r="467" spans="1:12" x14ac:dyDescent="0.35">
      <c r="A467">
        <v>2025</v>
      </c>
      <c r="B467">
        <v>7</v>
      </c>
      <c r="C467" t="s">
        <v>70</v>
      </c>
      <c r="D467" t="s">
        <v>210</v>
      </c>
      <c r="E467" t="s">
        <v>211</v>
      </c>
      <c r="F467">
        <v>37</v>
      </c>
      <c r="G467">
        <v>272988</v>
      </c>
      <c r="H467">
        <v>262564</v>
      </c>
      <c r="I467">
        <v>260064</v>
      </c>
      <c r="J467">
        <v>398143</v>
      </c>
      <c r="K467">
        <v>262564</v>
      </c>
      <c r="L467">
        <v>270064</v>
      </c>
    </row>
    <row r="468" spans="1:12" x14ac:dyDescent="0.35">
      <c r="A468">
        <v>2025</v>
      </c>
      <c r="B468">
        <v>8</v>
      </c>
      <c r="C468" t="s">
        <v>71</v>
      </c>
      <c r="D468" t="s">
        <v>164</v>
      </c>
      <c r="E468" t="s">
        <v>165</v>
      </c>
      <c r="F468">
        <v>88</v>
      </c>
      <c r="G468">
        <v>315652</v>
      </c>
      <c r="H468">
        <v>318942</v>
      </c>
      <c r="I468">
        <v>270064</v>
      </c>
      <c r="J468">
        <v>378474</v>
      </c>
      <c r="K468">
        <v>298486</v>
      </c>
      <c r="L468">
        <v>328019</v>
      </c>
    </row>
    <row r="469" spans="1:12" x14ac:dyDescent="0.35">
      <c r="A469">
        <v>2025</v>
      </c>
      <c r="B469">
        <v>8</v>
      </c>
      <c r="C469" t="s">
        <v>71</v>
      </c>
      <c r="D469" t="s">
        <v>166</v>
      </c>
      <c r="E469" t="s">
        <v>167</v>
      </c>
      <c r="F469">
        <v>3195</v>
      </c>
      <c r="G469">
        <v>252782</v>
      </c>
      <c r="H469">
        <v>235950</v>
      </c>
      <c r="I469">
        <v>191418</v>
      </c>
      <c r="J469">
        <v>465963</v>
      </c>
      <c r="K469">
        <v>213918</v>
      </c>
      <c r="L469">
        <v>283486</v>
      </c>
    </row>
    <row r="470" spans="1:12" x14ac:dyDescent="0.35">
      <c r="A470">
        <v>2025</v>
      </c>
      <c r="B470">
        <v>8</v>
      </c>
      <c r="C470" t="s">
        <v>71</v>
      </c>
      <c r="D470" t="s">
        <v>168</v>
      </c>
      <c r="E470" t="s">
        <v>169</v>
      </c>
      <c r="F470">
        <v>58</v>
      </c>
      <c r="G470">
        <v>291028</v>
      </c>
      <c r="H470">
        <v>283486</v>
      </c>
      <c r="I470">
        <v>262564</v>
      </c>
      <c r="J470">
        <v>348942</v>
      </c>
      <c r="K470">
        <v>275986</v>
      </c>
      <c r="L470">
        <v>303252</v>
      </c>
    </row>
    <row r="471" spans="1:12" x14ac:dyDescent="0.35">
      <c r="A471">
        <v>2025</v>
      </c>
      <c r="B471">
        <v>8</v>
      </c>
      <c r="C471" t="s">
        <v>71</v>
      </c>
      <c r="D471" t="s">
        <v>170</v>
      </c>
      <c r="E471" t="s">
        <v>171</v>
      </c>
      <c r="F471">
        <v>17</v>
      </c>
      <c r="G471">
        <v>294875</v>
      </c>
      <c r="H471">
        <v>290986</v>
      </c>
      <c r="I471">
        <v>275986</v>
      </c>
      <c r="J471">
        <v>319452</v>
      </c>
      <c r="K471">
        <v>283486</v>
      </c>
      <c r="L471">
        <v>305519</v>
      </c>
    </row>
    <row r="472" spans="1:12" x14ac:dyDescent="0.35">
      <c r="A472">
        <v>2025</v>
      </c>
      <c r="B472">
        <v>8</v>
      </c>
      <c r="C472" t="s">
        <v>71</v>
      </c>
      <c r="D472" t="s">
        <v>212</v>
      </c>
      <c r="E472" t="s">
        <v>213</v>
      </c>
      <c r="F472">
        <v>1</v>
      </c>
      <c r="G472">
        <v>300519</v>
      </c>
      <c r="H472">
        <v>300519</v>
      </c>
      <c r="I472">
        <v>300519</v>
      </c>
      <c r="J472">
        <v>300519</v>
      </c>
      <c r="K472">
        <v>300519</v>
      </c>
      <c r="L472">
        <v>300519</v>
      </c>
    </row>
    <row r="473" spans="1:12" x14ac:dyDescent="0.35">
      <c r="A473">
        <v>2025</v>
      </c>
      <c r="B473">
        <v>8</v>
      </c>
      <c r="C473" t="s">
        <v>71</v>
      </c>
      <c r="D473" t="s">
        <v>172</v>
      </c>
      <c r="E473" t="s">
        <v>173</v>
      </c>
      <c r="F473">
        <v>733</v>
      </c>
      <c r="G473">
        <v>241065</v>
      </c>
      <c r="H473">
        <v>240765</v>
      </c>
      <c r="I473">
        <v>207526</v>
      </c>
      <c r="J473">
        <v>289324</v>
      </c>
      <c r="K473">
        <v>227895</v>
      </c>
      <c r="L473">
        <v>250765</v>
      </c>
    </row>
    <row r="474" spans="1:12" x14ac:dyDescent="0.35">
      <c r="A474">
        <v>2025</v>
      </c>
      <c r="B474">
        <v>8</v>
      </c>
      <c r="C474" t="s">
        <v>71</v>
      </c>
      <c r="D474" t="s">
        <v>174</v>
      </c>
      <c r="E474" t="s">
        <v>175</v>
      </c>
      <c r="F474">
        <v>147</v>
      </c>
      <c r="G474">
        <v>289895</v>
      </c>
      <c r="H474">
        <v>290752</v>
      </c>
      <c r="I474">
        <v>262564</v>
      </c>
      <c r="J474">
        <v>335519</v>
      </c>
      <c r="K474">
        <v>275986</v>
      </c>
      <c r="L474">
        <v>303252</v>
      </c>
    </row>
    <row r="475" spans="1:12" x14ac:dyDescent="0.35">
      <c r="A475">
        <v>2025</v>
      </c>
      <c r="B475">
        <v>8</v>
      </c>
      <c r="C475" t="s">
        <v>71</v>
      </c>
      <c r="D475" t="s">
        <v>176</v>
      </c>
      <c r="E475" t="s">
        <v>177</v>
      </c>
      <c r="F475">
        <v>5</v>
      </c>
      <c r="G475">
        <v>381174</v>
      </c>
      <c r="H475">
        <v>388795</v>
      </c>
      <c r="I475">
        <v>293486</v>
      </c>
      <c r="J475">
        <v>445729</v>
      </c>
      <c r="K475">
        <v>384719</v>
      </c>
      <c r="L475">
        <v>393143</v>
      </c>
    </row>
    <row r="476" spans="1:12" x14ac:dyDescent="0.35">
      <c r="A476">
        <v>2025</v>
      </c>
      <c r="B476">
        <v>8</v>
      </c>
      <c r="C476" t="s">
        <v>71</v>
      </c>
      <c r="D476" t="s">
        <v>178</v>
      </c>
      <c r="E476" t="s">
        <v>179</v>
      </c>
      <c r="F476">
        <v>30</v>
      </c>
      <c r="G476">
        <v>287079</v>
      </c>
      <c r="H476">
        <v>287236</v>
      </c>
      <c r="I476">
        <v>262564</v>
      </c>
      <c r="J476">
        <v>316110</v>
      </c>
      <c r="K476">
        <v>275986</v>
      </c>
      <c r="L476">
        <v>293610</v>
      </c>
    </row>
    <row r="477" spans="1:12" x14ac:dyDescent="0.35">
      <c r="A477">
        <v>2025</v>
      </c>
      <c r="B477">
        <v>8</v>
      </c>
      <c r="C477" t="s">
        <v>71</v>
      </c>
      <c r="D477" t="s">
        <v>214</v>
      </c>
      <c r="E477" t="s">
        <v>215</v>
      </c>
      <c r="F477">
        <v>965</v>
      </c>
      <c r="G477">
        <v>246189</v>
      </c>
      <c r="H477">
        <v>243769</v>
      </c>
      <c r="I477">
        <v>223636</v>
      </c>
      <c r="J477">
        <v>329319</v>
      </c>
      <c r="K477">
        <v>228636</v>
      </c>
      <c r="L477">
        <v>259558</v>
      </c>
    </row>
    <row r="478" spans="1:12" x14ac:dyDescent="0.35">
      <c r="A478">
        <v>2025</v>
      </c>
      <c r="B478">
        <v>8</v>
      </c>
      <c r="C478" t="s">
        <v>71</v>
      </c>
      <c r="D478" t="s">
        <v>180</v>
      </c>
      <c r="E478" t="s">
        <v>181</v>
      </c>
      <c r="F478">
        <v>4528</v>
      </c>
      <c r="G478">
        <v>323925</v>
      </c>
      <c r="H478">
        <v>318078</v>
      </c>
      <c r="I478">
        <v>260064</v>
      </c>
      <c r="J478">
        <v>465963</v>
      </c>
      <c r="K478">
        <v>290752</v>
      </c>
      <c r="L478">
        <v>350052</v>
      </c>
    </row>
    <row r="479" spans="1:12" x14ac:dyDescent="0.35">
      <c r="A479">
        <v>2025</v>
      </c>
      <c r="B479">
        <v>8</v>
      </c>
      <c r="C479" t="s">
        <v>71</v>
      </c>
      <c r="D479" t="s">
        <v>182</v>
      </c>
      <c r="E479" t="s">
        <v>183</v>
      </c>
      <c r="F479">
        <v>147</v>
      </c>
      <c r="G479">
        <v>357804</v>
      </c>
      <c r="H479">
        <v>343019</v>
      </c>
      <c r="I479">
        <v>262564</v>
      </c>
      <c r="J479">
        <v>465729</v>
      </c>
      <c r="K479">
        <v>313019</v>
      </c>
      <c r="L479">
        <v>402219</v>
      </c>
    </row>
    <row r="480" spans="1:12" x14ac:dyDescent="0.35">
      <c r="A480">
        <v>2025</v>
      </c>
      <c r="B480">
        <v>8</v>
      </c>
      <c r="C480" t="s">
        <v>71</v>
      </c>
      <c r="D480" t="s">
        <v>184</v>
      </c>
      <c r="E480" t="s">
        <v>185</v>
      </c>
      <c r="F480">
        <v>2</v>
      </c>
      <c r="G480">
        <v>378796</v>
      </c>
      <c r="H480">
        <v>378796</v>
      </c>
      <c r="I480">
        <v>340655</v>
      </c>
      <c r="J480">
        <v>416936</v>
      </c>
      <c r="K480">
        <v>340655</v>
      </c>
      <c r="L480">
        <v>416936</v>
      </c>
    </row>
    <row r="481" spans="1:12" x14ac:dyDescent="0.35">
      <c r="A481">
        <v>2025</v>
      </c>
      <c r="B481">
        <v>8</v>
      </c>
      <c r="C481" t="s">
        <v>71</v>
      </c>
      <c r="D481" t="s">
        <v>186</v>
      </c>
      <c r="E481" t="s">
        <v>187</v>
      </c>
      <c r="F481">
        <v>1038</v>
      </c>
      <c r="G481">
        <v>290791</v>
      </c>
      <c r="H481">
        <v>290752</v>
      </c>
      <c r="I481">
        <v>260064</v>
      </c>
      <c r="J481">
        <v>510348</v>
      </c>
      <c r="K481">
        <v>275986</v>
      </c>
      <c r="L481">
        <v>298486</v>
      </c>
    </row>
    <row r="482" spans="1:12" x14ac:dyDescent="0.35">
      <c r="A482">
        <v>2025</v>
      </c>
      <c r="B482">
        <v>8</v>
      </c>
      <c r="C482" t="s">
        <v>71</v>
      </c>
      <c r="D482" t="s">
        <v>188</v>
      </c>
      <c r="E482" t="s">
        <v>189</v>
      </c>
      <c r="F482">
        <v>976</v>
      </c>
      <c r="G482">
        <v>414253</v>
      </c>
      <c r="H482">
        <v>392269</v>
      </c>
      <c r="I482">
        <v>309915</v>
      </c>
      <c r="J482">
        <v>698145</v>
      </c>
      <c r="K482">
        <v>363241</v>
      </c>
      <c r="L482">
        <v>453414</v>
      </c>
    </row>
    <row r="483" spans="1:12" x14ac:dyDescent="0.35">
      <c r="A483">
        <v>2025</v>
      </c>
      <c r="B483">
        <v>8</v>
      </c>
      <c r="C483" t="s">
        <v>71</v>
      </c>
      <c r="D483" t="s">
        <v>190</v>
      </c>
      <c r="E483" t="s">
        <v>191</v>
      </c>
      <c r="F483">
        <v>16562</v>
      </c>
      <c r="G483">
        <v>274320</v>
      </c>
      <c r="H483">
        <v>249096</v>
      </c>
      <c r="I483">
        <v>191418</v>
      </c>
      <c r="J483">
        <v>643538</v>
      </c>
      <c r="K483">
        <v>216922</v>
      </c>
      <c r="L483">
        <v>313019</v>
      </c>
    </row>
    <row r="484" spans="1:12" x14ac:dyDescent="0.35">
      <c r="A484">
        <v>2025</v>
      </c>
      <c r="B484">
        <v>8</v>
      </c>
      <c r="C484" t="s">
        <v>71</v>
      </c>
      <c r="D484" t="s">
        <v>192</v>
      </c>
      <c r="E484" t="s">
        <v>193</v>
      </c>
      <c r="F484">
        <v>134</v>
      </c>
      <c r="G484">
        <v>331947</v>
      </c>
      <c r="H484">
        <v>326442</v>
      </c>
      <c r="I484">
        <v>270986</v>
      </c>
      <c r="J484">
        <v>441504</v>
      </c>
      <c r="K484">
        <v>308942</v>
      </c>
      <c r="L484">
        <v>348474</v>
      </c>
    </row>
    <row r="485" spans="1:12" x14ac:dyDescent="0.35">
      <c r="A485">
        <v>2025</v>
      </c>
      <c r="B485">
        <v>8</v>
      </c>
      <c r="C485" t="s">
        <v>71</v>
      </c>
      <c r="D485" t="s">
        <v>194</v>
      </c>
      <c r="E485" t="s">
        <v>195</v>
      </c>
      <c r="F485">
        <v>3498</v>
      </c>
      <c r="G485">
        <v>291028</v>
      </c>
      <c r="H485">
        <v>269324</v>
      </c>
      <c r="I485">
        <v>206184</v>
      </c>
      <c r="J485">
        <v>593354</v>
      </c>
      <c r="K485">
        <v>238450</v>
      </c>
      <c r="L485">
        <v>330986</v>
      </c>
    </row>
    <row r="486" spans="1:12" x14ac:dyDescent="0.35">
      <c r="A486">
        <v>2025</v>
      </c>
      <c r="B486">
        <v>8</v>
      </c>
      <c r="C486" t="s">
        <v>71</v>
      </c>
      <c r="D486" t="s">
        <v>196</v>
      </c>
      <c r="E486" t="s">
        <v>197</v>
      </c>
      <c r="F486">
        <v>2502</v>
      </c>
      <c r="G486">
        <v>331049</v>
      </c>
      <c r="H486">
        <v>320655</v>
      </c>
      <c r="I486">
        <v>206553</v>
      </c>
      <c r="J486">
        <v>592374</v>
      </c>
      <c r="K486">
        <v>275988</v>
      </c>
      <c r="L486">
        <v>399485</v>
      </c>
    </row>
    <row r="487" spans="1:12" x14ac:dyDescent="0.35">
      <c r="A487">
        <v>2025</v>
      </c>
      <c r="B487">
        <v>8</v>
      </c>
      <c r="C487" t="s">
        <v>71</v>
      </c>
      <c r="D487" t="s">
        <v>198</v>
      </c>
      <c r="E487" t="s">
        <v>199</v>
      </c>
      <c r="F487">
        <v>249</v>
      </c>
      <c r="G487">
        <v>415349</v>
      </c>
      <c r="H487">
        <v>416936</v>
      </c>
      <c r="I487">
        <v>313573</v>
      </c>
      <c r="J487">
        <v>560015</v>
      </c>
      <c r="K487">
        <v>399485</v>
      </c>
      <c r="L487">
        <v>433044</v>
      </c>
    </row>
    <row r="488" spans="1:12" x14ac:dyDescent="0.35">
      <c r="A488">
        <v>2025</v>
      </c>
      <c r="B488">
        <v>8</v>
      </c>
      <c r="C488" t="s">
        <v>71</v>
      </c>
      <c r="D488" t="s">
        <v>200</v>
      </c>
      <c r="E488" t="s">
        <v>201</v>
      </c>
      <c r="F488">
        <v>490</v>
      </c>
      <c r="G488">
        <v>352669</v>
      </c>
      <c r="H488">
        <v>337298</v>
      </c>
      <c r="I488">
        <v>270064</v>
      </c>
      <c r="J488">
        <v>482995</v>
      </c>
      <c r="K488">
        <v>305519</v>
      </c>
      <c r="L488">
        <v>401985</v>
      </c>
    </row>
    <row r="489" spans="1:12" x14ac:dyDescent="0.35">
      <c r="A489">
        <v>2025</v>
      </c>
      <c r="B489">
        <v>8</v>
      </c>
      <c r="C489" t="s">
        <v>71</v>
      </c>
      <c r="D489" t="s">
        <v>202</v>
      </c>
      <c r="E489" t="s">
        <v>203</v>
      </c>
      <c r="F489">
        <v>1090</v>
      </c>
      <c r="G489">
        <v>307534</v>
      </c>
      <c r="H489">
        <v>298252</v>
      </c>
      <c r="I489">
        <v>196787</v>
      </c>
      <c r="J489">
        <v>450729</v>
      </c>
      <c r="K489">
        <v>269509</v>
      </c>
      <c r="L489">
        <v>348474</v>
      </c>
    </row>
    <row r="490" spans="1:12" x14ac:dyDescent="0.35">
      <c r="A490">
        <v>2025</v>
      </c>
      <c r="B490">
        <v>8</v>
      </c>
      <c r="C490" t="s">
        <v>71</v>
      </c>
      <c r="D490" t="s">
        <v>204</v>
      </c>
      <c r="E490" t="s">
        <v>205</v>
      </c>
      <c r="F490">
        <v>346</v>
      </c>
      <c r="G490">
        <v>384495</v>
      </c>
      <c r="H490">
        <v>387545</v>
      </c>
      <c r="I490">
        <v>262564</v>
      </c>
      <c r="J490">
        <v>591204</v>
      </c>
      <c r="K490">
        <v>333155</v>
      </c>
      <c r="L490">
        <v>431936</v>
      </c>
    </row>
    <row r="491" spans="1:12" x14ac:dyDescent="0.35">
      <c r="A491">
        <v>2025</v>
      </c>
      <c r="B491">
        <v>8</v>
      </c>
      <c r="C491" t="s">
        <v>71</v>
      </c>
      <c r="D491" t="s">
        <v>206</v>
      </c>
      <c r="E491" t="s">
        <v>207</v>
      </c>
      <c r="F491">
        <v>3440</v>
      </c>
      <c r="G491">
        <v>294767</v>
      </c>
      <c r="H491">
        <v>290752</v>
      </c>
      <c r="I491">
        <v>246824</v>
      </c>
      <c r="J491">
        <v>458229</v>
      </c>
      <c r="K491">
        <v>275986</v>
      </c>
      <c r="L491">
        <v>305752</v>
      </c>
    </row>
    <row r="492" spans="1:12" x14ac:dyDescent="0.35">
      <c r="A492">
        <v>2025</v>
      </c>
      <c r="B492">
        <v>8</v>
      </c>
      <c r="C492" t="s">
        <v>71</v>
      </c>
      <c r="D492" t="s">
        <v>208</v>
      </c>
      <c r="E492" t="s">
        <v>209</v>
      </c>
      <c r="F492">
        <v>5</v>
      </c>
      <c r="G492">
        <v>262573</v>
      </c>
      <c r="H492">
        <v>262797</v>
      </c>
      <c r="I492">
        <v>255297</v>
      </c>
      <c r="J492">
        <v>266590</v>
      </c>
      <c r="K492">
        <v>261590</v>
      </c>
      <c r="L492">
        <v>266590</v>
      </c>
    </row>
    <row r="493" spans="1:12" x14ac:dyDescent="0.35">
      <c r="A493">
        <v>2025</v>
      </c>
      <c r="B493">
        <v>8</v>
      </c>
      <c r="C493" t="s">
        <v>71</v>
      </c>
      <c r="D493" t="s">
        <v>210</v>
      </c>
      <c r="E493" t="s">
        <v>211</v>
      </c>
      <c r="F493">
        <v>40</v>
      </c>
      <c r="G493">
        <v>272206</v>
      </c>
      <c r="H493">
        <v>262564</v>
      </c>
      <c r="I493">
        <v>260064</v>
      </c>
      <c r="J493">
        <v>398143</v>
      </c>
      <c r="K493">
        <v>262564</v>
      </c>
      <c r="L493">
        <v>270064</v>
      </c>
    </row>
    <row r="494" spans="1:12" x14ac:dyDescent="0.35">
      <c r="A494">
        <v>2025</v>
      </c>
      <c r="B494">
        <v>9</v>
      </c>
      <c r="C494" t="s">
        <v>72</v>
      </c>
      <c r="D494" t="s">
        <v>164</v>
      </c>
      <c r="E494" t="s">
        <v>165</v>
      </c>
      <c r="F494">
        <v>86</v>
      </c>
      <c r="G494">
        <v>316578</v>
      </c>
      <c r="H494">
        <v>313252</v>
      </c>
      <c r="I494">
        <v>270064</v>
      </c>
      <c r="J494">
        <v>442433</v>
      </c>
      <c r="K494">
        <v>298486</v>
      </c>
      <c r="L494">
        <v>326442</v>
      </c>
    </row>
    <row r="495" spans="1:12" x14ac:dyDescent="0.35">
      <c r="A495">
        <v>2025</v>
      </c>
      <c r="B495">
        <v>9</v>
      </c>
      <c r="C495" t="s">
        <v>72</v>
      </c>
      <c r="D495" t="s">
        <v>166</v>
      </c>
      <c r="E495" t="s">
        <v>167</v>
      </c>
      <c r="F495">
        <v>3234</v>
      </c>
      <c r="G495">
        <v>252395</v>
      </c>
      <c r="H495">
        <v>235950</v>
      </c>
      <c r="I495">
        <v>191418</v>
      </c>
      <c r="J495">
        <v>465963</v>
      </c>
      <c r="K495">
        <v>212895</v>
      </c>
      <c r="L495">
        <v>283134</v>
      </c>
    </row>
    <row r="496" spans="1:12" x14ac:dyDescent="0.35">
      <c r="A496">
        <v>2025</v>
      </c>
      <c r="B496">
        <v>9</v>
      </c>
      <c r="C496" t="s">
        <v>72</v>
      </c>
      <c r="D496" t="s">
        <v>168</v>
      </c>
      <c r="E496" t="s">
        <v>169</v>
      </c>
      <c r="F496">
        <v>58</v>
      </c>
      <c r="G496">
        <v>291352</v>
      </c>
      <c r="H496">
        <v>283486</v>
      </c>
      <c r="I496">
        <v>262564</v>
      </c>
      <c r="J496">
        <v>348942</v>
      </c>
      <c r="K496">
        <v>275986</v>
      </c>
      <c r="L496">
        <v>303252</v>
      </c>
    </row>
    <row r="497" spans="1:12" x14ac:dyDescent="0.35">
      <c r="A497">
        <v>2025</v>
      </c>
      <c r="B497">
        <v>9</v>
      </c>
      <c r="C497" t="s">
        <v>72</v>
      </c>
      <c r="D497" t="s">
        <v>170</v>
      </c>
      <c r="E497" t="s">
        <v>171</v>
      </c>
      <c r="F497">
        <v>18</v>
      </c>
      <c r="G497">
        <v>292623</v>
      </c>
      <c r="H497">
        <v>290986</v>
      </c>
      <c r="I497">
        <v>262564</v>
      </c>
      <c r="J497">
        <v>313252</v>
      </c>
      <c r="K497">
        <v>283486</v>
      </c>
      <c r="L497">
        <v>305752</v>
      </c>
    </row>
    <row r="498" spans="1:12" x14ac:dyDescent="0.35">
      <c r="A498">
        <v>2025</v>
      </c>
      <c r="B498">
        <v>9</v>
      </c>
      <c r="C498" t="s">
        <v>72</v>
      </c>
      <c r="D498" t="s">
        <v>212</v>
      </c>
      <c r="E498" t="s">
        <v>213</v>
      </c>
      <c r="F498">
        <v>1</v>
      </c>
      <c r="G498">
        <v>300519</v>
      </c>
      <c r="H498">
        <v>300519</v>
      </c>
      <c r="I498">
        <v>300519</v>
      </c>
      <c r="J498">
        <v>300519</v>
      </c>
      <c r="K498">
        <v>300519</v>
      </c>
      <c r="L498">
        <v>300519</v>
      </c>
    </row>
    <row r="499" spans="1:12" x14ac:dyDescent="0.35">
      <c r="A499">
        <v>2025</v>
      </c>
      <c r="B499">
        <v>9</v>
      </c>
      <c r="C499" t="s">
        <v>72</v>
      </c>
      <c r="D499" t="s">
        <v>172</v>
      </c>
      <c r="E499" t="s">
        <v>173</v>
      </c>
      <c r="F499">
        <v>734</v>
      </c>
      <c r="G499">
        <v>241098</v>
      </c>
      <c r="H499">
        <v>240765</v>
      </c>
      <c r="I499">
        <v>207526</v>
      </c>
      <c r="J499">
        <v>289324</v>
      </c>
      <c r="K499">
        <v>227895</v>
      </c>
      <c r="L499">
        <v>251824</v>
      </c>
    </row>
    <row r="500" spans="1:12" x14ac:dyDescent="0.35">
      <c r="A500">
        <v>2025</v>
      </c>
      <c r="B500">
        <v>9</v>
      </c>
      <c r="C500" t="s">
        <v>72</v>
      </c>
      <c r="D500" t="s">
        <v>174</v>
      </c>
      <c r="E500" t="s">
        <v>175</v>
      </c>
      <c r="F500">
        <v>147</v>
      </c>
      <c r="G500">
        <v>290099</v>
      </c>
      <c r="H500">
        <v>290752</v>
      </c>
      <c r="I500">
        <v>262564</v>
      </c>
      <c r="J500">
        <v>335519</v>
      </c>
      <c r="K500">
        <v>278486</v>
      </c>
      <c r="L500">
        <v>303252</v>
      </c>
    </row>
    <row r="501" spans="1:12" x14ac:dyDescent="0.35">
      <c r="A501">
        <v>2025</v>
      </c>
      <c r="B501">
        <v>9</v>
      </c>
      <c r="C501" t="s">
        <v>72</v>
      </c>
      <c r="D501" t="s">
        <v>176</v>
      </c>
      <c r="E501" t="s">
        <v>177</v>
      </c>
      <c r="F501">
        <v>5</v>
      </c>
      <c r="G501">
        <v>381174</v>
      </c>
      <c r="H501">
        <v>388795</v>
      </c>
      <c r="I501">
        <v>293486</v>
      </c>
      <c r="J501">
        <v>445729</v>
      </c>
      <c r="K501">
        <v>384719</v>
      </c>
      <c r="L501">
        <v>393143</v>
      </c>
    </row>
    <row r="502" spans="1:12" x14ac:dyDescent="0.35">
      <c r="A502">
        <v>2025</v>
      </c>
      <c r="B502">
        <v>9</v>
      </c>
      <c r="C502" t="s">
        <v>72</v>
      </c>
      <c r="D502" t="s">
        <v>178</v>
      </c>
      <c r="E502" t="s">
        <v>179</v>
      </c>
      <c r="F502">
        <v>30</v>
      </c>
      <c r="G502">
        <v>298527</v>
      </c>
      <c r="H502">
        <v>305042</v>
      </c>
      <c r="I502">
        <v>262564</v>
      </c>
      <c r="J502">
        <v>335042</v>
      </c>
      <c r="K502">
        <v>290752</v>
      </c>
      <c r="L502">
        <v>305042</v>
      </c>
    </row>
    <row r="503" spans="1:12" x14ac:dyDescent="0.35">
      <c r="A503">
        <v>2025</v>
      </c>
      <c r="B503">
        <v>9</v>
      </c>
      <c r="C503" t="s">
        <v>72</v>
      </c>
      <c r="D503" t="s">
        <v>214</v>
      </c>
      <c r="E503" t="s">
        <v>215</v>
      </c>
      <c r="F503">
        <v>986</v>
      </c>
      <c r="G503">
        <v>246377</v>
      </c>
      <c r="H503">
        <v>243769</v>
      </c>
      <c r="I503">
        <v>223636</v>
      </c>
      <c r="J503">
        <v>334537</v>
      </c>
      <c r="K503">
        <v>231136</v>
      </c>
      <c r="L503">
        <v>259558</v>
      </c>
    </row>
    <row r="504" spans="1:12" x14ac:dyDescent="0.35">
      <c r="A504">
        <v>2025</v>
      </c>
      <c r="B504">
        <v>9</v>
      </c>
      <c r="C504" t="s">
        <v>72</v>
      </c>
      <c r="D504" t="s">
        <v>180</v>
      </c>
      <c r="E504" t="s">
        <v>181</v>
      </c>
      <c r="F504">
        <v>4541</v>
      </c>
      <c r="G504">
        <v>323865</v>
      </c>
      <c r="H504">
        <v>316442</v>
      </c>
      <c r="I504">
        <v>260064</v>
      </c>
      <c r="J504">
        <v>467642</v>
      </c>
      <c r="K504">
        <v>285986</v>
      </c>
      <c r="L504">
        <v>350052</v>
      </c>
    </row>
    <row r="505" spans="1:12" x14ac:dyDescent="0.35">
      <c r="A505">
        <v>2025</v>
      </c>
      <c r="B505">
        <v>9</v>
      </c>
      <c r="C505" t="s">
        <v>72</v>
      </c>
      <c r="D505" t="s">
        <v>182</v>
      </c>
      <c r="E505" t="s">
        <v>183</v>
      </c>
      <c r="F505">
        <v>144</v>
      </c>
      <c r="G505">
        <v>357814</v>
      </c>
      <c r="H505">
        <v>341442</v>
      </c>
      <c r="I505">
        <v>262564</v>
      </c>
      <c r="J505">
        <v>465729</v>
      </c>
      <c r="K505">
        <v>313019</v>
      </c>
      <c r="L505">
        <v>402219</v>
      </c>
    </row>
    <row r="506" spans="1:12" x14ac:dyDescent="0.35">
      <c r="A506">
        <v>2025</v>
      </c>
      <c r="B506">
        <v>9</v>
      </c>
      <c r="C506" t="s">
        <v>72</v>
      </c>
      <c r="D506" t="s">
        <v>184</v>
      </c>
      <c r="E506" t="s">
        <v>185</v>
      </c>
      <c r="F506">
        <v>2</v>
      </c>
      <c r="G506">
        <v>378796</v>
      </c>
      <c r="H506">
        <v>378796</v>
      </c>
      <c r="I506">
        <v>340655</v>
      </c>
      <c r="J506">
        <v>416936</v>
      </c>
      <c r="K506">
        <v>340655</v>
      </c>
      <c r="L506">
        <v>416936</v>
      </c>
    </row>
    <row r="507" spans="1:12" x14ac:dyDescent="0.35">
      <c r="A507">
        <v>2025</v>
      </c>
      <c r="B507">
        <v>9</v>
      </c>
      <c r="C507" t="s">
        <v>72</v>
      </c>
      <c r="D507" t="s">
        <v>186</v>
      </c>
      <c r="E507" t="s">
        <v>187</v>
      </c>
      <c r="F507">
        <v>1038</v>
      </c>
      <c r="G507">
        <v>290657</v>
      </c>
      <c r="H507">
        <v>290752</v>
      </c>
      <c r="I507">
        <v>260064</v>
      </c>
      <c r="J507">
        <v>510348</v>
      </c>
      <c r="K507">
        <v>275986</v>
      </c>
      <c r="L507">
        <v>298486</v>
      </c>
    </row>
    <row r="508" spans="1:12" x14ac:dyDescent="0.35">
      <c r="A508">
        <v>2025</v>
      </c>
      <c r="B508">
        <v>9</v>
      </c>
      <c r="C508" t="s">
        <v>72</v>
      </c>
      <c r="D508" t="s">
        <v>188</v>
      </c>
      <c r="E508" t="s">
        <v>189</v>
      </c>
      <c r="F508">
        <v>976</v>
      </c>
      <c r="G508">
        <v>413510</v>
      </c>
      <c r="H508">
        <v>392269</v>
      </c>
      <c r="I508">
        <v>309915</v>
      </c>
      <c r="J508">
        <v>698145</v>
      </c>
      <c r="K508">
        <v>363241</v>
      </c>
      <c r="L508">
        <v>453414</v>
      </c>
    </row>
    <row r="509" spans="1:12" x14ac:dyDescent="0.35">
      <c r="A509">
        <v>2025</v>
      </c>
      <c r="B509">
        <v>9</v>
      </c>
      <c r="C509" t="s">
        <v>72</v>
      </c>
      <c r="D509" t="s">
        <v>190</v>
      </c>
      <c r="E509" t="s">
        <v>191</v>
      </c>
      <c r="F509">
        <v>16657</v>
      </c>
      <c r="G509">
        <v>274118</v>
      </c>
      <c r="H509">
        <v>248819</v>
      </c>
      <c r="I509">
        <v>191418</v>
      </c>
      <c r="J509">
        <v>643538</v>
      </c>
      <c r="K509">
        <v>217526</v>
      </c>
      <c r="L509">
        <v>313019</v>
      </c>
    </row>
    <row r="510" spans="1:12" x14ac:dyDescent="0.35">
      <c r="A510">
        <v>2025</v>
      </c>
      <c r="B510">
        <v>9</v>
      </c>
      <c r="C510" t="s">
        <v>72</v>
      </c>
      <c r="D510" t="s">
        <v>192</v>
      </c>
      <c r="E510" t="s">
        <v>193</v>
      </c>
      <c r="F510">
        <v>134</v>
      </c>
      <c r="G510">
        <v>331257</v>
      </c>
      <c r="H510">
        <v>326442</v>
      </c>
      <c r="I510">
        <v>270986</v>
      </c>
      <c r="J510">
        <v>435643</v>
      </c>
      <c r="K510">
        <v>308019</v>
      </c>
      <c r="L510">
        <v>343942</v>
      </c>
    </row>
    <row r="511" spans="1:12" x14ac:dyDescent="0.35">
      <c r="A511">
        <v>2025</v>
      </c>
      <c r="B511">
        <v>9</v>
      </c>
      <c r="C511" t="s">
        <v>72</v>
      </c>
      <c r="D511" t="s">
        <v>194</v>
      </c>
      <c r="E511" t="s">
        <v>195</v>
      </c>
      <c r="F511">
        <v>3503</v>
      </c>
      <c r="G511">
        <v>290296</v>
      </c>
      <c r="H511">
        <v>269324</v>
      </c>
      <c r="I511">
        <v>206184</v>
      </c>
      <c r="J511">
        <v>590804</v>
      </c>
      <c r="K511">
        <v>238450</v>
      </c>
      <c r="L511">
        <v>325986</v>
      </c>
    </row>
    <row r="512" spans="1:12" x14ac:dyDescent="0.35">
      <c r="A512">
        <v>2025</v>
      </c>
      <c r="B512">
        <v>9</v>
      </c>
      <c r="C512" t="s">
        <v>72</v>
      </c>
      <c r="D512" t="s">
        <v>196</v>
      </c>
      <c r="E512" t="s">
        <v>197</v>
      </c>
      <c r="F512">
        <v>2501</v>
      </c>
      <c r="G512">
        <v>330933</v>
      </c>
      <c r="H512">
        <v>320655</v>
      </c>
      <c r="I512">
        <v>206553</v>
      </c>
      <c r="J512">
        <v>588304</v>
      </c>
      <c r="K512">
        <v>275988</v>
      </c>
      <c r="L512">
        <v>399485</v>
      </c>
    </row>
    <row r="513" spans="1:12" x14ac:dyDescent="0.35">
      <c r="A513">
        <v>2025</v>
      </c>
      <c r="B513">
        <v>9</v>
      </c>
      <c r="C513" t="s">
        <v>72</v>
      </c>
      <c r="D513" t="s">
        <v>198</v>
      </c>
      <c r="E513" t="s">
        <v>199</v>
      </c>
      <c r="F513">
        <v>250</v>
      </c>
      <c r="G513">
        <v>412663</v>
      </c>
      <c r="H513">
        <v>416936</v>
      </c>
      <c r="I513">
        <v>313573</v>
      </c>
      <c r="J513">
        <v>560015</v>
      </c>
      <c r="K513">
        <v>397822</v>
      </c>
      <c r="L513">
        <v>431936</v>
      </c>
    </row>
    <row r="514" spans="1:12" x14ac:dyDescent="0.35">
      <c r="A514">
        <v>2025</v>
      </c>
      <c r="B514">
        <v>9</v>
      </c>
      <c r="C514" t="s">
        <v>72</v>
      </c>
      <c r="D514" t="s">
        <v>200</v>
      </c>
      <c r="E514" t="s">
        <v>201</v>
      </c>
      <c r="F514">
        <v>491</v>
      </c>
      <c r="G514">
        <v>353967</v>
      </c>
      <c r="H514">
        <v>340655</v>
      </c>
      <c r="I514">
        <v>270064</v>
      </c>
      <c r="J514">
        <v>484393</v>
      </c>
      <c r="K514">
        <v>308019</v>
      </c>
      <c r="L514">
        <v>402219</v>
      </c>
    </row>
    <row r="515" spans="1:12" x14ac:dyDescent="0.35">
      <c r="A515">
        <v>2025</v>
      </c>
      <c r="B515">
        <v>9</v>
      </c>
      <c r="C515" t="s">
        <v>72</v>
      </c>
      <c r="D515" t="s">
        <v>202</v>
      </c>
      <c r="E515" t="s">
        <v>203</v>
      </c>
      <c r="F515">
        <v>1109</v>
      </c>
      <c r="G515">
        <v>306230</v>
      </c>
      <c r="H515">
        <v>298252</v>
      </c>
      <c r="I515">
        <v>196787</v>
      </c>
      <c r="J515">
        <v>450729</v>
      </c>
      <c r="K515">
        <v>269275</v>
      </c>
      <c r="L515">
        <v>341442</v>
      </c>
    </row>
    <row r="516" spans="1:12" x14ac:dyDescent="0.35">
      <c r="A516">
        <v>2025</v>
      </c>
      <c r="B516">
        <v>9</v>
      </c>
      <c r="C516" t="s">
        <v>72</v>
      </c>
      <c r="D516" t="s">
        <v>204</v>
      </c>
      <c r="E516" t="s">
        <v>205</v>
      </c>
      <c r="F516">
        <v>346</v>
      </c>
      <c r="G516">
        <v>382642</v>
      </c>
      <c r="H516">
        <v>384719</v>
      </c>
      <c r="I516">
        <v>262564</v>
      </c>
      <c r="J516">
        <v>568304</v>
      </c>
      <c r="K516">
        <v>333155</v>
      </c>
      <c r="L516">
        <v>429719</v>
      </c>
    </row>
    <row r="517" spans="1:12" x14ac:dyDescent="0.35">
      <c r="A517">
        <v>2025</v>
      </c>
      <c r="B517">
        <v>9</v>
      </c>
      <c r="C517" t="s">
        <v>72</v>
      </c>
      <c r="D517" t="s">
        <v>206</v>
      </c>
      <c r="E517" t="s">
        <v>207</v>
      </c>
      <c r="F517">
        <v>3464</v>
      </c>
      <c r="G517">
        <v>294514</v>
      </c>
      <c r="H517">
        <v>290752</v>
      </c>
      <c r="I517">
        <v>246824</v>
      </c>
      <c r="J517">
        <v>458229</v>
      </c>
      <c r="K517">
        <v>275986</v>
      </c>
      <c r="L517">
        <v>305752</v>
      </c>
    </row>
    <row r="518" spans="1:12" x14ac:dyDescent="0.35">
      <c r="A518">
        <v>2025</v>
      </c>
      <c r="B518">
        <v>9</v>
      </c>
      <c r="C518" t="s">
        <v>72</v>
      </c>
      <c r="D518" t="s">
        <v>208</v>
      </c>
      <c r="E518" t="s">
        <v>209</v>
      </c>
      <c r="F518">
        <v>5</v>
      </c>
      <c r="G518">
        <v>262573</v>
      </c>
      <c r="H518">
        <v>262797</v>
      </c>
      <c r="I518">
        <v>255297</v>
      </c>
      <c r="J518">
        <v>266590</v>
      </c>
      <c r="K518">
        <v>261590</v>
      </c>
      <c r="L518">
        <v>266590</v>
      </c>
    </row>
    <row r="519" spans="1:12" x14ac:dyDescent="0.35">
      <c r="A519">
        <v>2025</v>
      </c>
      <c r="B519">
        <v>9</v>
      </c>
      <c r="C519" t="s">
        <v>72</v>
      </c>
      <c r="D519" t="s">
        <v>210</v>
      </c>
      <c r="E519" t="s">
        <v>211</v>
      </c>
      <c r="F519">
        <v>38</v>
      </c>
      <c r="G519">
        <v>273516</v>
      </c>
      <c r="H519">
        <v>262564</v>
      </c>
      <c r="I519">
        <v>260064</v>
      </c>
      <c r="J519">
        <v>398143</v>
      </c>
      <c r="K519">
        <v>262564</v>
      </c>
      <c r="L519">
        <v>270064</v>
      </c>
    </row>
    <row r="520" spans="1:12" x14ac:dyDescent="0.35">
      <c r="A520">
        <v>2025</v>
      </c>
      <c r="B520">
        <v>10</v>
      </c>
      <c r="C520" t="s">
        <v>73</v>
      </c>
      <c r="D520" t="s">
        <v>164</v>
      </c>
      <c r="E520" t="s">
        <v>165</v>
      </c>
      <c r="F520">
        <v>95</v>
      </c>
      <c r="G520">
        <v>325196</v>
      </c>
      <c r="H520">
        <v>318942</v>
      </c>
      <c r="I520">
        <v>262564</v>
      </c>
      <c r="J520">
        <v>464933</v>
      </c>
      <c r="K520">
        <v>300752</v>
      </c>
      <c r="L520">
        <v>333942</v>
      </c>
    </row>
    <row r="521" spans="1:12" x14ac:dyDescent="0.35">
      <c r="A521">
        <v>2025</v>
      </c>
      <c r="B521">
        <v>10</v>
      </c>
      <c r="C521" t="s">
        <v>73</v>
      </c>
      <c r="D521" t="s">
        <v>166</v>
      </c>
      <c r="E521" t="s">
        <v>167</v>
      </c>
      <c r="F521">
        <v>3248</v>
      </c>
      <c r="G521">
        <v>252473</v>
      </c>
      <c r="H521">
        <v>235950</v>
      </c>
      <c r="I521">
        <v>191418</v>
      </c>
      <c r="J521">
        <v>465963</v>
      </c>
      <c r="K521">
        <v>212895</v>
      </c>
      <c r="L521">
        <v>283486</v>
      </c>
    </row>
    <row r="522" spans="1:12" x14ac:dyDescent="0.35">
      <c r="A522">
        <v>2025</v>
      </c>
      <c r="B522">
        <v>10</v>
      </c>
      <c r="C522" t="s">
        <v>73</v>
      </c>
      <c r="D522" t="s">
        <v>168</v>
      </c>
      <c r="E522" t="s">
        <v>169</v>
      </c>
      <c r="F522">
        <v>58</v>
      </c>
      <c r="G522">
        <v>291359</v>
      </c>
      <c r="H522">
        <v>283486</v>
      </c>
      <c r="I522">
        <v>262564</v>
      </c>
      <c r="J522">
        <v>348942</v>
      </c>
      <c r="K522">
        <v>275986</v>
      </c>
      <c r="L522">
        <v>303252</v>
      </c>
    </row>
    <row r="523" spans="1:12" x14ac:dyDescent="0.35">
      <c r="A523">
        <v>2025</v>
      </c>
      <c r="B523">
        <v>10</v>
      </c>
      <c r="C523" t="s">
        <v>73</v>
      </c>
      <c r="D523" t="s">
        <v>170</v>
      </c>
      <c r="E523" t="s">
        <v>171</v>
      </c>
      <c r="F523">
        <v>19</v>
      </c>
      <c r="G523">
        <v>295790</v>
      </c>
      <c r="H523">
        <v>298252</v>
      </c>
      <c r="I523">
        <v>275986</v>
      </c>
      <c r="J523">
        <v>315519</v>
      </c>
      <c r="K523">
        <v>285986</v>
      </c>
      <c r="L523">
        <v>305986</v>
      </c>
    </row>
    <row r="524" spans="1:12" x14ac:dyDescent="0.35">
      <c r="A524">
        <v>2025</v>
      </c>
      <c r="B524">
        <v>10</v>
      </c>
      <c r="C524" t="s">
        <v>73</v>
      </c>
      <c r="D524" t="s">
        <v>212</v>
      </c>
      <c r="E524" t="s">
        <v>213</v>
      </c>
      <c r="F524">
        <v>1</v>
      </c>
      <c r="G524">
        <v>300519</v>
      </c>
      <c r="H524">
        <v>300519</v>
      </c>
      <c r="I524">
        <v>300519</v>
      </c>
      <c r="J524">
        <v>300519</v>
      </c>
      <c r="K524">
        <v>300519</v>
      </c>
      <c r="L524">
        <v>300519</v>
      </c>
    </row>
    <row r="525" spans="1:12" x14ac:dyDescent="0.35">
      <c r="A525">
        <v>2025</v>
      </c>
      <c r="B525">
        <v>10</v>
      </c>
      <c r="C525" t="s">
        <v>73</v>
      </c>
      <c r="D525" t="s">
        <v>172</v>
      </c>
      <c r="E525" t="s">
        <v>173</v>
      </c>
      <c r="F525">
        <v>734</v>
      </c>
      <c r="G525">
        <v>241023</v>
      </c>
      <c r="H525">
        <v>240531</v>
      </c>
      <c r="I525">
        <v>207526</v>
      </c>
      <c r="J525">
        <v>289324</v>
      </c>
      <c r="K525">
        <v>227895</v>
      </c>
      <c r="L525">
        <v>250765</v>
      </c>
    </row>
    <row r="526" spans="1:12" x14ac:dyDescent="0.35">
      <c r="A526">
        <v>2025</v>
      </c>
      <c r="B526">
        <v>10</v>
      </c>
      <c r="C526" t="s">
        <v>73</v>
      </c>
      <c r="D526" t="s">
        <v>174</v>
      </c>
      <c r="E526" t="s">
        <v>175</v>
      </c>
      <c r="F526">
        <v>148</v>
      </c>
      <c r="G526">
        <v>290015</v>
      </c>
      <c r="H526">
        <v>290752</v>
      </c>
      <c r="I526">
        <v>262564</v>
      </c>
      <c r="J526">
        <v>335519</v>
      </c>
      <c r="K526">
        <v>275986</v>
      </c>
      <c r="L526">
        <v>300986</v>
      </c>
    </row>
    <row r="527" spans="1:12" x14ac:dyDescent="0.35">
      <c r="A527">
        <v>2025</v>
      </c>
      <c r="B527">
        <v>10</v>
      </c>
      <c r="C527" t="s">
        <v>73</v>
      </c>
      <c r="D527" t="s">
        <v>176</v>
      </c>
      <c r="E527" t="s">
        <v>177</v>
      </c>
      <c r="F527">
        <v>5</v>
      </c>
      <c r="G527">
        <v>381174</v>
      </c>
      <c r="H527">
        <v>388795</v>
      </c>
      <c r="I527">
        <v>293486</v>
      </c>
      <c r="J527">
        <v>445729</v>
      </c>
      <c r="K527">
        <v>384719</v>
      </c>
      <c r="L527">
        <v>393143</v>
      </c>
    </row>
    <row r="528" spans="1:12" x14ac:dyDescent="0.35">
      <c r="A528">
        <v>2025</v>
      </c>
      <c r="B528">
        <v>10</v>
      </c>
      <c r="C528" t="s">
        <v>73</v>
      </c>
      <c r="D528" t="s">
        <v>178</v>
      </c>
      <c r="E528" t="s">
        <v>179</v>
      </c>
      <c r="F528">
        <v>30</v>
      </c>
      <c r="G528">
        <v>292827</v>
      </c>
      <c r="H528">
        <v>290752</v>
      </c>
      <c r="I528">
        <v>262564</v>
      </c>
      <c r="J528">
        <v>320752</v>
      </c>
      <c r="K528">
        <v>290752</v>
      </c>
      <c r="L528">
        <v>298252</v>
      </c>
    </row>
    <row r="529" spans="1:12" x14ac:dyDescent="0.35">
      <c r="A529">
        <v>2025</v>
      </c>
      <c r="B529">
        <v>10</v>
      </c>
      <c r="C529" t="s">
        <v>73</v>
      </c>
      <c r="D529" t="s">
        <v>214</v>
      </c>
      <c r="E529" t="s">
        <v>215</v>
      </c>
      <c r="F529">
        <v>1004</v>
      </c>
      <c r="G529">
        <v>246291</v>
      </c>
      <c r="H529">
        <v>243769</v>
      </c>
      <c r="I529">
        <v>223636</v>
      </c>
      <c r="J529">
        <v>326992</v>
      </c>
      <c r="K529">
        <v>231136</v>
      </c>
      <c r="L529">
        <v>258769</v>
      </c>
    </row>
    <row r="530" spans="1:12" x14ac:dyDescent="0.35">
      <c r="A530">
        <v>2025</v>
      </c>
      <c r="B530">
        <v>10</v>
      </c>
      <c r="C530" t="s">
        <v>73</v>
      </c>
      <c r="D530" t="s">
        <v>180</v>
      </c>
      <c r="E530" t="s">
        <v>181</v>
      </c>
      <c r="F530">
        <v>4547</v>
      </c>
      <c r="G530">
        <v>324201</v>
      </c>
      <c r="H530">
        <v>316442</v>
      </c>
      <c r="I530">
        <v>260064</v>
      </c>
      <c r="J530">
        <v>466517</v>
      </c>
      <c r="K530">
        <v>285986</v>
      </c>
      <c r="L530">
        <v>350052</v>
      </c>
    </row>
    <row r="531" spans="1:12" x14ac:dyDescent="0.35">
      <c r="A531">
        <v>2025</v>
      </c>
      <c r="B531">
        <v>10</v>
      </c>
      <c r="C531" t="s">
        <v>73</v>
      </c>
      <c r="D531" t="s">
        <v>182</v>
      </c>
      <c r="E531" t="s">
        <v>183</v>
      </c>
      <c r="F531">
        <v>144</v>
      </c>
      <c r="G531">
        <v>357672</v>
      </c>
      <c r="H531">
        <v>342230</v>
      </c>
      <c r="I531">
        <v>262564</v>
      </c>
      <c r="J531">
        <v>465729</v>
      </c>
      <c r="K531">
        <v>313019</v>
      </c>
      <c r="L531">
        <v>402219</v>
      </c>
    </row>
    <row r="532" spans="1:12" x14ac:dyDescent="0.35">
      <c r="A532">
        <v>2025</v>
      </c>
      <c r="B532">
        <v>10</v>
      </c>
      <c r="C532" t="s">
        <v>73</v>
      </c>
      <c r="D532" t="s">
        <v>184</v>
      </c>
      <c r="E532" t="s">
        <v>185</v>
      </c>
      <c r="F532">
        <v>2</v>
      </c>
      <c r="G532">
        <v>378796</v>
      </c>
      <c r="H532">
        <v>378796</v>
      </c>
      <c r="I532">
        <v>340655</v>
      </c>
      <c r="J532">
        <v>416936</v>
      </c>
      <c r="K532">
        <v>340655</v>
      </c>
      <c r="L532">
        <v>416936</v>
      </c>
    </row>
    <row r="533" spans="1:12" x14ac:dyDescent="0.35">
      <c r="A533">
        <v>2025</v>
      </c>
      <c r="B533">
        <v>10</v>
      </c>
      <c r="C533" t="s">
        <v>73</v>
      </c>
      <c r="D533" t="s">
        <v>186</v>
      </c>
      <c r="E533" t="s">
        <v>187</v>
      </c>
      <c r="F533">
        <v>1028</v>
      </c>
      <c r="G533">
        <v>290805</v>
      </c>
      <c r="H533">
        <v>290752</v>
      </c>
      <c r="I533">
        <v>260064</v>
      </c>
      <c r="J533">
        <v>510348</v>
      </c>
      <c r="K533">
        <v>275986</v>
      </c>
      <c r="L533">
        <v>298486</v>
      </c>
    </row>
    <row r="534" spans="1:12" x14ac:dyDescent="0.35">
      <c r="A534">
        <v>2025</v>
      </c>
      <c r="B534">
        <v>10</v>
      </c>
      <c r="C534" t="s">
        <v>73</v>
      </c>
      <c r="D534" t="s">
        <v>188</v>
      </c>
      <c r="E534" t="s">
        <v>189</v>
      </c>
      <c r="F534">
        <v>976</v>
      </c>
      <c r="G534">
        <v>413734</v>
      </c>
      <c r="H534">
        <v>392404</v>
      </c>
      <c r="I534">
        <v>309915</v>
      </c>
      <c r="J534">
        <v>698145</v>
      </c>
      <c r="K534">
        <v>363241</v>
      </c>
      <c r="L534">
        <v>453414</v>
      </c>
    </row>
    <row r="535" spans="1:12" x14ac:dyDescent="0.35">
      <c r="A535">
        <v>2025</v>
      </c>
      <c r="B535">
        <v>10</v>
      </c>
      <c r="C535" t="s">
        <v>73</v>
      </c>
      <c r="D535" t="s">
        <v>190</v>
      </c>
      <c r="E535" t="s">
        <v>191</v>
      </c>
      <c r="F535">
        <v>16718</v>
      </c>
      <c r="G535">
        <v>274043</v>
      </c>
      <c r="H535">
        <v>248634</v>
      </c>
      <c r="I535">
        <v>191418</v>
      </c>
      <c r="J535">
        <v>643538</v>
      </c>
      <c r="K535">
        <v>216922</v>
      </c>
      <c r="L535">
        <v>313019</v>
      </c>
    </row>
    <row r="536" spans="1:12" x14ac:dyDescent="0.35">
      <c r="A536">
        <v>2025</v>
      </c>
      <c r="B536">
        <v>10</v>
      </c>
      <c r="C536" t="s">
        <v>73</v>
      </c>
      <c r="D536" t="s">
        <v>192</v>
      </c>
      <c r="E536" t="s">
        <v>193</v>
      </c>
      <c r="F536">
        <v>134</v>
      </c>
      <c r="G536">
        <v>331313</v>
      </c>
      <c r="H536">
        <v>326442</v>
      </c>
      <c r="I536">
        <v>270986</v>
      </c>
      <c r="J536">
        <v>435643</v>
      </c>
      <c r="K536">
        <v>308019</v>
      </c>
      <c r="L536">
        <v>343942</v>
      </c>
    </row>
    <row r="537" spans="1:12" x14ac:dyDescent="0.35">
      <c r="A537">
        <v>2025</v>
      </c>
      <c r="B537">
        <v>10</v>
      </c>
      <c r="C537" t="s">
        <v>73</v>
      </c>
      <c r="D537" t="s">
        <v>194</v>
      </c>
      <c r="E537" t="s">
        <v>195</v>
      </c>
      <c r="F537">
        <v>3504</v>
      </c>
      <c r="G537">
        <v>290309</v>
      </c>
      <c r="H537">
        <v>270950</v>
      </c>
      <c r="I537">
        <v>208868</v>
      </c>
      <c r="J537">
        <v>590804</v>
      </c>
      <c r="K537">
        <v>238450</v>
      </c>
      <c r="L537">
        <v>325986</v>
      </c>
    </row>
    <row r="538" spans="1:12" x14ac:dyDescent="0.35">
      <c r="A538">
        <v>2025</v>
      </c>
      <c r="B538">
        <v>10</v>
      </c>
      <c r="C538" t="s">
        <v>73</v>
      </c>
      <c r="D538" t="s">
        <v>196</v>
      </c>
      <c r="E538" t="s">
        <v>197</v>
      </c>
      <c r="F538">
        <v>2500</v>
      </c>
      <c r="G538">
        <v>331128</v>
      </c>
      <c r="H538">
        <v>321030</v>
      </c>
      <c r="I538">
        <v>206553</v>
      </c>
      <c r="J538">
        <v>588304</v>
      </c>
      <c r="K538">
        <v>275988</v>
      </c>
      <c r="L538">
        <v>399485</v>
      </c>
    </row>
    <row r="539" spans="1:12" x14ac:dyDescent="0.35">
      <c r="A539">
        <v>2025</v>
      </c>
      <c r="B539">
        <v>10</v>
      </c>
      <c r="C539" t="s">
        <v>73</v>
      </c>
      <c r="D539" t="s">
        <v>198</v>
      </c>
      <c r="E539" t="s">
        <v>199</v>
      </c>
      <c r="F539">
        <v>252</v>
      </c>
      <c r="G539">
        <v>411871</v>
      </c>
      <c r="H539">
        <v>416936</v>
      </c>
      <c r="I539">
        <v>313573</v>
      </c>
      <c r="J539">
        <v>560015</v>
      </c>
      <c r="K539">
        <v>399485</v>
      </c>
      <c r="L539">
        <v>431936</v>
      </c>
    </row>
    <row r="540" spans="1:12" x14ac:dyDescent="0.35">
      <c r="A540">
        <v>2025</v>
      </c>
      <c r="B540">
        <v>10</v>
      </c>
      <c r="C540" t="s">
        <v>73</v>
      </c>
      <c r="D540" t="s">
        <v>200</v>
      </c>
      <c r="E540" t="s">
        <v>201</v>
      </c>
      <c r="F540">
        <v>501</v>
      </c>
      <c r="G540">
        <v>352720</v>
      </c>
      <c r="H540">
        <v>335790</v>
      </c>
      <c r="I540">
        <v>270988</v>
      </c>
      <c r="J540">
        <v>482997</v>
      </c>
      <c r="K540">
        <v>308019</v>
      </c>
      <c r="L540">
        <v>400643</v>
      </c>
    </row>
    <row r="541" spans="1:12" x14ac:dyDescent="0.35">
      <c r="A541">
        <v>2025</v>
      </c>
      <c r="B541">
        <v>10</v>
      </c>
      <c r="C541" t="s">
        <v>73</v>
      </c>
      <c r="D541" t="s">
        <v>202</v>
      </c>
      <c r="E541" t="s">
        <v>203</v>
      </c>
      <c r="F541">
        <v>1104</v>
      </c>
      <c r="G541">
        <v>306036</v>
      </c>
      <c r="H541">
        <v>298252</v>
      </c>
      <c r="I541">
        <v>191418</v>
      </c>
      <c r="J541">
        <v>450729</v>
      </c>
      <c r="K541">
        <v>269275</v>
      </c>
      <c r="L541">
        <v>341442</v>
      </c>
    </row>
    <row r="542" spans="1:12" x14ac:dyDescent="0.35">
      <c r="A542">
        <v>2025</v>
      </c>
      <c r="B542">
        <v>10</v>
      </c>
      <c r="C542" t="s">
        <v>73</v>
      </c>
      <c r="D542" t="s">
        <v>204</v>
      </c>
      <c r="E542" t="s">
        <v>205</v>
      </c>
      <c r="F542">
        <v>348</v>
      </c>
      <c r="G542">
        <v>382241</v>
      </c>
      <c r="H542">
        <v>384719</v>
      </c>
      <c r="I542">
        <v>262564</v>
      </c>
      <c r="J542">
        <v>568304</v>
      </c>
      <c r="K542">
        <v>333155</v>
      </c>
      <c r="L542">
        <v>429719</v>
      </c>
    </row>
    <row r="543" spans="1:12" x14ac:dyDescent="0.35">
      <c r="A543">
        <v>2025</v>
      </c>
      <c r="B543">
        <v>10</v>
      </c>
      <c r="C543" t="s">
        <v>73</v>
      </c>
      <c r="D543" t="s">
        <v>206</v>
      </c>
      <c r="E543" t="s">
        <v>207</v>
      </c>
      <c r="F543">
        <v>3493</v>
      </c>
      <c r="G543">
        <v>294511</v>
      </c>
      <c r="H543">
        <v>290752</v>
      </c>
      <c r="I543">
        <v>246824</v>
      </c>
      <c r="J543">
        <v>458463</v>
      </c>
      <c r="K543">
        <v>275986</v>
      </c>
      <c r="L543">
        <v>305752</v>
      </c>
    </row>
    <row r="544" spans="1:12" x14ac:dyDescent="0.35">
      <c r="A544">
        <v>2025</v>
      </c>
      <c r="B544">
        <v>10</v>
      </c>
      <c r="C544" t="s">
        <v>73</v>
      </c>
      <c r="D544" t="s">
        <v>208</v>
      </c>
      <c r="E544" t="s">
        <v>209</v>
      </c>
      <c r="F544">
        <v>5</v>
      </c>
      <c r="G544">
        <v>262573</v>
      </c>
      <c r="H544">
        <v>262797</v>
      </c>
      <c r="I544">
        <v>255297</v>
      </c>
      <c r="J544">
        <v>266590</v>
      </c>
      <c r="K544">
        <v>261590</v>
      </c>
      <c r="L544">
        <v>266590</v>
      </c>
    </row>
    <row r="545" spans="1:12" x14ac:dyDescent="0.35">
      <c r="A545">
        <v>2025</v>
      </c>
      <c r="B545">
        <v>10</v>
      </c>
      <c r="C545" t="s">
        <v>73</v>
      </c>
      <c r="D545" t="s">
        <v>210</v>
      </c>
      <c r="E545" t="s">
        <v>211</v>
      </c>
      <c r="F545">
        <v>38</v>
      </c>
      <c r="G545">
        <v>274040</v>
      </c>
      <c r="H545">
        <v>262564</v>
      </c>
      <c r="I545">
        <v>260064</v>
      </c>
      <c r="J545">
        <v>398143</v>
      </c>
      <c r="K545">
        <v>262564</v>
      </c>
      <c r="L545">
        <v>270064</v>
      </c>
    </row>
    <row r="546" spans="1:12" x14ac:dyDescent="0.35">
      <c r="A546">
        <v>2025</v>
      </c>
      <c r="B546">
        <v>11</v>
      </c>
      <c r="C546" t="s">
        <v>74</v>
      </c>
      <c r="D546" t="s">
        <v>164</v>
      </c>
      <c r="E546" t="s">
        <v>165</v>
      </c>
      <c r="F546">
        <v>94</v>
      </c>
      <c r="G546">
        <v>310564</v>
      </c>
      <c r="H546">
        <v>313136</v>
      </c>
      <c r="I546">
        <v>262564</v>
      </c>
      <c r="J546">
        <v>378474</v>
      </c>
      <c r="K546">
        <v>298252</v>
      </c>
      <c r="L546">
        <v>326442</v>
      </c>
    </row>
    <row r="547" spans="1:12" x14ac:dyDescent="0.35">
      <c r="A547">
        <v>2025</v>
      </c>
      <c r="B547">
        <v>11</v>
      </c>
      <c r="C547" t="s">
        <v>74</v>
      </c>
      <c r="D547" t="s">
        <v>166</v>
      </c>
      <c r="E547" t="s">
        <v>167</v>
      </c>
      <c r="F547">
        <v>3266</v>
      </c>
      <c r="G547">
        <v>252826</v>
      </c>
      <c r="H547">
        <v>235672</v>
      </c>
      <c r="I547">
        <v>191418</v>
      </c>
      <c r="J547">
        <v>465963</v>
      </c>
      <c r="K547">
        <v>212895</v>
      </c>
      <c r="L547">
        <v>283486</v>
      </c>
    </row>
    <row r="548" spans="1:12" x14ac:dyDescent="0.35">
      <c r="A548">
        <v>2025</v>
      </c>
      <c r="B548">
        <v>11</v>
      </c>
      <c r="C548" t="s">
        <v>74</v>
      </c>
      <c r="D548" t="s">
        <v>168</v>
      </c>
      <c r="E548" t="s">
        <v>169</v>
      </c>
      <c r="F548">
        <v>58</v>
      </c>
      <c r="G548">
        <v>292609</v>
      </c>
      <c r="H548">
        <v>283486</v>
      </c>
      <c r="I548">
        <v>262564</v>
      </c>
      <c r="J548">
        <v>348942</v>
      </c>
      <c r="K548">
        <v>275986</v>
      </c>
      <c r="L548">
        <v>305519</v>
      </c>
    </row>
    <row r="549" spans="1:12" x14ac:dyDescent="0.35">
      <c r="A549">
        <v>2025</v>
      </c>
      <c r="B549">
        <v>11</v>
      </c>
      <c r="C549" t="s">
        <v>74</v>
      </c>
      <c r="D549" t="s">
        <v>170</v>
      </c>
      <c r="E549" t="s">
        <v>171</v>
      </c>
      <c r="F549">
        <v>20</v>
      </c>
      <c r="G549">
        <v>294879</v>
      </c>
      <c r="H549">
        <v>298252</v>
      </c>
      <c r="I549">
        <v>262564</v>
      </c>
      <c r="J549">
        <v>315519</v>
      </c>
      <c r="K549">
        <v>285986</v>
      </c>
      <c r="L549">
        <v>305752</v>
      </c>
    </row>
    <row r="550" spans="1:12" x14ac:dyDescent="0.35">
      <c r="A550">
        <v>2025</v>
      </c>
      <c r="B550">
        <v>11</v>
      </c>
      <c r="C550" t="s">
        <v>74</v>
      </c>
      <c r="D550" t="s">
        <v>212</v>
      </c>
      <c r="E550" t="s">
        <v>213</v>
      </c>
      <c r="F550">
        <v>1</v>
      </c>
      <c r="G550">
        <v>423723</v>
      </c>
      <c r="H550">
        <v>423723</v>
      </c>
      <c r="I550">
        <v>423723</v>
      </c>
      <c r="J550">
        <v>423723</v>
      </c>
      <c r="K550">
        <v>423723</v>
      </c>
      <c r="L550">
        <v>423723</v>
      </c>
    </row>
    <row r="551" spans="1:12" x14ac:dyDescent="0.35">
      <c r="A551">
        <v>2025</v>
      </c>
      <c r="B551">
        <v>11</v>
      </c>
      <c r="C551" t="s">
        <v>74</v>
      </c>
      <c r="D551" t="s">
        <v>172</v>
      </c>
      <c r="E551" t="s">
        <v>173</v>
      </c>
      <c r="F551">
        <v>734</v>
      </c>
      <c r="G551">
        <v>241222</v>
      </c>
      <c r="H551">
        <v>240648</v>
      </c>
      <c r="I551">
        <v>207526</v>
      </c>
      <c r="J551">
        <v>289324</v>
      </c>
      <c r="K551">
        <v>227897</v>
      </c>
      <c r="L551">
        <v>252526</v>
      </c>
    </row>
    <row r="552" spans="1:12" x14ac:dyDescent="0.35">
      <c r="A552">
        <v>2025</v>
      </c>
      <c r="B552">
        <v>11</v>
      </c>
      <c r="C552" t="s">
        <v>74</v>
      </c>
      <c r="D552" t="s">
        <v>174</v>
      </c>
      <c r="E552" t="s">
        <v>175</v>
      </c>
      <c r="F552">
        <v>148</v>
      </c>
      <c r="G552">
        <v>292279</v>
      </c>
      <c r="H552">
        <v>290752</v>
      </c>
      <c r="I552">
        <v>262564</v>
      </c>
      <c r="J552">
        <v>436840</v>
      </c>
      <c r="K552">
        <v>275986</v>
      </c>
      <c r="L552">
        <v>305519</v>
      </c>
    </row>
    <row r="553" spans="1:12" x14ac:dyDescent="0.35">
      <c r="A553">
        <v>2025</v>
      </c>
      <c r="B553">
        <v>11</v>
      </c>
      <c r="C553" t="s">
        <v>74</v>
      </c>
      <c r="D553" t="s">
        <v>176</v>
      </c>
      <c r="E553" t="s">
        <v>177</v>
      </c>
      <c r="F553">
        <v>5</v>
      </c>
      <c r="G553">
        <v>381174</v>
      </c>
      <c r="H553">
        <v>388795</v>
      </c>
      <c r="I553">
        <v>293486</v>
      </c>
      <c r="J553">
        <v>445729</v>
      </c>
      <c r="K553">
        <v>384719</v>
      </c>
      <c r="L553">
        <v>393143</v>
      </c>
    </row>
    <row r="554" spans="1:12" x14ac:dyDescent="0.35">
      <c r="A554">
        <v>2025</v>
      </c>
      <c r="B554">
        <v>11</v>
      </c>
      <c r="C554" t="s">
        <v>74</v>
      </c>
      <c r="D554" t="s">
        <v>178</v>
      </c>
      <c r="E554" t="s">
        <v>179</v>
      </c>
      <c r="F554">
        <v>30</v>
      </c>
      <c r="G554">
        <v>292827</v>
      </c>
      <c r="H554">
        <v>290752</v>
      </c>
      <c r="I554">
        <v>262564</v>
      </c>
      <c r="J554">
        <v>320752</v>
      </c>
      <c r="K554">
        <v>290752</v>
      </c>
      <c r="L554">
        <v>298252</v>
      </c>
    </row>
    <row r="555" spans="1:12" x14ac:dyDescent="0.35">
      <c r="A555">
        <v>2025</v>
      </c>
      <c r="B555">
        <v>11</v>
      </c>
      <c r="C555" t="s">
        <v>74</v>
      </c>
      <c r="D555" t="s">
        <v>214</v>
      </c>
      <c r="E555" t="s">
        <v>215</v>
      </c>
      <c r="F555">
        <v>1048</v>
      </c>
      <c r="G555">
        <v>245431</v>
      </c>
      <c r="H555">
        <v>241202</v>
      </c>
      <c r="I555">
        <v>223636</v>
      </c>
      <c r="J555">
        <v>317046</v>
      </c>
      <c r="K555">
        <v>228636</v>
      </c>
      <c r="L555">
        <v>258351</v>
      </c>
    </row>
    <row r="556" spans="1:12" x14ac:dyDescent="0.35">
      <c r="A556">
        <v>2025</v>
      </c>
      <c r="B556">
        <v>11</v>
      </c>
      <c r="C556" t="s">
        <v>74</v>
      </c>
      <c r="D556" t="s">
        <v>180</v>
      </c>
      <c r="E556" t="s">
        <v>181</v>
      </c>
      <c r="F556">
        <v>4581</v>
      </c>
      <c r="G556">
        <v>323957</v>
      </c>
      <c r="H556">
        <v>316442</v>
      </c>
      <c r="I556">
        <v>260064</v>
      </c>
      <c r="J556">
        <v>466517</v>
      </c>
      <c r="K556">
        <v>285986</v>
      </c>
      <c r="L556">
        <v>350052</v>
      </c>
    </row>
    <row r="557" spans="1:12" x14ac:dyDescent="0.35">
      <c r="A557">
        <v>2025</v>
      </c>
      <c r="B557">
        <v>11</v>
      </c>
      <c r="C557" t="s">
        <v>74</v>
      </c>
      <c r="D557" t="s">
        <v>182</v>
      </c>
      <c r="E557" t="s">
        <v>183</v>
      </c>
      <c r="F557">
        <v>144</v>
      </c>
      <c r="G557">
        <v>357908</v>
      </c>
      <c r="H557">
        <v>342230</v>
      </c>
      <c r="I557">
        <v>262564</v>
      </c>
      <c r="J557">
        <v>465729</v>
      </c>
      <c r="K557">
        <v>313019</v>
      </c>
      <c r="L557">
        <v>402219</v>
      </c>
    </row>
    <row r="558" spans="1:12" x14ac:dyDescent="0.35">
      <c r="A558">
        <v>2025</v>
      </c>
      <c r="B558">
        <v>11</v>
      </c>
      <c r="C558" t="s">
        <v>74</v>
      </c>
      <c r="D558" t="s">
        <v>184</v>
      </c>
      <c r="E558" t="s">
        <v>185</v>
      </c>
      <c r="F558">
        <v>2</v>
      </c>
      <c r="G558">
        <v>378796</v>
      </c>
      <c r="H558">
        <v>378796</v>
      </c>
      <c r="I558">
        <v>340655</v>
      </c>
      <c r="J558">
        <v>416936</v>
      </c>
      <c r="K558">
        <v>340655</v>
      </c>
      <c r="L558">
        <v>416936</v>
      </c>
    </row>
    <row r="559" spans="1:12" x14ac:dyDescent="0.35">
      <c r="A559">
        <v>2025</v>
      </c>
      <c r="B559">
        <v>11</v>
      </c>
      <c r="C559" t="s">
        <v>74</v>
      </c>
      <c r="D559" t="s">
        <v>186</v>
      </c>
      <c r="E559" t="s">
        <v>187</v>
      </c>
      <c r="F559">
        <v>1030</v>
      </c>
      <c r="G559">
        <v>291558</v>
      </c>
      <c r="H559">
        <v>290752</v>
      </c>
      <c r="I559">
        <v>260064</v>
      </c>
      <c r="J559">
        <v>510348</v>
      </c>
      <c r="K559">
        <v>275986</v>
      </c>
      <c r="L559">
        <v>300752</v>
      </c>
    </row>
    <row r="560" spans="1:12" x14ac:dyDescent="0.35">
      <c r="A560">
        <v>2025</v>
      </c>
      <c r="B560">
        <v>11</v>
      </c>
      <c r="C560" t="s">
        <v>74</v>
      </c>
      <c r="D560" t="s">
        <v>188</v>
      </c>
      <c r="E560" t="s">
        <v>189</v>
      </c>
      <c r="F560">
        <v>976</v>
      </c>
      <c r="G560">
        <v>413821</v>
      </c>
      <c r="H560">
        <v>392404</v>
      </c>
      <c r="I560">
        <v>309915</v>
      </c>
      <c r="J560">
        <v>698145</v>
      </c>
      <c r="K560">
        <v>363241</v>
      </c>
      <c r="L560">
        <v>453414</v>
      </c>
    </row>
    <row r="561" spans="1:12" x14ac:dyDescent="0.35">
      <c r="A561">
        <v>2025</v>
      </c>
      <c r="B561">
        <v>11</v>
      </c>
      <c r="C561" t="s">
        <v>74</v>
      </c>
      <c r="D561" t="s">
        <v>190</v>
      </c>
      <c r="E561" t="s">
        <v>191</v>
      </c>
      <c r="F561">
        <v>16776</v>
      </c>
      <c r="G561">
        <v>273982</v>
      </c>
      <c r="H561">
        <v>248634</v>
      </c>
      <c r="I561">
        <v>191418</v>
      </c>
      <c r="J561">
        <v>643538</v>
      </c>
      <c r="K561">
        <v>216922</v>
      </c>
      <c r="L561">
        <v>313019</v>
      </c>
    </row>
    <row r="562" spans="1:12" x14ac:dyDescent="0.35">
      <c r="A562">
        <v>2025</v>
      </c>
      <c r="B562">
        <v>11</v>
      </c>
      <c r="C562" t="s">
        <v>74</v>
      </c>
      <c r="D562" t="s">
        <v>192</v>
      </c>
      <c r="E562" t="s">
        <v>193</v>
      </c>
      <c r="F562">
        <v>134</v>
      </c>
      <c r="G562">
        <v>331594</v>
      </c>
      <c r="H562">
        <v>326442</v>
      </c>
      <c r="I562">
        <v>270986</v>
      </c>
      <c r="J562">
        <v>435643</v>
      </c>
      <c r="K562">
        <v>308019</v>
      </c>
      <c r="L562">
        <v>343942</v>
      </c>
    </row>
    <row r="563" spans="1:12" x14ac:dyDescent="0.35">
      <c r="A563">
        <v>2025</v>
      </c>
      <c r="B563">
        <v>11</v>
      </c>
      <c r="C563" t="s">
        <v>74</v>
      </c>
      <c r="D563" t="s">
        <v>194</v>
      </c>
      <c r="E563" t="s">
        <v>195</v>
      </c>
      <c r="F563">
        <v>3504</v>
      </c>
      <c r="G563">
        <v>290593</v>
      </c>
      <c r="H563">
        <v>270950</v>
      </c>
      <c r="I563">
        <v>208868</v>
      </c>
      <c r="J563">
        <v>590804</v>
      </c>
      <c r="K563">
        <v>238450</v>
      </c>
      <c r="L563">
        <v>325986</v>
      </c>
    </row>
    <row r="564" spans="1:12" x14ac:dyDescent="0.35">
      <c r="A564">
        <v>2025</v>
      </c>
      <c r="B564">
        <v>11</v>
      </c>
      <c r="C564" t="s">
        <v>74</v>
      </c>
      <c r="D564" t="s">
        <v>196</v>
      </c>
      <c r="E564" t="s">
        <v>197</v>
      </c>
      <c r="F564">
        <v>2497</v>
      </c>
      <c r="G564">
        <v>331106</v>
      </c>
      <c r="H564">
        <v>321442</v>
      </c>
      <c r="I564">
        <v>206553</v>
      </c>
      <c r="J564">
        <v>588304</v>
      </c>
      <c r="K564">
        <v>275988</v>
      </c>
      <c r="L564">
        <v>399485</v>
      </c>
    </row>
    <row r="565" spans="1:12" x14ac:dyDescent="0.35">
      <c r="A565">
        <v>2025</v>
      </c>
      <c r="B565">
        <v>11</v>
      </c>
      <c r="C565" t="s">
        <v>74</v>
      </c>
      <c r="D565" t="s">
        <v>198</v>
      </c>
      <c r="E565" t="s">
        <v>199</v>
      </c>
      <c r="F565">
        <v>255</v>
      </c>
      <c r="G565">
        <v>411928</v>
      </c>
      <c r="H565">
        <v>416936</v>
      </c>
      <c r="I565">
        <v>313573</v>
      </c>
      <c r="J565">
        <v>560015</v>
      </c>
      <c r="K565">
        <v>399485</v>
      </c>
      <c r="L565">
        <v>431936</v>
      </c>
    </row>
    <row r="566" spans="1:12" x14ac:dyDescent="0.35">
      <c r="A566">
        <v>2025</v>
      </c>
      <c r="B566">
        <v>11</v>
      </c>
      <c r="C566" t="s">
        <v>74</v>
      </c>
      <c r="D566" t="s">
        <v>200</v>
      </c>
      <c r="E566" t="s">
        <v>201</v>
      </c>
      <c r="F566">
        <v>500</v>
      </c>
      <c r="G566">
        <v>353649</v>
      </c>
      <c r="H566">
        <v>336116</v>
      </c>
      <c r="I566">
        <v>270988</v>
      </c>
      <c r="J566">
        <v>482997</v>
      </c>
      <c r="K566">
        <v>308019</v>
      </c>
      <c r="L566">
        <v>401985</v>
      </c>
    </row>
    <row r="567" spans="1:12" x14ac:dyDescent="0.35">
      <c r="A567">
        <v>2025</v>
      </c>
      <c r="B567">
        <v>11</v>
      </c>
      <c r="C567" t="s">
        <v>74</v>
      </c>
      <c r="D567" t="s">
        <v>202</v>
      </c>
      <c r="E567" t="s">
        <v>203</v>
      </c>
      <c r="F567">
        <v>1108</v>
      </c>
      <c r="G567">
        <v>305220</v>
      </c>
      <c r="H567">
        <v>297144</v>
      </c>
      <c r="I567">
        <v>191418</v>
      </c>
      <c r="J567">
        <v>451517</v>
      </c>
      <c r="K567">
        <v>269275</v>
      </c>
      <c r="L567">
        <v>336442</v>
      </c>
    </row>
    <row r="568" spans="1:12" x14ac:dyDescent="0.35">
      <c r="A568">
        <v>2025</v>
      </c>
      <c r="B568">
        <v>11</v>
      </c>
      <c r="C568" t="s">
        <v>74</v>
      </c>
      <c r="D568" t="s">
        <v>204</v>
      </c>
      <c r="E568" t="s">
        <v>205</v>
      </c>
      <c r="F568">
        <v>350</v>
      </c>
      <c r="G568">
        <v>382803</v>
      </c>
      <c r="H568">
        <v>386295</v>
      </c>
      <c r="I568">
        <v>262564</v>
      </c>
      <c r="J568">
        <v>568304</v>
      </c>
      <c r="K568">
        <v>328155</v>
      </c>
      <c r="L568">
        <v>431936</v>
      </c>
    </row>
    <row r="569" spans="1:12" x14ac:dyDescent="0.35">
      <c r="A569">
        <v>2025</v>
      </c>
      <c r="B569">
        <v>11</v>
      </c>
      <c r="C569" t="s">
        <v>74</v>
      </c>
      <c r="D569" t="s">
        <v>206</v>
      </c>
      <c r="E569" t="s">
        <v>207</v>
      </c>
      <c r="F569">
        <v>3502</v>
      </c>
      <c r="G569">
        <v>294599</v>
      </c>
      <c r="H569">
        <v>290752</v>
      </c>
      <c r="I569">
        <v>246824</v>
      </c>
      <c r="J569">
        <v>458463</v>
      </c>
      <c r="K569">
        <v>275986</v>
      </c>
      <c r="L569">
        <v>305752</v>
      </c>
    </row>
    <row r="570" spans="1:12" x14ac:dyDescent="0.35">
      <c r="A570">
        <v>2025</v>
      </c>
      <c r="B570">
        <v>11</v>
      </c>
      <c r="C570" t="s">
        <v>74</v>
      </c>
      <c r="D570" t="s">
        <v>208</v>
      </c>
      <c r="E570" t="s">
        <v>209</v>
      </c>
      <c r="F570">
        <v>5</v>
      </c>
      <c r="G570">
        <v>263716</v>
      </c>
      <c r="H570">
        <v>262797</v>
      </c>
      <c r="I570">
        <v>261013</v>
      </c>
      <c r="J570">
        <v>266590</v>
      </c>
      <c r="K570">
        <v>261590</v>
      </c>
      <c r="L570">
        <v>266590</v>
      </c>
    </row>
    <row r="571" spans="1:12" x14ac:dyDescent="0.35">
      <c r="A571">
        <v>2025</v>
      </c>
      <c r="B571">
        <v>11</v>
      </c>
      <c r="C571" t="s">
        <v>74</v>
      </c>
      <c r="D571" t="s">
        <v>210</v>
      </c>
      <c r="E571" t="s">
        <v>211</v>
      </c>
      <c r="F571">
        <v>39</v>
      </c>
      <c r="G571">
        <v>275647</v>
      </c>
      <c r="H571">
        <v>262564</v>
      </c>
      <c r="I571">
        <v>260064</v>
      </c>
      <c r="J571">
        <v>442311</v>
      </c>
      <c r="K571">
        <v>262564</v>
      </c>
      <c r="L571">
        <v>277564</v>
      </c>
    </row>
    <row r="572" spans="1:12" x14ac:dyDescent="0.35">
      <c r="A572">
        <v>2025</v>
      </c>
      <c r="B572">
        <v>12</v>
      </c>
      <c r="C572" t="s">
        <v>75</v>
      </c>
      <c r="D572" t="s">
        <v>164</v>
      </c>
      <c r="E572" t="s">
        <v>165</v>
      </c>
      <c r="F572">
        <v>96</v>
      </c>
      <c r="G572">
        <v>312319</v>
      </c>
      <c r="H572">
        <v>313136</v>
      </c>
      <c r="I572">
        <v>262564</v>
      </c>
      <c r="J572">
        <v>407219</v>
      </c>
      <c r="K572">
        <v>298252</v>
      </c>
      <c r="L572">
        <v>326442</v>
      </c>
    </row>
    <row r="573" spans="1:12" x14ac:dyDescent="0.35">
      <c r="A573">
        <v>2025</v>
      </c>
      <c r="B573">
        <v>12</v>
      </c>
      <c r="C573" t="s">
        <v>75</v>
      </c>
      <c r="D573" t="s">
        <v>166</v>
      </c>
      <c r="E573" t="s">
        <v>167</v>
      </c>
      <c r="F573">
        <v>3255</v>
      </c>
      <c r="G573">
        <v>252890</v>
      </c>
      <c r="H573">
        <v>235950</v>
      </c>
      <c r="I573">
        <v>191418</v>
      </c>
      <c r="J573">
        <v>465963</v>
      </c>
      <c r="K573">
        <v>213918</v>
      </c>
      <c r="L573">
        <v>283486</v>
      </c>
    </row>
    <row r="574" spans="1:12" x14ac:dyDescent="0.35">
      <c r="A574">
        <v>2025</v>
      </c>
      <c r="B574">
        <v>12</v>
      </c>
      <c r="C574" t="s">
        <v>75</v>
      </c>
      <c r="D574" t="s">
        <v>168</v>
      </c>
      <c r="E574" t="s">
        <v>169</v>
      </c>
      <c r="F574">
        <v>58</v>
      </c>
      <c r="G574">
        <v>292609</v>
      </c>
      <c r="H574">
        <v>283486</v>
      </c>
      <c r="I574">
        <v>262564</v>
      </c>
      <c r="J574">
        <v>348942</v>
      </c>
      <c r="K574">
        <v>275986</v>
      </c>
      <c r="L574">
        <v>305519</v>
      </c>
    </row>
    <row r="575" spans="1:12" x14ac:dyDescent="0.35">
      <c r="A575">
        <v>2025</v>
      </c>
      <c r="B575">
        <v>12</v>
      </c>
      <c r="C575" t="s">
        <v>75</v>
      </c>
      <c r="D575" t="s">
        <v>170</v>
      </c>
      <c r="E575" t="s">
        <v>171</v>
      </c>
      <c r="F575">
        <v>19</v>
      </c>
      <c r="G575">
        <v>295610</v>
      </c>
      <c r="H575">
        <v>298252</v>
      </c>
      <c r="I575">
        <v>262564</v>
      </c>
      <c r="J575">
        <v>315519</v>
      </c>
      <c r="K575">
        <v>290986</v>
      </c>
      <c r="L575">
        <v>305986</v>
      </c>
    </row>
    <row r="576" spans="1:12" x14ac:dyDescent="0.35">
      <c r="A576">
        <v>2025</v>
      </c>
      <c r="B576">
        <v>12</v>
      </c>
      <c r="C576" t="s">
        <v>75</v>
      </c>
      <c r="D576" t="s">
        <v>212</v>
      </c>
      <c r="E576" t="s">
        <v>213</v>
      </c>
      <c r="F576">
        <v>1</v>
      </c>
      <c r="G576">
        <v>313942</v>
      </c>
      <c r="H576">
        <v>313942</v>
      </c>
      <c r="I576">
        <v>313942</v>
      </c>
      <c r="J576">
        <v>313942</v>
      </c>
      <c r="K576">
        <v>313942</v>
      </c>
      <c r="L576">
        <v>313942</v>
      </c>
    </row>
    <row r="577" spans="1:12" x14ac:dyDescent="0.35">
      <c r="A577">
        <v>2025</v>
      </c>
      <c r="B577">
        <v>12</v>
      </c>
      <c r="C577" t="s">
        <v>75</v>
      </c>
      <c r="D577" t="s">
        <v>172</v>
      </c>
      <c r="E577" t="s">
        <v>173</v>
      </c>
      <c r="F577">
        <v>733</v>
      </c>
      <c r="G577">
        <v>241233</v>
      </c>
      <c r="H577">
        <v>240531</v>
      </c>
      <c r="I577">
        <v>207526</v>
      </c>
      <c r="J577">
        <v>289324</v>
      </c>
      <c r="K577">
        <v>228031</v>
      </c>
      <c r="L577">
        <v>252526</v>
      </c>
    </row>
    <row r="578" spans="1:12" x14ac:dyDescent="0.35">
      <c r="A578">
        <v>2025</v>
      </c>
      <c r="B578">
        <v>12</v>
      </c>
      <c r="C578" t="s">
        <v>75</v>
      </c>
      <c r="D578" t="s">
        <v>174</v>
      </c>
      <c r="E578" t="s">
        <v>175</v>
      </c>
      <c r="F578">
        <v>149</v>
      </c>
      <c r="G578">
        <v>290614</v>
      </c>
      <c r="H578">
        <v>290752</v>
      </c>
      <c r="I578">
        <v>262564</v>
      </c>
      <c r="J578">
        <v>335519</v>
      </c>
      <c r="K578">
        <v>275986</v>
      </c>
      <c r="L578">
        <v>305519</v>
      </c>
    </row>
    <row r="579" spans="1:12" x14ac:dyDescent="0.35">
      <c r="A579">
        <v>2025</v>
      </c>
      <c r="B579">
        <v>12</v>
      </c>
      <c r="C579" t="s">
        <v>75</v>
      </c>
      <c r="D579" t="s">
        <v>176</v>
      </c>
      <c r="E579" t="s">
        <v>177</v>
      </c>
      <c r="F579">
        <v>5</v>
      </c>
      <c r="G579">
        <v>381174</v>
      </c>
      <c r="H579">
        <v>388795</v>
      </c>
      <c r="I579">
        <v>293486</v>
      </c>
      <c r="J579">
        <v>445729</v>
      </c>
      <c r="K579">
        <v>384719</v>
      </c>
      <c r="L579">
        <v>393143</v>
      </c>
    </row>
    <row r="580" spans="1:12" x14ac:dyDescent="0.35">
      <c r="A580">
        <v>2025</v>
      </c>
      <c r="B580">
        <v>12</v>
      </c>
      <c r="C580" t="s">
        <v>75</v>
      </c>
      <c r="D580" t="s">
        <v>178</v>
      </c>
      <c r="E580" t="s">
        <v>179</v>
      </c>
      <c r="F580">
        <v>30</v>
      </c>
      <c r="G580">
        <v>292827</v>
      </c>
      <c r="H580">
        <v>290752</v>
      </c>
      <c r="I580">
        <v>262564</v>
      </c>
      <c r="J580">
        <v>320752</v>
      </c>
      <c r="K580">
        <v>290752</v>
      </c>
      <c r="L580">
        <v>298252</v>
      </c>
    </row>
    <row r="581" spans="1:12" x14ac:dyDescent="0.35">
      <c r="A581">
        <v>2025</v>
      </c>
      <c r="B581">
        <v>12</v>
      </c>
      <c r="C581" t="s">
        <v>75</v>
      </c>
      <c r="D581" t="s">
        <v>214</v>
      </c>
      <c r="E581" t="s">
        <v>215</v>
      </c>
      <c r="F581">
        <v>1047</v>
      </c>
      <c r="G581">
        <v>246780</v>
      </c>
      <c r="H581">
        <v>243769</v>
      </c>
      <c r="I581">
        <v>223636</v>
      </c>
      <c r="J581">
        <v>330170</v>
      </c>
      <c r="K581">
        <v>231136</v>
      </c>
      <c r="L581">
        <v>260063</v>
      </c>
    </row>
    <row r="582" spans="1:12" x14ac:dyDescent="0.35">
      <c r="A582">
        <v>2025</v>
      </c>
      <c r="B582">
        <v>12</v>
      </c>
      <c r="C582" t="s">
        <v>75</v>
      </c>
      <c r="D582" t="s">
        <v>180</v>
      </c>
      <c r="E582" t="s">
        <v>181</v>
      </c>
      <c r="F582">
        <v>4544</v>
      </c>
      <c r="G582">
        <v>324221</v>
      </c>
      <c r="H582">
        <v>318019</v>
      </c>
      <c r="I582">
        <v>260064</v>
      </c>
      <c r="J582">
        <v>467519</v>
      </c>
      <c r="K582">
        <v>285986</v>
      </c>
      <c r="L582">
        <v>350052</v>
      </c>
    </row>
    <row r="583" spans="1:12" x14ac:dyDescent="0.35">
      <c r="A583">
        <v>2025</v>
      </c>
      <c r="B583">
        <v>12</v>
      </c>
      <c r="C583" t="s">
        <v>75</v>
      </c>
      <c r="D583" t="s">
        <v>182</v>
      </c>
      <c r="E583" t="s">
        <v>183</v>
      </c>
      <c r="F583">
        <v>144</v>
      </c>
      <c r="G583">
        <v>358524</v>
      </c>
      <c r="H583">
        <v>342786</v>
      </c>
      <c r="I583">
        <v>262564</v>
      </c>
      <c r="J583">
        <v>465729</v>
      </c>
      <c r="K583">
        <v>313019</v>
      </c>
      <c r="L583">
        <v>402219</v>
      </c>
    </row>
    <row r="584" spans="1:12" x14ac:dyDescent="0.35">
      <c r="A584">
        <v>2025</v>
      </c>
      <c r="B584">
        <v>12</v>
      </c>
      <c r="C584" t="s">
        <v>75</v>
      </c>
      <c r="D584" t="s">
        <v>184</v>
      </c>
      <c r="E584" t="s">
        <v>185</v>
      </c>
      <c r="F584">
        <v>2</v>
      </c>
      <c r="G584">
        <v>378796</v>
      </c>
      <c r="H584">
        <v>378796</v>
      </c>
      <c r="I584">
        <v>340655</v>
      </c>
      <c r="J584">
        <v>416936</v>
      </c>
      <c r="K584">
        <v>340655</v>
      </c>
      <c r="L584">
        <v>416936</v>
      </c>
    </row>
    <row r="585" spans="1:12" x14ac:dyDescent="0.35">
      <c r="A585">
        <v>2025</v>
      </c>
      <c r="B585">
        <v>12</v>
      </c>
      <c r="C585" t="s">
        <v>75</v>
      </c>
      <c r="D585" t="s">
        <v>186</v>
      </c>
      <c r="E585" t="s">
        <v>187</v>
      </c>
      <c r="F585">
        <v>1023</v>
      </c>
      <c r="G585">
        <v>291653</v>
      </c>
      <c r="H585">
        <v>290752</v>
      </c>
      <c r="I585">
        <v>260064</v>
      </c>
      <c r="J585">
        <v>510348</v>
      </c>
      <c r="K585">
        <v>275986</v>
      </c>
      <c r="L585">
        <v>300752</v>
      </c>
    </row>
    <row r="586" spans="1:12" x14ac:dyDescent="0.35">
      <c r="A586">
        <v>2025</v>
      </c>
      <c r="B586">
        <v>12</v>
      </c>
      <c r="C586" t="s">
        <v>75</v>
      </c>
      <c r="D586" t="s">
        <v>188</v>
      </c>
      <c r="E586" t="s">
        <v>189</v>
      </c>
      <c r="F586">
        <v>976</v>
      </c>
      <c r="G586">
        <v>413877</v>
      </c>
      <c r="H586">
        <v>392404</v>
      </c>
      <c r="I586">
        <v>309915</v>
      </c>
      <c r="J586">
        <v>698145</v>
      </c>
      <c r="K586">
        <v>363241</v>
      </c>
      <c r="L586">
        <v>453414</v>
      </c>
    </row>
    <row r="587" spans="1:12" x14ac:dyDescent="0.35">
      <c r="A587">
        <v>2025</v>
      </c>
      <c r="B587">
        <v>12</v>
      </c>
      <c r="C587" t="s">
        <v>75</v>
      </c>
      <c r="D587" t="s">
        <v>190</v>
      </c>
      <c r="E587" t="s">
        <v>191</v>
      </c>
      <c r="F587">
        <v>16799</v>
      </c>
      <c r="G587">
        <v>273912</v>
      </c>
      <c r="H587">
        <v>248634</v>
      </c>
      <c r="I587">
        <v>191418</v>
      </c>
      <c r="J587">
        <v>643538</v>
      </c>
      <c r="K587">
        <v>217760</v>
      </c>
      <c r="L587">
        <v>313019</v>
      </c>
    </row>
    <row r="588" spans="1:12" x14ac:dyDescent="0.35">
      <c r="A588">
        <v>2025</v>
      </c>
      <c r="B588">
        <v>12</v>
      </c>
      <c r="C588" t="s">
        <v>75</v>
      </c>
      <c r="D588" t="s">
        <v>192</v>
      </c>
      <c r="E588" t="s">
        <v>193</v>
      </c>
      <c r="F588">
        <v>132</v>
      </c>
      <c r="G588">
        <v>331034</v>
      </c>
      <c r="H588">
        <v>326442</v>
      </c>
      <c r="I588">
        <v>270986</v>
      </c>
      <c r="J588">
        <v>435643</v>
      </c>
      <c r="K588">
        <v>308019</v>
      </c>
      <c r="L588">
        <v>342552</v>
      </c>
    </row>
    <row r="589" spans="1:12" x14ac:dyDescent="0.35">
      <c r="A589">
        <v>2025</v>
      </c>
      <c r="B589">
        <v>12</v>
      </c>
      <c r="C589" t="s">
        <v>75</v>
      </c>
      <c r="D589" t="s">
        <v>194</v>
      </c>
      <c r="E589" t="s">
        <v>195</v>
      </c>
      <c r="F589">
        <v>3508</v>
      </c>
      <c r="G589">
        <v>290966</v>
      </c>
      <c r="H589">
        <v>279786</v>
      </c>
      <c r="I589">
        <v>208868</v>
      </c>
      <c r="J589">
        <v>590804</v>
      </c>
      <c r="K589">
        <v>238450</v>
      </c>
      <c r="L589">
        <v>328019</v>
      </c>
    </row>
    <row r="590" spans="1:12" x14ac:dyDescent="0.35">
      <c r="A590">
        <v>2025</v>
      </c>
      <c r="B590">
        <v>12</v>
      </c>
      <c r="C590" t="s">
        <v>75</v>
      </c>
      <c r="D590" t="s">
        <v>196</v>
      </c>
      <c r="E590" t="s">
        <v>197</v>
      </c>
      <c r="F590">
        <v>2483</v>
      </c>
      <c r="G590">
        <v>330988</v>
      </c>
      <c r="H590">
        <v>320752</v>
      </c>
      <c r="I590">
        <v>206553</v>
      </c>
      <c r="J590">
        <v>588304</v>
      </c>
      <c r="K590">
        <v>275988</v>
      </c>
      <c r="L590">
        <v>399485</v>
      </c>
    </row>
    <row r="591" spans="1:12" x14ac:dyDescent="0.35">
      <c r="A591">
        <v>2025</v>
      </c>
      <c r="B591">
        <v>12</v>
      </c>
      <c r="C591" t="s">
        <v>75</v>
      </c>
      <c r="D591" t="s">
        <v>198</v>
      </c>
      <c r="E591" t="s">
        <v>199</v>
      </c>
      <c r="F591">
        <v>257</v>
      </c>
      <c r="G591">
        <v>411403</v>
      </c>
      <c r="H591">
        <v>416936</v>
      </c>
      <c r="I591">
        <v>313573</v>
      </c>
      <c r="J591">
        <v>560015</v>
      </c>
      <c r="K591">
        <v>399485</v>
      </c>
      <c r="L591">
        <v>431936</v>
      </c>
    </row>
    <row r="592" spans="1:12" x14ac:dyDescent="0.35">
      <c r="A592">
        <v>2025</v>
      </c>
      <c r="B592">
        <v>12</v>
      </c>
      <c r="C592" t="s">
        <v>75</v>
      </c>
      <c r="D592" t="s">
        <v>200</v>
      </c>
      <c r="E592" t="s">
        <v>201</v>
      </c>
      <c r="F592">
        <v>505</v>
      </c>
      <c r="G592">
        <v>353591</v>
      </c>
      <c r="H592">
        <v>335790</v>
      </c>
      <c r="I592">
        <v>270988</v>
      </c>
      <c r="J592">
        <v>482997</v>
      </c>
      <c r="K592">
        <v>308019</v>
      </c>
      <c r="L592">
        <v>401985</v>
      </c>
    </row>
    <row r="593" spans="1:12" x14ac:dyDescent="0.35">
      <c r="A593">
        <v>2025</v>
      </c>
      <c r="B593">
        <v>12</v>
      </c>
      <c r="C593" t="s">
        <v>75</v>
      </c>
      <c r="D593" t="s">
        <v>202</v>
      </c>
      <c r="E593" t="s">
        <v>203</v>
      </c>
      <c r="F593">
        <v>1101</v>
      </c>
      <c r="G593">
        <v>305591</v>
      </c>
      <c r="H593">
        <v>298252</v>
      </c>
      <c r="I593">
        <v>191418</v>
      </c>
      <c r="J593">
        <v>451517</v>
      </c>
      <c r="K593">
        <v>269275</v>
      </c>
      <c r="L593">
        <v>336442</v>
      </c>
    </row>
    <row r="594" spans="1:12" x14ac:dyDescent="0.35">
      <c r="A594">
        <v>2025</v>
      </c>
      <c r="B594">
        <v>12</v>
      </c>
      <c r="C594" t="s">
        <v>75</v>
      </c>
      <c r="D594" t="s">
        <v>204</v>
      </c>
      <c r="E594" t="s">
        <v>205</v>
      </c>
      <c r="F594">
        <v>348</v>
      </c>
      <c r="G594">
        <v>384078</v>
      </c>
      <c r="H594">
        <v>393795</v>
      </c>
      <c r="I594">
        <v>262564</v>
      </c>
      <c r="J594">
        <v>568304</v>
      </c>
      <c r="K594">
        <v>333155</v>
      </c>
      <c r="L594">
        <v>431936</v>
      </c>
    </row>
    <row r="595" spans="1:12" x14ac:dyDescent="0.35">
      <c r="A595">
        <v>2025</v>
      </c>
      <c r="B595">
        <v>12</v>
      </c>
      <c r="C595" t="s">
        <v>75</v>
      </c>
      <c r="D595" t="s">
        <v>206</v>
      </c>
      <c r="E595" t="s">
        <v>207</v>
      </c>
      <c r="F595">
        <v>3502</v>
      </c>
      <c r="G595">
        <v>294762</v>
      </c>
      <c r="H595">
        <v>290752</v>
      </c>
      <c r="I595">
        <v>246824</v>
      </c>
      <c r="J595">
        <v>458463</v>
      </c>
      <c r="K595">
        <v>275986</v>
      </c>
      <c r="L595">
        <v>305752</v>
      </c>
    </row>
    <row r="596" spans="1:12" x14ac:dyDescent="0.35">
      <c r="A596">
        <v>2025</v>
      </c>
      <c r="B596">
        <v>12</v>
      </c>
      <c r="C596" t="s">
        <v>75</v>
      </c>
      <c r="D596" t="s">
        <v>208</v>
      </c>
      <c r="E596" t="s">
        <v>209</v>
      </c>
      <c r="F596">
        <v>5</v>
      </c>
      <c r="G596">
        <v>263378</v>
      </c>
      <c r="H596">
        <v>262797</v>
      </c>
      <c r="I596">
        <v>259324</v>
      </c>
      <c r="J596">
        <v>266590</v>
      </c>
      <c r="K596">
        <v>261590</v>
      </c>
      <c r="L596">
        <v>266590</v>
      </c>
    </row>
    <row r="597" spans="1:12" x14ac:dyDescent="0.35">
      <c r="A597">
        <v>2025</v>
      </c>
      <c r="B597">
        <v>12</v>
      </c>
      <c r="C597" t="s">
        <v>75</v>
      </c>
      <c r="D597" t="s">
        <v>210</v>
      </c>
      <c r="E597" t="s">
        <v>211</v>
      </c>
      <c r="F597">
        <v>40</v>
      </c>
      <c r="G597">
        <v>274974</v>
      </c>
      <c r="H597">
        <v>263814</v>
      </c>
      <c r="I597">
        <v>260064</v>
      </c>
      <c r="J597">
        <v>420963</v>
      </c>
      <c r="K597">
        <v>262564</v>
      </c>
      <c r="L597">
        <v>270064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1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217</v>
      </c>
      <c r="E5" t="s">
        <v>218</v>
      </c>
      <c r="F5">
        <v>2417</v>
      </c>
      <c r="G5">
        <v>293162</v>
      </c>
      <c r="H5">
        <v>285752</v>
      </c>
      <c r="I5">
        <v>229743</v>
      </c>
      <c r="J5">
        <v>450963</v>
      </c>
      <c r="K5">
        <v>262564</v>
      </c>
      <c r="L5">
        <v>315519</v>
      </c>
    </row>
    <row r="6" spans="1:12" x14ac:dyDescent="0.35">
      <c r="A6">
        <v>2024</v>
      </c>
      <c r="B6">
        <v>1</v>
      </c>
      <c r="C6" t="s">
        <v>42</v>
      </c>
      <c r="D6" t="s">
        <v>219</v>
      </c>
      <c r="E6" t="s">
        <v>220</v>
      </c>
      <c r="F6">
        <v>6</v>
      </c>
      <c r="G6">
        <v>236317</v>
      </c>
      <c r="H6">
        <v>237150</v>
      </c>
      <c r="I6">
        <v>233400</v>
      </c>
      <c r="J6">
        <v>238400</v>
      </c>
      <c r="K6">
        <v>233400</v>
      </c>
      <c r="L6">
        <v>238400</v>
      </c>
    </row>
    <row r="7" spans="1:12" x14ac:dyDescent="0.35">
      <c r="A7">
        <v>2024</v>
      </c>
      <c r="B7">
        <v>1</v>
      </c>
      <c r="C7" t="s">
        <v>42</v>
      </c>
      <c r="D7" t="s">
        <v>221</v>
      </c>
      <c r="E7" t="s">
        <v>222</v>
      </c>
      <c r="F7">
        <v>290</v>
      </c>
      <c r="G7">
        <v>338391</v>
      </c>
      <c r="H7">
        <v>305519</v>
      </c>
      <c r="I7">
        <v>262564</v>
      </c>
      <c r="J7">
        <v>565804</v>
      </c>
      <c r="K7">
        <v>278486</v>
      </c>
      <c r="L7">
        <v>398143</v>
      </c>
    </row>
    <row r="8" spans="1:12" x14ac:dyDescent="0.35">
      <c r="A8">
        <v>2024</v>
      </c>
      <c r="B8">
        <v>1</v>
      </c>
      <c r="C8" t="s">
        <v>42</v>
      </c>
      <c r="D8" t="s">
        <v>223</v>
      </c>
      <c r="E8" t="s">
        <v>224</v>
      </c>
      <c r="F8">
        <v>50</v>
      </c>
      <c r="G8">
        <v>429931</v>
      </c>
      <c r="H8">
        <v>434479</v>
      </c>
      <c r="I8">
        <v>371295</v>
      </c>
      <c r="J8">
        <v>465729</v>
      </c>
      <c r="K8">
        <v>425729</v>
      </c>
      <c r="L8">
        <v>440731</v>
      </c>
    </row>
    <row r="9" spans="1:12" x14ac:dyDescent="0.35">
      <c r="A9">
        <v>2024</v>
      </c>
      <c r="B9">
        <v>1</v>
      </c>
      <c r="C9" t="s">
        <v>42</v>
      </c>
      <c r="D9" t="s">
        <v>225</v>
      </c>
      <c r="E9" t="s">
        <v>226</v>
      </c>
      <c r="F9">
        <v>2996</v>
      </c>
      <c r="G9">
        <v>328602</v>
      </c>
      <c r="H9">
        <v>320655</v>
      </c>
      <c r="I9">
        <v>203500</v>
      </c>
      <c r="J9">
        <v>571377</v>
      </c>
      <c r="K9">
        <v>298252</v>
      </c>
      <c r="L9">
        <v>375322</v>
      </c>
    </row>
    <row r="10" spans="1:12" x14ac:dyDescent="0.35">
      <c r="A10">
        <v>2024</v>
      </c>
      <c r="B10">
        <v>1</v>
      </c>
      <c r="C10" t="s">
        <v>42</v>
      </c>
      <c r="D10" t="s">
        <v>227</v>
      </c>
      <c r="E10" t="s">
        <v>228</v>
      </c>
      <c r="F10">
        <v>287</v>
      </c>
      <c r="G10">
        <v>287953</v>
      </c>
      <c r="H10">
        <v>277564</v>
      </c>
      <c r="I10">
        <v>260064</v>
      </c>
      <c r="J10">
        <v>393795</v>
      </c>
      <c r="K10">
        <v>272564</v>
      </c>
      <c r="L10">
        <v>298252</v>
      </c>
    </row>
    <row r="11" spans="1:12" x14ac:dyDescent="0.35">
      <c r="A11">
        <v>2024</v>
      </c>
      <c r="B11">
        <v>2</v>
      </c>
      <c r="C11" t="s">
        <v>63</v>
      </c>
      <c r="D11" t="s">
        <v>217</v>
      </c>
      <c r="E11" t="s">
        <v>218</v>
      </c>
      <c r="F11">
        <v>2469</v>
      </c>
      <c r="G11">
        <v>294672</v>
      </c>
      <c r="H11">
        <v>285752</v>
      </c>
      <c r="I11">
        <v>229743</v>
      </c>
      <c r="J11">
        <v>467004</v>
      </c>
      <c r="K11">
        <v>262564</v>
      </c>
      <c r="L11">
        <v>318944</v>
      </c>
    </row>
    <row r="12" spans="1:12" x14ac:dyDescent="0.35">
      <c r="A12">
        <v>2024</v>
      </c>
      <c r="B12">
        <v>2</v>
      </c>
      <c r="C12" t="s">
        <v>63</v>
      </c>
      <c r="D12" t="s">
        <v>219</v>
      </c>
      <c r="E12" t="s">
        <v>220</v>
      </c>
      <c r="F12">
        <v>6</v>
      </c>
      <c r="G12">
        <v>236317</v>
      </c>
      <c r="H12">
        <v>237150</v>
      </c>
      <c r="I12">
        <v>233400</v>
      </c>
      <c r="J12">
        <v>238400</v>
      </c>
      <c r="K12">
        <v>233400</v>
      </c>
      <c r="L12">
        <v>238400</v>
      </c>
    </row>
    <row r="13" spans="1:12" x14ac:dyDescent="0.35">
      <c r="A13">
        <v>2024</v>
      </c>
      <c r="B13">
        <v>2</v>
      </c>
      <c r="C13" t="s">
        <v>63</v>
      </c>
      <c r="D13" t="s">
        <v>221</v>
      </c>
      <c r="E13" t="s">
        <v>222</v>
      </c>
      <c r="F13">
        <v>291</v>
      </c>
      <c r="G13">
        <v>343239</v>
      </c>
      <c r="H13">
        <v>305752</v>
      </c>
      <c r="I13">
        <v>262564</v>
      </c>
      <c r="J13">
        <v>565804</v>
      </c>
      <c r="K13">
        <v>278486</v>
      </c>
      <c r="L13">
        <v>399485</v>
      </c>
    </row>
    <row r="14" spans="1:12" x14ac:dyDescent="0.35">
      <c r="A14">
        <v>2024</v>
      </c>
      <c r="B14">
        <v>2</v>
      </c>
      <c r="C14" t="s">
        <v>63</v>
      </c>
      <c r="D14" t="s">
        <v>223</v>
      </c>
      <c r="E14" t="s">
        <v>224</v>
      </c>
      <c r="F14">
        <v>50</v>
      </c>
      <c r="G14">
        <v>430081</v>
      </c>
      <c r="H14">
        <v>435729</v>
      </c>
      <c r="I14">
        <v>371295</v>
      </c>
      <c r="J14">
        <v>465729</v>
      </c>
      <c r="K14">
        <v>425729</v>
      </c>
      <c r="L14">
        <v>443229</v>
      </c>
    </row>
    <row r="15" spans="1:12" x14ac:dyDescent="0.35">
      <c r="A15">
        <v>2024</v>
      </c>
      <c r="B15">
        <v>2</v>
      </c>
      <c r="C15" t="s">
        <v>63</v>
      </c>
      <c r="D15" t="s">
        <v>225</v>
      </c>
      <c r="E15" t="s">
        <v>226</v>
      </c>
      <c r="F15">
        <v>3039</v>
      </c>
      <c r="G15">
        <v>333379</v>
      </c>
      <c r="H15">
        <v>321073</v>
      </c>
      <c r="I15">
        <v>203500</v>
      </c>
      <c r="J15">
        <v>592374</v>
      </c>
      <c r="K15">
        <v>302836</v>
      </c>
      <c r="L15">
        <v>383197</v>
      </c>
    </row>
    <row r="16" spans="1:12" x14ac:dyDescent="0.35">
      <c r="A16">
        <v>2024</v>
      </c>
      <c r="B16">
        <v>2</v>
      </c>
      <c r="C16" t="s">
        <v>63</v>
      </c>
      <c r="D16" t="s">
        <v>227</v>
      </c>
      <c r="E16" t="s">
        <v>228</v>
      </c>
      <c r="F16">
        <v>292</v>
      </c>
      <c r="G16">
        <v>288959</v>
      </c>
      <c r="H16">
        <v>278564</v>
      </c>
      <c r="I16">
        <v>260064</v>
      </c>
      <c r="J16">
        <v>413714</v>
      </c>
      <c r="K16">
        <v>272564</v>
      </c>
      <c r="L16">
        <v>298252</v>
      </c>
    </row>
    <row r="17" spans="1:12" x14ac:dyDescent="0.35">
      <c r="A17">
        <v>2024</v>
      </c>
      <c r="B17">
        <v>2</v>
      </c>
      <c r="C17" t="s">
        <v>63</v>
      </c>
      <c r="D17" t="s">
        <v>229</v>
      </c>
      <c r="E17" t="s">
        <v>230</v>
      </c>
      <c r="F17">
        <v>7</v>
      </c>
      <c r="G17">
        <v>286727</v>
      </c>
      <c r="H17">
        <v>275988</v>
      </c>
      <c r="I17">
        <v>275988</v>
      </c>
      <c r="J17">
        <v>313575</v>
      </c>
      <c r="K17">
        <v>275988</v>
      </c>
      <c r="L17">
        <v>313575</v>
      </c>
    </row>
    <row r="18" spans="1:12" x14ac:dyDescent="0.35">
      <c r="A18">
        <v>2024</v>
      </c>
      <c r="B18">
        <v>3</v>
      </c>
      <c r="C18" t="s">
        <v>66</v>
      </c>
      <c r="D18" t="s">
        <v>217</v>
      </c>
      <c r="E18" t="s">
        <v>218</v>
      </c>
      <c r="F18">
        <v>2533</v>
      </c>
      <c r="G18">
        <v>291224</v>
      </c>
      <c r="H18">
        <v>283486</v>
      </c>
      <c r="I18">
        <v>229743</v>
      </c>
      <c r="J18">
        <v>450963</v>
      </c>
      <c r="K18">
        <v>262243</v>
      </c>
      <c r="L18">
        <v>315519</v>
      </c>
    </row>
    <row r="19" spans="1:12" x14ac:dyDescent="0.35">
      <c r="A19">
        <v>2024</v>
      </c>
      <c r="B19">
        <v>3</v>
      </c>
      <c r="C19" t="s">
        <v>66</v>
      </c>
      <c r="D19" t="s">
        <v>219</v>
      </c>
      <c r="E19" t="s">
        <v>220</v>
      </c>
      <c r="F19">
        <v>6</v>
      </c>
      <c r="G19">
        <v>236317</v>
      </c>
      <c r="H19">
        <v>237150</v>
      </c>
      <c r="I19">
        <v>233400</v>
      </c>
      <c r="J19">
        <v>238400</v>
      </c>
      <c r="K19">
        <v>233400</v>
      </c>
      <c r="L19">
        <v>238400</v>
      </c>
    </row>
    <row r="20" spans="1:12" x14ac:dyDescent="0.35">
      <c r="A20">
        <v>2024</v>
      </c>
      <c r="B20">
        <v>3</v>
      </c>
      <c r="C20" t="s">
        <v>66</v>
      </c>
      <c r="D20" t="s">
        <v>221</v>
      </c>
      <c r="E20" t="s">
        <v>222</v>
      </c>
      <c r="F20">
        <v>310</v>
      </c>
      <c r="G20">
        <v>346180</v>
      </c>
      <c r="H20">
        <v>307025</v>
      </c>
      <c r="I20">
        <v>262564</v>
      </c>
      <c r="J20">
        <v>616022</v>
      </c>
      <c r="K20">
        <v>282677</v>
      </c>
      <c r="L20">
        <v>399485</v>
      </c>
    </row>
    <row r="21" spans="1:12" x14ac:dyDescent="0.35">
      <c r="A21">
        <v>2024</v>
      </c>
      <c r="B21">
        <v>3</v>
      </c>
      <c r="C21" t="s">
        <v>66</v>
      </c>
      <c r="D21" t="s">
        <v>223</v>
      </c>
      <c r="E21" t="s">
        <v>224</v>
      </c>
      <c r="F21">
        <v>49</v>
      </c>
      <c r="G21">
        <v>429812</v>
      </c>
      <c r="H21">
        <v>435729</v>
      </c>
      <c r="I21">
        <v>371295</v>
      </c>
      <c r="J21">
        <v>465729</v>
      </c>
      <c r="K21">
        <v>425729</v>
      </c>
      <c r="L21">
        <v>440731</v>
      </c>
    </row>
    <row r="22" spans="1:12" x14ac:dyDescent="0.35">
      <c r="A22">
        <v>2024</v>
      </c>
      <c r="B22">
        <v>3</v>
      </c>
      <c r="C22" t="s">
        <v>66</v>
      </c>
      <c r="D22" t="s">
        <v>225</v>
      </c>
      <c r="E22" t="s">
        <v>226</v>
      </c>
      <c r="F22">
        <v>3106</v>
      </c>
      <c r="G22">
        <v>330553</v>
      </c>
      <c r="H22">
        <v>320336</v>
      </c>
      <c r="I22">
        <v>203500</v>
      </c>
      <c r="J22">
        <v>578980</v>
      </c>
      <c r="K22">
        <v>300519</v>
      </c>
      <c r="L22">
        <v>375322</v>
      </c>
    </row>
    <row r="23" spans="1:12" x14ac:dyDescent="0.35">
      <c r="A23">
        <v>2024</v>
      </c>
      <c r="B23">
        <v>3</v>
      </c>
      <c r="C23" t="s">
        <v>66</v>
      </c>
      <c r="D23" t="s">
        <v>227</v>
      </c>
      <c r="E23" t="s">
        <v>228</v>
      </c>
      <c r="F23">
        <v>293</v>
      </c>
      <c r="G23">
        <v>288443</v>
      </c>
      <c r="H23">
        <v>277564</v>
      </c>
      <c r="I23">
        <v>260064</v>
      </c>
      <c r="J23">
        <v>407219</v>
      </c>
      <c r="K23">
        <v>272564</v>
      </c>
      <c r="L23">
        <v>298252</v>
      </c>
    </row>
    <row r="24" spans="1:12" x14ac:dyDescent="0.35">
      <c r="A24">
        <v>2024</v>
      </c>
      <c r="B24">
        <v>3</v>
      </c>
      <c r="C24" t="s">
        <v>66</v>
      </c>
      <c r="D24" t="s">
        <v>229</v>
      </c>
      <c r="E24" t="s">
        <v>230</v>
      </c>
      <c r="F24">
        <v>63</v>
      </c>
      <c r="G24">
        <v>289471</v>
      </c>
      <c r="H24">
        <v>275988</v>
      </c>
      <c r="I24">
        <v>275988</v>
      </c>
      <c r="J24">
        <v>321075</v>
      </c>
      <c r="K24">
        <v>275988</v>
      </c>
      <c r="L24">
        <v>313575</v>
      </c>
    </row>
    <row r="25" spans="1:12" x14ac:dyDescent="0.35">
      <c r="A25">
        <v>2024</v>
      </c>
      <c r="B25">
        <v>4</v>
      </c>
      <c r="C25" t="s">
        <v>67</v>
      </c>
      <c r="D25" t="s">
        <v>217</v>
      </c>
      <c r="E25" t="s">
        <v>218</v>
      </c>
      <c r="F25">
        <v>2542</v>
      </c>
      <c r="G25">
        <v>291834</v>
      </c>
      <c r="H25">
        <v>285296</v>
      </c>
      <c r="I25">
        <v>229743</v>
      </c>
      <c r="J25">
        <v>450963</v>
      </c>
      <c r="K25">
        <v>261824</v>
      </c>
      <c r="L25">
        <v>313942</v>
      </c>
    </row>
    <row r="26" spans="1:12" x14ac:dyDescent="0.35">
      <c r="A26">
        <v>2024</v>
      </c>
      <c r="B26">
        <v>4</v>
      </c>
      <c r="C26" t="s">
        <v>67</v>
      </c>
      <c r="D26" t="s">
        <v>219</v>
      </c>
      <c r="E26" t="s">
        <v>220</v>
      </c>
      <c r="F26">
        <v>6</v>
      </c>
      <c r="G26">
        <v>236317</v>
      </c>
      <c r="H26">
        <v>237150</v>
      </c>
      <c r="I26">
        <v>233400</v>
      </c>
      <c r="J26">
        <v>238400</v>
      </c>
      <c r="K26">
        <v>233400</v>
      </c>
      <c r="L26">
        <v>238400</v>
      </c>
    </row>
    <row r="27" spans="1:12" x14ac:dyDescent="0.35">
      <c r="A27">
        <v>2024</v>
      </c>
      <c r="B27">
        <v>4</v>
      </c>
      <c r="C27" t="s">
        <v>67</v>
      </c>
      <c r="D27" t="s">
        <v>221</v>
      </c>
      <c r="E27" t="s">
        <v>222</v>
      </c>
      <c r="F27">
        <v>310</v>
      </c>
      <c r="G27">
        <v>345568</v>
      </c>
      <c r="H27">
        <v>308252</v>
      </c>
      <c r="I27">
        <v>260064</v>
      </c>
      <c r="J27">
        <v>580806</v>
      </c>
      <c r="K27">
        <v>285064</v>
      </c>
      <c r="L27">
        <v>399487</v>
      </c>
    </row>
    <row r="28" spans="1:12" x14ac:dyDescent="0.35">
      <c r="A28">
        <v>2024</v>
      </c>
      <c r="B28">
        <v>4</v>
      </c>
      <c r="C28" t="s">
        <v>67</v>
      </c>
      <c r="D28" t="s">
        <v>223</v>
      </c>
      <c r="E28" t="s">
        <v>224</v>
      </c>
      <c r="F28">
        <v>48</v>
      </c>
      <c r="G28">
        <v>430004</v>
      </c>
      <c r="H28">
        <v>435729</v>
      </c>
      <c r="I28">
        <v>371295</v>
      </c>
      <c r="J28">
        <v>465729</v>
      </c>
      <c r="K28">
        <v>425729</v>
      </c>
      <c r="L28">
        <v>440731</v>
      </c>
    </row>
    <row r="29" spans="1:12" x14ac:dyDescent="0.35">
      <c r="A29">
        <v>2024</v>
      </c>
      <c r="B29">
        <v>4</v>
      </c>
      <c r="C29" t="s">
        <v>67</v>
      </c>
      <c r="D29" t="s">
        <v>225</v>
      </c>
      <c r="E29" t="s">
        <v>226</v>
      </c>
      <c r="F29">
        <v>3165</v>
      </c>
      <c r="G29">
        <v>330653</v>
      </c>
      <c r="H29">
        <v>320519</v>
      </c>
      <c r="I29">
        <v>203500</v>
      </c>
      <c r="J29">
        <v>571124</v>
      </c>
      <c r="K29">
        <v>302836</v>
      </c>
      <c r="L29">
        <v>375322</v>
      </c>
    </row>
    <row r="30" spans="1:12" x14ac:dyDescent="0.35">
      <c r="A30">
        <v>2024</v>
      </c>
      <c r="B30">
        <v>4</v>
      </c>
      <c r="C30" t="s">
        <v>67</v>
      </c>
      <c r="D30" t="s">
        <v>227</v>
      </c>
      <c r="E30" t="s">
        <v>228</v>
      </c>
      <c r="F30">
        <v>297</v>
      </c>
      <c r="G30">
        <v>288197</v>
      </c>
      <c r="H30">
        <v>277564</v>
      </c>
      <c r="I30">
        <v>260064</v>
      </c>
      <c r="J30">
        <v>407219</v>
      </c>
      <c r="K30">
        <v>272564</v>
      </c>
      <c r="L30">
        <v>295519</v>
      </c>
    </row>
    <row r="31" spans="1:12" x14ac:dyDescent="0.35">
      <c r="A31">
        <v>2024</v>
      </c>
      <c r="B31">
        <v>4</v>
      </c>
      <c r="C31" t="s">
        <v>67</v>
      </c>
      <c r="D31" t="s">
        <v>229</v>
      </c>
      <c r="E31" t="s">
        <v>230</v>
      </c>
      <c r="F31">
        <v>74</v>
      </c>
      <c r="G31">
        <v>291631</v>
      </c>
      <c r="H31">
        <v>275988</v>
      </c>
      <c r="I31">
        <v>275988</v>
      </c>
      <c r="J31">
        <v>321075</v>
      </c>
      <c r="K31">
        <v>275988</v>
      </c>
      <c r="L31">
        <v>313575</v>
      </c>
    </row>
    <row r="32" spans="1:12" x14ac:dyDescent="0.35">
      <c r="A32">
        <v>2024</v>
      </c>
      <c r="B32">
        <v>5</v>
      </c>
      <c r="C32" t="s">
        <v>68</v>
      </c>
      <c r="D32" t="s">
        <v>217</v>
      </c>
      <c r="E32" t="s">
        <v>218</v>
      </c>
      <c r="F32">
        <v>2547</v>
      </c>
      <c r="G32">
        <v>291342</v>
      </c>
      <c r="H32">
        <v>284487</v>
      </c>
      <c r="I32">
        <v>229743</v>
      </c>
      <c r="J32">
        <v>450963</v>
      </c>
      <c r="K32">
        <v>261590</v>
      </c>
      <c r="L32">
        <v>313942</v>
      </c>
    </row>
    <row r="33" spans="1:12" x14ac:dyDescent="0.35">
      <c r="A33">
        <v>2024</v>
      </c>
      <c r="B33">
        <v>5</v>
      </c>
      <c r="C33" t="s">
        <v>68</v>
      </c>
      <c r="D33" t="s">
        <v>219</v>
      </c>
      <c r="E33" t="s">
        <v>220</v>
      </c>
      <c r="F33">
        <v>6</v>
      </c>
      <c r="G33">
        <v>236317</v>
      </c>
      <c r="H33">
        <v>237150</v>
      </c>
      <c r="I33">
        <v>233400</v>
      </c>
      <c r="J33">
        <v>238400</v>
      </c>
      <c r="K33">
        <v>233400</v>
      </c>
      <c r="L33">
        <v>238400</v>
      </c>
    </row>
    <row r="34" spans="1:12" x14ac:dyDescent="0.35">
      <c r="A34">
        <v>2024</v>
      </c>
      <c r="B34">
        <v>5</v>
      </c>
      <c r="C34" t="s">
        <v>68</v>
      </c>
      <c r="D34" t="s">
        <v>221</v>
      </c>
      <c r="E34" t="s">
        <v>222</v>
      </c>
      <c r="F34">
        <v>310</v>
      </c>
      <c r="G34">
        <v>345989</v>
      </c>
      <c r="H34">
        <v>307002</v>
      </c>
      <c r="I34">
        <v>260064</v>
      </c>
      <c r="J34">
        <v>586938</v>
      </c>
      <c r="K34">
        <v>285064</v>
      </c>
      <c r="L34">
        <v>399487</v>
      </c>
    </row>
    <row r="35" spans="1:12" x14ac:dyDescent="0.35">
      <c r="A35">
        <v>2024</v>
      </c>
      <c r="B35">
        <v>5</v>
      </c>
      <c r="C35" t="s">
        <v>68</v>
      </c>
      <c r="D35" t="s">
        <v>223</v>
      </c>
      <c r="E35" t="s">
        <v>224</v>
      </c>
      <c r="F35">
        <v>48</v>
      </c>
      <c r="G35">
        <v>430004</v>
      </c>
      <c r="H35">
        <v>435729</v>
      </c>
      <c r="I35">
        <v>371295</v>
      </c>
      <c r="J35">
        <v>465729</v>
      </c>
      <c r="K35">
        <v>425729</v>
      </c>
      <c r="L35">
        <v>440731</v>
      </c>
    </row>
    <row r="36" spans="1:12" x14ac:dyDescent="0.35">
      <c r="A36">
        <v>2024</v>
      </c>
      <c r="B36">
        <v>5</v>
      </c>
      <c r="C36" t="s">
        <v>68</v>
      </c>
      <c r="D36" t="s">
        <v>225</v>
      </c>
      <c r="E36" t="s">
        <v>226</v>
      </c>
      <c r="F36">
        <v>3194</v>
      </c>
      <c r="G36">
        <v>330588</v>
      </c>
      <c r="H36">
        <v>321073</v>
      </c>
      <c r="I36">
        <v>203500</v>
      </c>
      <c r="J36">
        <v>575769</v>
      </c>
      <c r="K36">
        <v>300752</v>
      </c>
      <c r="L36">
        <v>375322</v>
      </c>
    </row>
    <row r="37" spans="1:12" x14ac:dyDescent="0.35">
      <c r="A37">
        <v>2024</v>
      </c>
      <c r="B37">
        <v>5</v>
      </c>
      <c r="C37" t="s">
        <v>68</v>
      </c>
      <c r="D37" t="s">
        <v>227</v>
      </c>
      <c r="E37" t="s">
        <v>228</v>
      </c>
      <c r="F37">
        <v>299</v>
      </c>
      <c r="G37">
        <v>288170</v>
      </c>
      <c r="H37">
        <v>281724</v>
      </c>
      <c r="I37">
        <v>260064</v>
      </c>
      <c r="J37">
        <v>386295</v>
      </c>
      <c r="K37">
        <v>275064</v>
      </c>
      <c r="L37">
        <v>298252</v>
      </c>
    </row>
    <row r="38" spans="1:12" x14ac:dyDescent="0.35">
      <c r="A38">
        <v>2024</v>
      </c>
      <c r="B38">
        <v>5</v>
      </c>
      <c r="C38" t="s">
        <v>68</v>
      </c>
      <c r="D38" t="s">
        <v>229</v>
      </c>
      <c r="E38" t="s">
        <v>230</v>
      </c>
      <c r="F38">
        <v>74</v>
      </c>
      <c r="G38">
        <v>291834</v>
      </c>
      <c r="H38">
        <v>275988</v>
      </c>
      <c r="I38">
        <v>275988</v>
      </c>
      <c r="J38">
        <v>321075</v>
      </c>
      <c r="K38">
        <v>275988</v>
      </c>
      <c r="L38">
        <v>313575</v>
      </c>
    </row>
    <row r="39" spans="1:12" x14ac:dyDescent="0.35">
      <c r="A39">
        <v>2024</v>
      </c>
      <c r="B39">
        <v>6</v>
      </c>
      <c r="C39" t="s">
        <v>69</v>
      </c>
      <c r="D39" t="s">
        <v>217</v>
      </c>
      <c r="E39" t="s">
        <v>218</v>
      </c>
      <c r="F39">
        <v>2559</v>
      </c>
      <c r="G39">
        <v>291497</v>
      </c>
      <c r="H39">
        <v>285064</v>
      </c>
      <c r="I39">
        <v>229743</v>
      </c>
      <c r="J39">
        <v>459339</v>
      </c>
      <c r="K39">
        <v>260064</v>
      </c>
      <c r="L39">
        <v>313942</v>
      </c>
    </row>
    <row r="40" spans="1:12" x14ac:dyDescent="0.35">
      <c r="A40">
        <v>2024</v>
      </c>
      <c r="B40">
        <v>6</v>
      </c>
      <c r="C40" t="s">
        <v>69</v>
      </c>
      <c r="D40" t="s">
        <v>219</v>
      </c>
      <c r="E40" t="s">
        <v>220</v>
      </c>
      <c r="F40">
        <v>6</v>
      </c>
      <c r="G40">
        <v>236317</v>
      </c>
      <c r="H40">
        <v>237150</v>
      </c>
      <c r="I40">
        <v>233400</v>
      </c>
      <c r="J40">
        <v>238400</v>
      </c>
      <c r="K40">
        <v>233400</v>
      </c>
      <c r="L40">
        <v>238400</v>
      </c>
    </row>
    <row r="41" spans="1:12" x14ac:dyDescent="0.35">
      <c r="A41">
        <v>2024</v>
      </c>
      <c r="B41">
        <v>6</v>
      </c>
      <c r="C41" t="s">
        <v>69</v>
      </c>
      <c r="D41" t="s">
        <v>221</v>
      </c>
      <c r="E41" t="s">
        <v>222</v>
      </c>
      <c r="F41">
        <v>313</v>
      </c>
      <c r="G41">
        <v>345577</v>
      </c>
      <c r="H41">
        <v>305752</v>
      </c>
      <c r="I41">
        <v>260064</v>
      </c>
      <c r="J41">
        <v>580806</v>
      </c>
      <c r="K41">
        <v>287146</v>
      </c>
      <c r="L41">
        <v>399487</v>
      </c>
    </row>
    <row r="42" spans="1:12" x14ac:dyDescent="0.35">
      <c r="A42">
        <v>2024</v>
      </c>
      <c r="B42">
        <v>6</v>
      </c>
      <c r="C42" t="s">
        <v>69</v>
      </c>
      <c r="D42" t="s">
        <v>223</v>
      </c>
      <c r="E42" t="s">
        <v>224</v>
      </c>
      <c r="F42">
        <v>48</v>
      </c>
      <c r="G42">
        <v>429691</v>
      </c>
      <c r="H42">
        <v>433230</v>
      </c>
      <c r="I42">
        <v>371295</v>
      </c>
      <c r="J42">
        <v>465729</v>
      </c>
      <c r="K42">
        <v>425729</v>
      </c>
      <c r="L42">
        <v>438463</v>
      </c>
    </row>
    <row r="43" spans="1:12" x14ac:dyDescent="0.35">
      <c r="A43">
        <v>2024</v>
      </c>
      <c r="B43">
        <v>6</v>
      </c>
      <c r="C43" t="s">
        <v>69</v>
      </c>
      <c r="D43" t="s">
        <v>225</v>
      </c>
      <c r="E43" t="s">
        <v>226</v>
      </c>
      <c r="F43">
        <v>3216</v>
      </c>
      <c r="G43">
        <v>331225</v>
      </c>
      <c r="H43">
        <v>321073</v>
      </c>
      <c r="I43">
        <v>203500</v>
      </c>
      <c r="J43">
        <v>565570</v>
      </c>
      <c r="K43">
        <v>302836</v>
      </c>
      <c r="L43">
        <v>370790</v>
      </c>
    </row>
    <row r="44" spans="1:12" x14ac:dyDescent="0.35">
      <c r="A44">
        <v>2024</v>
      </c>
      <c r="B44">
        <v>6</v>
      </c>
      <c r="C44" t="s">
        <v>69</v>
      </c>
      <c r="D44" t="s">
        <v>227</v>
      </c>
      <c r="E44" t="s">
        <v>228</v>
      </c>
      <c r="F44">
        <v>300</v>
      </c>
      <c r="G44">
        <v>288534</v>
      </c>
      <c r="H44">
        <v>282334</v>
      </c>
      <c r="I44">
        <v>260064</v>
      </c>
      <c r="J44">
        <v>386295</v>
      </c>
      <c r="K44">
        <v>275986</v>
      </c>
      <c r="L44">
        <v>298252</v>
      </c>
    </row>
    <row r="45" spans="1:12" x14ac:dyDescent="0.35">
      <c r="A45">
        <v>2024</v>
      </c>
      <c r="B45">
        <v>6</v>
      </c>
      <c r="C45" t="s">
        <v>69</v>
      </c>
      <c r="D45" t="s">
        <v>229</v>
      </c>
      <c r="E45" t="s">
        <v>230</v>
      </c>
      <c r="F45">
        <v>74</v>
      </c>
      <c r="G45">
        <v>292239</v>
      </c>
      <c r="H45">
        <v>275988</v>
      </c>
      <c r="I45">
        <v>275988</v>
      </c>
      <c r="J45">
        <v>328575</v>
      </c>
      <c r="K45">
        <v>275988</v>
      </c>
      <c r="L45">
        <v>313575</v>
      </c>
    </row>
    <row r="46" spans="1:12" x14ac:dyDescent="0.35">
      <c r="A46">
        <v>2024</v>
      </c>
      <c r="B46">
        <v>7</v>
      </c>
      <c r="C46" t="s">
        <v>70</v>
      </c>
      <c r="D46" t="s">
        <v>217</v>
      </c>
      <c r="E46" t="s">
        <v>218</v>
      </c>
      <c r="F46">
        <v>2575</v>
      </c>
      <c r="G46">
        <v>292151</v>
      </c>
      <c r="H46">
        <v>285752</v>
      </c>
      <c r="I46">
        <v>229743</v>
      </c>
      <c r="J46">
        <v>464830</v>
      </c>
      <c r="K46">
        <v>259743</v>
      </c>
      <c r="L46">
        <v>313942</v>
      </c>
    </row>
    <row r="47" spans="1:12" x14ac:dyDescent="0.35">
      <c r="A47">
        <v>2024</v>
      </c>
      <c r="B47">
        <v>7</v>
      </c>
      <c r="C47" t="s">
        <v>70</v>
      </c>
      <c r="D47" t="s">
        <v>219</v>
      </c>
      <c r="E47" t="s">
        <v>220</v>
      </c>
      <c r="F47">
        <v>6</v>
      </c>
      <c r="G47">
        <v>236317</v>
      </c>
      <c r="H47">
        <v>237150</v>
      </c>
      <c r="I47">
        <v>233400</v>
      </c>
      <c r="J47">
        <v>238400</v>
      </c>
      <c r="K47">
        <v>233400</v>
      </c>
      <c r="L47">
        <v>238400</v>
      </c>
    </row>
    <row r="48" spans="1:12" x14ac:dyDescent="0.35">
      <c r="A48">
        <v>2024</v>
      </c>
      <c r="B48">
        <v>7</v>
      </c>
      <c r="C48" t="s">
        <v>70</v>
      </c>
      <c r="D48" t="s">
        <v>221</v>
      </c>
      <c r="E48" t="s">
        <v>222</v>
      </c>
      <c r="F48">
        <v>316</v>
      </c>
      <c r="G48">
        <v>346702</v>
      </c>
      <c r="H48">
        <v>305869</v>
      </c>
      <c r="I48">
        <v>260064</v>
      </c>
      <c r="J48">
        <v>603898</v>
      </c>
      <c r="K48">
        <v>285752</v>
      </c>
      <c r="L48">
        <v>399487</v>
      </c>
    </row>
    <row r="49" spans="1:12" x14ac:dyDescent="0.35">
      <c r="A49">
        <v>2024</v>
      </c>
      <c r="B49">
        <v>7</v>
      </c>
      <c r="C49" t="s">
        <v>70</v>
      </c>
      <c r="D49" t="s">
        <v>223</v>
      </c>
      <c r="E49" t="s">
        <v>224</v>
      </c>
      <c r="F49">
        <v>48</v>
      </c>
      <c r="G49">
        <v>429222</v>
      </c>
      <c r="H49">
        <v>432096</v>
      </c>
      <c r="I49">
        <v>371295</v>
      </c>
      <c r="J49">
        <v>465729</v>
      </c>
      <c r="K49">
        <v>425729</v>
      </c>
      <c r="L49">
        <v>435963</v>
      </c>
    </row>
    <row r="50" spans="1:12" x14ac:dyDescent="0.35">
      <c r="A50">
        <v>2024</v>
      </c>
      <c r="B50">
        <v>7</v>
      </c>
      <c r="C50" t="s">
        <v>70</v>
      </c>
      <c r="D50" t="s">
        <v>225</v>
      </c>
      <c r="E50" t="s">
        <v>226</v>
      </c>
      <c r="F50">
        <v>3251</v>
      </c>
      <c r="G50">
        <v>331732</v>
      </c>
      <c r="H50">
        <v>321073</v>
      </c>
      <c r="I50">
        <v>203500</v>
      </c>
      <c r="J50">
        <v>573683</v>
      </c>
      <c r="K50">
        <v>302836</v>
      </c>
      <c r="L50">
        <v>375322</v>
      </c>
    </row>
    <row r="51" spans="1:12" x14ac:dyDescent="0.35">
      <c r="A51">
        <v>2024</v>
      </c>
      <c r="B51">
        <v>7</v>
      </c>
      <c r="C51" t="s">
        <v>70</v>
      </c>
      <c r="D51" t="s">
        <v>227</v>
      </c>
      <c r="E51" t="s">
        <v>228</v>
      </c>
      <c r="F51">
        <v>303</v>
      </c>
      <c r="G51">
        <v>290709</v>
      </c>
      <c r="H51">
        <v>283486</v>
      </c>
      <c r="I51">
        <v>260064</v>
      </c>
      <c r="J51">
        <v>427052</v>
      </c>
      <c r="K51">
        <v>275986</v>
      </c>
      <c r="L51">
        <v>298486</v>
      </c>
    </row>
    <row r="52" spans="1:12" x14ac:dyDescent="0.35">
      <c r="A52">
        <v>2024</v>
      </c>
      <c r="B52">
        <v>7</v>
      </c>
      <c r="C52" t="s">
        <v>70</v>
      </c>
      <c r="D52" t="s">
        <v>229</v>
      </c>
      <c r="E52" t="s">
        <v>230</v>
      </c>
      <c r="F52">
        <v>69</v>
      </c>
      <c r="G52">
        <v>292325</v>
      </c>
      <c r="H52">
        <v>275988</v>
      </c>
      <c r="I52">
        <v>275988</v>
      </c>
      <c r="J52">
        <v>351075</v>
      </c>
      <c r="K52">
        <v>275988</v>
      </c>
      <c r="L52">
        <v>313575</v>
      </c>
    </row>
    <row r="53" spans="1:12" x14ac:dyDescent="0.35">
      <c r="A53">
        <v>2024</v>
      </c>
      <c r="B53">
        <v>8</v>
      </c>
      <c r="C53" t="s">
        <v>71</v>
      </c>
      <c r="D53" t="s">
        <v>217</v>
      </c>
      <c r="E53" t="s">
        <v>218</v>
      </c>
      <c r="F53">
        <v>2602</v>
      </c>
      <c r="G53">
        <v>294177</v>
      </c>
      <c r="H53">
        <v>285754</v>
      </c>
      <c r="I53">
        <v>229743</v>
      </c>
      <c r="J53">
        <v>466939</v>
      </c>
      <c r="K53">
        <v>261590</v>
      </c>
      <c r="L53">
        <v>318942</v>
      </c>
    </row>
    <row r="54" spans="1:12" x14ac:dyDescent="0.35">
      <c r="A54">
        <v>2024</v>
      </c>
      <c r="B54">
        <v>8</v>
      </c>
      <c r="C54" t="s">
        <v>71</v>
      </c>
      <c r="D54" t="s">
        <v>219</v>
      </c>
      <c r="E54" t="s">
        <v>220</v>
      </c>
      <c r="F54">
        <v>6</v>
      </c>
      <c r="G54">
        <v>235067</v>
      </c>
      <c r="H54">
        <v>235900</v>
      </c>
      <c r="I54">
        <v>228400</v>
      </c>
      <c r="J54">
        <v>238400</v>
      </c>
      <c r="K54">
        <v>233400</v>
      </c>
      <c r="L54">
        <v>238400</v>
      </c>
    </row>
    <row r="55" spans="1:12" x14ac:dyDescent="0.35">
      <c r="A55">
        <v>2024</v>
      </c>
      <c r="B55">
        <v>8</v>
      </c>
      <c r="C55" t="s">
        <v>71</v>
      </c>
      <c r="D55" t="s">
        <v>221</v>
      </c>
      <c r="E55" t="s">
        <v>222</v>
      </c>
      <c r="F55">
        <v>322</v>
      </c>
      <c r="G55">
        <v>345279</v>
      </c>
      <c r="H55">
        <v>305752</v>
      </c>
      <c r="I55">
        <v>260064</v>
      </c>
      <c r="J55">
        <v>595804</v>
      </c>
      <c r="K55">
        <v>285064</v>
      </c>
      <c r="L55">
        <v>399487</v>
      </c>
    </row>
    <row r="56" spans="1:12" x14ac:dyDescent="0.35">
      <c r="A56">
        <v>2024</v>
      </c>
      <c r="B56">
        <v>8</v>
      </c>
      <c r="C56" t="s">
        <v>71</v>
      </c>
      <c r="D56" t="s">
        <v>223</v>
      </c>
      <c r="E56" t="s">
        <v>224</v>
      </c>
      <c r="F56">
        <v>47</v>
      </c>
      <c r="G56">
        <v>429398</v>
      </c>
      <c r="H56">
        <v>433229</v>
      </c>
      <c r="I56">
        <v>371295</v>
      </c>
      <c r="J56">
        <v>465729</v>
      </c>
      <c r="K56">
        <v>425729</v>
      </c>
      <c r="L56">
        <v>436517</v>
      </c>
    </row>
    <row r="57" spans="1:12" x14ac:dyDescent="0.35">
      <c r="A57">
        <v>2024</v>
      </c>
      <c r="B57">
        <v>8</v>
      </c>
      <c r="C57" t="s">
        <v>71</v>
      </c>
      <c r="D57" t="s">
        <v>225</v>
      </c>
      <c r="E57" t="s">
        <v>226</v>
      </c>
      <c r="F57">
        <v>3290</v>
      </c>
      <c r="G57">
        <v>332530</v>
      </c>
      <c r="H57">
        <v>321075</v>
      </c>
      <c r="I57">
        <v>203500</v>
      </c>
      <c r="J57">
        <v>584567</v>
      </c>
      <c r="K57">
        <v>302836</v>
      </c>
      <c r="L57">
        <v>375322</v>
      </c>
    </row>
    <row r="58" spans="1:12" x14ac:dyDescent="0.35">
      <c r="A58">
        <v>2024</v>
      </c>
      <c r="B58">
        <v>8</v>
      </c>
      <c r="C58" t="s">
        <v>71</v>
      </c>
      <c r="D58" t="s">
        <v>227</v>
      </c>
      <c r="E58" t="s">
        <v>228</v>
      </c>
      <c r="F58">
        <v>311</v>
      </c>
      <c r="G58">
        <v>292601</v>
      </c>
      <c r="H58">
        <v>285064</v>
      </c>
      <c r="I58">
        <v>260064</v>
      </c>
      <c r="J58">
        <v>455328</v>
      </c>
      <c r="K58">
        <v>275986</v>
      </c>
      <c r="L58">
        <v>298486</v>
      </c>
    </row>
    <row r="59" spans="1:12" x14ac:dyDescent="0.35">
      <c r="A59">
        <v>2024</v>
      </c>
      <c r="B59">
        <v>8</v>
      </c>
      <c r="C59" t="s">
        <v>71</v>
      </c>
      <c r="D59" t="s">
        <v>229</v>
      </c>
      <c r="E59" t="s">
        <v>230</v>
      </c>
      <c r="F59">
        <v>67</v>
      </c>
      <c r="G59">
        <v>292027</v>
      </c>
      <c r="H59">
        <v>275988</v>
      </c>
      <c r="I59">
        <v>275988</v>
      </c>
      <c r="J59">
        <v>351075</v>
      </c>
      <c r="K59">
        <v>275988</v>
      </c>
      <c r="L59">
        <v>313575</v>
      </c>
    </row>
    <row r="60" spans="1:12" x14ac:dyDescent="0.35">
      <c r="A60">
        <v>2024</v>
      </c>
      <c r="B60">
        <v>9</v>
      </c>
      <c r="C60" t="s">
        <v>72</v>
      </c>
      <c r="D60" t="s">
        <v>217</v>
      </c>
      <c r="E60" t="s">
        <v>218</v>
      </c>
      <c r="F60">
        <v>2680</v>
      </c>
      <c r="G60">
        <v>291122</v>
      </c>
      <c r="H60">
        <v>283486</v>
      </c>
      <c r="I60">
        <v>229743</v>
      </c>
      <c r="J60">
        <v>450963</v>
      </c>
      <c r="K60">
        <v>259324</v>
      </c>
      <c r="L60">
        <v>313252</v>
      </c>
    </row>
    <row r="61" spans="1:12" x14ac:dyDescent="0.35">
      <c r="A61">
        <v>2024</v>
      </c>
      <c r="B61">
        <v>9</v>
      </c>
      <c r="C61" t="s">
        <v>72</v>
      </c>
      <c r="D61" t="s">
        <v>219</v>
      </c>
      <c r="E61" t="s">
        <v>220</v>
      </c>
      <c r="F61">
        <v>6</v>
      </c>
      <c r="G61">
        <v>235067</v>
      </c>
      <c r="H61">
        <v>235900</v>
      </c>
      <c r="I61">
        <v>228400</v>
      </c>
      <c r="J61">
        <v>238400</v>
      </c>
      <c r="K61">
        <v>233400</v>
      </c>
      <c r="L61">
        <v>238400</v>
      </c>
    </row>
    <row r="62" spans="1:12" x14ac:dyDescent="0.35">
      <c r="A62">
        <v>2024</v>
      </c>
      <c r="B62">
        <v>9</v>
      </c>
      <c r="C62" t="s">
        <v>72</v>
      </c>
      <c r="D62" t="s">
        <v>221</v>
      </c>
      <c r="E62" t="s">
        <v>222</v>
      </c>
      <c r="F62">
        <v>324</v>
      </c>
      <c r="G62">
        <v>344710</v>
      </c>
      <c r="H62">
        <v>305636</v>
      </c>
      <c r="I62">
        <v>260064</v>
      </c>
      <c r="J62">
        <v>595804</v>
      </c>
      <c r="K62">
        <v>285064</v>
      </c>
      <c r="L62">
        <v>399719</v>
      </c>
    </row>
    <row r="63" spans="1:12" x14ac:dyDescent="0.35">
      <c r="A63">
        <v>2024</v>
      </c>
      <c r="B63">
        <v>9</v>
      </c>
      <c r="C63" t="s">
        <v>72</v>
      </c>
      <c r="D63" t="s">
        <v>223</v>
      </c>
      <c r="E63" t="s">
        <v>224</v>
      </c>
      <c r="F63">
        <v>45</v>
      </c>
      <c r="G63">
        <v>430637</v>
      </c>
      <c r="H63">
        <v>435729</v>
      </c>
      <c r="I63">
        <v>384719</v>
      </c>
      <c r="J63">
        <v>465729</v>
      </c>
      <c r="K63">
        <v>425729</v>
      </c>
      <c r="L63">
        <v>438229</v>
      </c>
    </row>
    <row r="64" spans="1:12" x14ac:dyDescent="0.35">
      <c r="A64">
        <v>2024</v>
      </c>
      <c r="B64">
        <v>9</v>
      </c>
      <c r="C64" t="s">
        <v>72</v>
      </c>
      <c r="D64" t="s">
        <v>225</v>
      </c>
      <c r="E64" t="s">
        <v>226</v>
      </c>
      <c r="F64">
        <v>3316</v>
      </c>
      <c r="G64">
        <v>331306</v>
      </c>
      <c r="H64">
        <v>321073</v>
      </c>
      <c r="I64">
        <v>203500</v>
      </c>
      <c r="J64">
        <v>565570</v>
      </c>
      <c r="K64">
        <v>302836</v>
      </c>
      <c r="L64">
        <v>368290</v>
      </c>
    </row>
    <row r="65" spans="1:12" x14ac:dyDescent="0.35">
      <c r="A65">
        <v>2024</v>
      </c>
      <c r="B65">
        <v>9</v>
      </c>
      <c r="C65" t="s">
        <v>72</v>
      </c>
      <c r="D65" t="s">
        <v>227</v>
      </c>
      <c r="E65" t="s">
        <v>228</v>
      </c>
      <c r="F65">
        <v>317</v>
      </c>
      <c r="G65">
        <v>290721</v>
      </c>
      <c r="H65">
        <v>283486</v>
      </c>
      <c r="I65">
        <v>260064</v>
      </c>
      <c r="J65">
        <v>408795</v>
      </c>
      <c r="K65">
        <v>275986</v>
      </c>
      <c r="L65">
        <v>298252</v>
      </c>
    </row>
    <row r="66" spans="1:12" x14ac:dyDescent="0.35">
      <c r="A66">
        <v>2024</v>
      </c>
      <c r="B66">
        <v>9</v>
      </c>
      <c r="C66" t="s">
        <v>72</v>
      </c>
      <c r="D66" t="s">
        <v>229</v>
      </c>
      <c r="E66" t="s">
        <v>230</v>
      </c>
      <c r="F66">
        <v>70</v>
      </c>
      <c r="G66">
        <v>293056</v>
      </c>
      <c r="H66">
        <v>283488</v>
      </c>
      <c r="I66">
        <v>275988</v>
      </c>
      <c r="J66">
        <v>351075</v>
      </c>
      <c r="K66">
        <v>275988</v>
      </c>
      <c r="L66">
        <v>313575</v>
      </c>
    </row>
    <row r="67" spans="1:12" x14ac:dyDescent="0.35">
      <c r="A67">
        <v>2024</v>
      </c>
      <c r="B67">
        <v>10</v>
      </c>
      <c r="C67" t="s">
        <v>73</v>
      </c>
      <c r="D67" t="s">
        <v>217</v>
      </c>
      <c r="E67" t="s">
        <v>218</v>
      </c>
      <c r="F67">
        <v>2731</v>
      </c>
      <c r="G67">
        <v>290338</v>
      </c>
      <c r="H67">
        <v>283486</v>
      </c>
      <c r="I67">
        <v>229743</v>
      </c>
      <c r="J67">
        <v>445729</v>
      </c>
      <c r="K67">
        <v>259324</v>
      </c>
      <c r="L67">
        <v>313252</v>
      </c>
    </row>
    <row r="68" spans="1:12" x14ac:dyDescent="0.35">
      <c r="A68">
        <v>2024</v>
      </c>
      <c r="B68">
        <v>10</v>
      </c>
      <c r="C68" t="s">
        <v>73</v>
      </c>
      <c r="D68" t="s">
        <v>219</v>
      </c>
      <c r="E68" t="s">
        <v>220</v>
      </c>
      <c r="F68">
        <v>6</v>
      </c>
      <c r="G68">
        <v>235067</v>
      </c>
      <c r="H68">
        <v>235900</v>
      </c>
      <c r="I68">
        <v>228400</v>
      </c>
      <c r="J68">
        <v>238400</v>
      </c>
      <c r="K68">
        <v>233400</v>
      </c>
      <c r="L68">
        <v>238400</v>
      </c>
    </row>
    <row r="69" spans="1:12" x14ac:dyDescent="0.35">
      <c r="A69">
        <v>2024</v>
      </c>
      <c r="B69">
        <v>10</v>
      </c>
      <c r="C69" t="s">
        <v>73</v>
      </c>
      <c r="D69" t="s">
        <v>221</v>
      </c>
      <c r="E69" t="s">
        <v>222</v>
      </c>
      <c r="F69">
        <v>327</v>
      </c>
      <c r="G69">
        <v>345090</v>
      </c>
      <c r="H69">
        <v>305519</v>
      </c>
      <c r="I69">
        <v>260064</v>
      </c>
      <c r="J69">
        <v>595806</v>
      </c>
      <c r="K69">
        <v>283486</v>
      </c>
      <c r="L69">
        <v>405643</v>
      </c>
    </row>
    <row r="70" spans="1:12" x14ac:dyDescent="0.35">
      <c r="A70">
        <v>2024</v>
      </c>
      <c r="B70">
        <v>10</v>
      </c>
      <c r="C70" t="s">
        <v>73</v>
      </c>
      <c r="D70" t="s">
        <v>223</v>
      </c>
      <c r="E70" t="s">
        <v>224</v>
      </c>
      <c r="F70">
        <v>44</v>
      </c>
      <c r="G70">
        <v>430180</v>
      </c>
      <c r="H70">
        <v>433230</v>
      </c>
      <c r="I70">
        <v>384719</v>
      </c>
      <c r="J70">
        <v>465729</v>
      </c>
      <c r="K70">
        <v>425729</v>
      </c>
      <c r="L70">
        <v>435963</v>
      </c>
    </row>
    <row r="71" spans="1:12" x14ac:dyDescent="0.35">
      <c r="A71">
        <v>2024</v>
      </c>
      <c r="B71">
        <v>10</v>
      </c>
      <c r="C71" t="s">
        <v>73</v>
      </c>
      <c r="D71" t="s">
        <v>225</v>
      </c>
      <c r="E71" t="s">
        <v>226</v>
      </c>
      <c r="F71">
        <v>3335</v>
      </c>
      <c r="G71">
        <v>331493</v>
      </c>
      <c r="H71">
        <v>323573</v>
      </c>
      <c r="I71">
        <v>203500</v>
      </c>
      <c r="J71">
        <v>565570</v>
      </c>
      <c r="K71">
        <v>302836</v>
      </c>
      <c r="L71">
        <v>368290</v>
      </c>
    </row>
    <row r="72" spans="1:12" x14ac:dyDescent="0.35">
      <c r="A72">
        <v>2024</v>
      </c>
      <c r="B72">
        <v>10</v>
      </c>
      <c r="C72" t="s">
        <v>73</v>
      </c>
      <c r="D72" t="s">
        <v>227</v>
      </c>
      <c r="E72" t="s">
        <v>228</v>
      </c>
      <c r="F72">
        <v>321</v>
      </c>
      <c r="G72">
        <v>290850</v>
      </c>
      <c r="H72">
        <v>283486</v>
      </c>
      <c r="I72">
        <v>260064</v>
      </c>
      <c r="J72">
        <v>408795</v>
      </c>
      <c r="K72">
        <v>275986</v>
      </c>
      <c r="L72">
        <v>298486</v>
      </c>
    </row>
    <row r="73" spans="1:12" x14ac:dyDescent="0.35">
      <c r="A73">
        <v>2024</v>
      </c>
      <c r="B73">
        <v>10</v>
      </c>
      <c r="C73" t="s">
        <v>73</v>
      </c>
      <c r="D73" t="s">
        <v>229</v>
      </c>
      <c r="E73" t="s">
        <v>230</v>
      </c>
      <c r="F73">
        <v>70</v>
      </c>
      <c r="G73">
        <v>293270</v>
      </c>
      <c r="H73">
        <v>283488</v>
      </c>
      <c r="I73">
        <v>275988</v>
      </c>
      <c r="J73">
        <v>351075</v>
      </c>
      <c r="K73">
        <v>275988</v>
      </c>
      <c r="L73">
        <v>313575</v>
      </c>
    </row>
    <row r="74" spans="1:12" x14ac:dyDescent="0.35">
      <c r="A74">
        <v>2024</v>
      </c>
      <c r="B74">
        <v>11</v>
      </c>
      <c r="C74" t="s">
        <v>74</v>
      </c>
      <c r="D74" t="s">
        <v>217</v>
      </c>
      <c r="E74" t="s">
        <v>218</v>
      </c>
      <c r="F74">
        <v>2699</v>
      </c>
      <c r="G74">
        <v>290241</v>
      </c>
      <c r="H74">
        <v>283486</v>
      </c>
      <c r="I74">
        <v>229743</v>
      </c>
      <c r="J74">
        <v>445729</v>
      </c>
      <c r="K74">
        <v>259324</v>
      </c>
      <c r="L74">
        <v>313252</v>
      </c>
    </row>
    <row r="75" spans="1:12" x14ac:dyDescent="0.35">
      <c r="A75">
        <v>2024</v>
      </c>
      <c r="B75">
        <v>11</v>
      </c>
      <c r="C75" t="s">
        <v>74</v>
      </c>
      <c r="D75" t="s">
        <v>219</v>
      </c>
      <c r="E75" t="s">
        <v>220</v>
      </c>
      <c r="F75">
        <v>6</v>
      </c>
      <c r="G75">
        <v>235067</v>
      </c>
      <c r="H75">
        <v>235900</v>
      </c>
      <c r="I75">
        <v>228400</v>
      </c>
      <c r="J75">
        <v>238400</v>
      </c>
      <c r="K75">
        <v>233400</v>
      </c>
      <c r="L75">
        <v>238400</v>
      </c>
    </row>
    <row r="76" spans="1:12" x14ac:dyDescent="0.35">
      <c r="A76">
        <v>2024</v>
      </c>
      <c r="B76">
        <v>11</v>
      </c>
      <c r="C76" t="s">
        <v>74</v>
      </c>
      <c r="D76" t="s">
        <v>221</v>
      </c>
      <c r="E76" t="s">
        <v>222</v>
      </c>
      <c r="F76">
        <v>328</v>
      </c>
      <c r="G76">
        <v>345229</v>
      </c>
      <c r="H76">
        <v>305519</v>
      </c>
      <c r="I76">
        <v>260064</v>
      </c>
      <c r="J76">
        <v>595806</v>
      </c>
      <c r="K76">
        <v>283486</v>
      </c>
      <c r="L76">
        <v>402219</v>
      </c>
    </row>
    <row r="77" spans="1:12" x14ac:dyDescent="0.35">
      <c r="A77">
        <v>2024</v>
      </c>
      <c r="B77">
        <v>11</v>
      </c>
      <c r="C77" t="s">
        <v>74</v>
      </c>
      <c r="D77" t="s">
        <v>223</v>
      </c>
      <c r="E77" t="s">
        <v>224</v>
      </c>
      <c r="F77">
        <v>43</v>
      </c>
      <c r="G77">
        <v>430582</v>
      </c>
      <c r="H77">
        <v>433229</v>
      </c>
      <c r="I77">
        <v>384719</v>
      </c>
      <c r="J77">
        <v>465729</v>
      </c>
      <c r="K77">
        <v>425729</v>
      </c>
      <c r="L77">
        <v>438229</v>
      </c>
    </row>
    <row r="78" spans="1:12" x14ac:dyDescent="0.35">
      <c r="A78">
        <v>2024</v>
      </c>
      <c r="B78">
        <v>11</v>
      </c>
      <c r="C78" t="s">
        <v>74</v>
      </c>
      <c r="D78" t="s">
        <v>225</v>
      </c>
      <c r="E78" t="s">
        <v>226</v>
      </c>
      <c r="F78">
        <v>3370</v>
      </c>
      <c r="G78">
        <v>331801</v>
      </c>
      <c r="H78">
        <v>325336</v>
      </c>
      <c r="I78">
        <v>203500</v>
      </c>
      <c r="J78">
        <v>565570</v>
      </c>
      <c r="K78">
        <v>302836</v>
      </c>
      <c r="L78">
        <v>370322</v>
      </c>
    </row>
    <row r="79" spans="1:12" x14ac:dyDescent="0.35">
      <c r="A79">
        <v>2024</v>
      </c>
      <c r="B79">
        <v>11</v>
      </c>
      <c r="C79" t="s">
        <v>74</v>
      </c>
      <c r="D79" t="s">
        <v>227</v>
      </c>
      <c r="E79" t="s">
        <v>228</v>
      </c>
      <c r="F79">
        <v>324</v>
      </c>
      <c r="G79">
        <v>290962</v>
      </c>
      <c r="H79">
        <v>283486</v>
      </c>
      <c r="I79">
        <v>260064</v>
      </c>
      <c r="J79">
        <v>408795</v>
      </c>
      <c r="K79">
        <v>275986</v>
      </c>
      <c r="L79">
        <v>298486</v>
      </c>
    </row>
    <row r="80" spans="1:12" x14ac:dyDescent="0.35">
      <c r="A80">
        <v>2024</v>
      </c>
      <c r="B80">
        <v>11</v>
      </c>
      <c r="C80" t="s">
        <v>74</v>
      </c>
      <c r="D80" t="s">
        <v>229</v>
      </c>
      <c r="E80" t="s">
        <v>230</v>
      </c>
      <c r="F80">
        <v>70</v>
      </c>
      <c r="G80">
        <v>293592</v>
      </c>
      <c r="H80">
        <v>283488</v>
      </c>
      <c r="I80">
        <v>275988</v>
      </c>
      <c r="J80">
        <v>351075</v>
      </c>
      <c r="K80">
        <v>275988</v>
      </c>
      <c r="L80">
        <v>313575</v>
      </c>
    </row>
    <row r="81" spans="1:12" x14ac:dyDescent="0.35">
      <c r="A81">
        <v>2024</v>
      </c>
      <c r="B81">
        <v>12</v>
      </c>
      <c r="C81" t="s">
        <v>75</v>
      </c>
      <c r="D81" t="s">
        <v>217</v>
      </c>
      <c r="E81" t="s">
        <v>218</v>
      </c>
      <c r="F81">
        <v>2713</v>
      </c>
      <c r="G81">
        <v>290051</v>
      </c>
      <c r="H81">
        <v>283486</v>
      </c>
      <c r="I81">
        <v>229743</v>
      </c>
      <c r="J81">
        <v>445731</v>
      </c>
      <c r="K81">
        <v>259324</v>
      </c>
      <c r="L81">
        <v>313019</v>
      </c>
    </row>
    <row r="82" spans="1:12" x14ac:dyDescent="0.35">
      <c r="A82">
        <v>2024</v>
      </c>
      <c r="B82">
        <v>12</v>
      </c>
      <c r="C82" t="s">
        <v>75</v>
      </c>
      <c r="D82" t="s">
        <v>219</v>
      </c>
      <c r="E82" t="s">
        <v>220</v>
      </c>
      <c r="F82">
        <v>6</v>
      </c>
      <c r="G82">
        <v>235067</v>
      </c>
      <c r="H82">
        <v>235900</v>
      </c>
      <c r="I82">
        <v>228400</v>
      </c>
      <c r="J82">
        <v>238400</v>
      </c>
      <c r="K82">
        <v>233400</v>
      </c>
      <c r="L82">
        <v>238400</v>
      </c>
    </row>
    <row r="83" spans="1:12" x14ac:dyDescent="0.35">
      <c r="A83">
        <v>2024</v>
      </c>
      <c r="B83">
        <v>12</v>
      </c>
      <c r="C83" t="s">
        <v>75</v>
      </c>
      <c r="D83" t="s">
        <v>221</v>
      </c>
      <c r="E83" t="s">
        <v>222</v>
      </c>
      <c r="F83">
        <v>329</v>
      </c>
      <c r="G83">
        <v>345039</v>
      </c>
      <c r="H83">
        <v>305519</v>
      </c>
      <c r="I83">
        <v>262564</v>
      </c>
      <c r="J83">
        <v>595806</v>
      </c>
      <c r="K83">
        <v>283486</v>
      </c>
      <c r="L83">
        <v>402219</v>
      </c>
    </row>
    <row r="84" spans="1:12" x14ac:dyDescent="0.35">
      <c r="A84">
        <v>2024</v>
      </c>
      <c r="B84">
        <v>12</v>
      </c>
      <c r="C84" t="s">
        <v>75</v>
      </c>
      <c r="D84" t="s">
        <v>223</v>
      </c>
      <c r="E84" t="s">
        <v>224</v>
      </c>
      <c r="F84">
        <v>43</v>
      </c>
      <c r="G84">
        <v>430582</v>
      </c>
      <c r="H84">
        <v>433229</v>
      </c>
      <c r="I84">
        <v>384719</v>
      </c>
      <c r="J84">
        <v>465729</v>
      </c>
      <c r="K84">
        <v>425729</v>
      </c>
      <c r="L84">
        <v>438229</v>
      </c>
    </row>
    <row r="85" spans="1:12" x14ac:dyDescent="0.35">
      <c r="A85">
        <v>2024</v>
      </c>
      <c r="B85">
        <v>12</v>
      </c>
      <c r="C85" t="s">
        <v>75</v>
      </c>
      <c r="D85" t="s">
        <v>225</v>
      </c>
      <c r="E85" t="s">
        <v>226</v>
      </c>
      <c r="F85">
        <v>3377</v>
      </c>
      <c r="G85">
        <v>331717</v>
      </c>
      <c r="H85">
        <v>325336</v>
      </c>
      <c r="I85">
        <v>203500</v>
      </c>
      <c r="J85">
        <v>565570</v>
      </c>
      <c r="K85">
        <v>302836</v>
      </c>
      <c r="L85">
        <v>370322</v>
      </c>
    </row>
    <row r="86" spans="1:12" x14ac:dyDescent="0.35">
      <c r="A86">
        <v>2024</v>
      </c>
      <c r="B86">
        <v>12</v>
      </c>
      <c r="C86" t="s">
        <v>75</v>
      </c>
      <c r="D86" t="s">
        <v>227</v>
      </c>
      <c r="E86" t="s">
        <v>228</v>
      </c>
      <c r="F86">
        <v>319</v>
      </c>
      <c r="G86">
        <v>291437</v>
      </c>
      <c r="H86">
        <v>283486</v>
      </c>
      <c r="I86">
        <v>260064</v>
      </c>
      <c r="J86">
        <v>408795</v>
      </c>
      <c r="K86">
        <v>275986</v>
      </c>
      <c r="L86">
        <v>298486</v>
      </c>
    </row>
    <row r="87" spans="1:12" x14ac:dyDescent="0.35">
      <c r="A87">
        <v>2024</v>
      </c>
      <c r="B87">
        <v>12</v>
      </c>
      <c r="C87" t="s">
        <v>75</v>
      </c>
      <c r="D87" t="s">
        <v>229</v>
      </c>
      <c r="E87" t="s">
        <v>230</v>
      </c>
      <c r="F87">
        <v>71</v>
      </c>
      <c r="G87">
        <v>293979</v>
      </c>
      <c r="H87">
        <v>283488</v>
      </c>
      <c r="I87">
        <v>275988</v>
      </c>
      <c r="J87">
        <v>351075</v>
      </c>
      <c r="K87">
        <v>275988</v>
      </c>
      <c r="L87">
        <v>313575</v>
      </c>
    </row>
    <row r="88" spans="1:12" x14ac:dyDescent="0.35">
      <c r="A88">
        <v>2025</v>
      </c>
      <c r="B88">
        <v>1</v>
      </c>
      <c r="C88" t="s">
        <v>42</v>
      </c>
      <c r="D88" t="s">
        <v>217</v>
      </c>
      <c r="E88" t="s">
        <v>218</v>
      </c>
      <c r="F88">
        <v>2688</v>
      </c>
      <c r="G88">
        <v>290422</v>
      </c>
      <c r="H88">
        <v>283486</v>
      </c>
      <c r="I88">
        <v>229743</v>
      </c>
      <c r="J88">
        <v>453855</v>
      </c>
      <c r="K88">
        <v>259324</v>
      </c>
      <c r="L88">
        <v>313486</v>
      </c>
    </row>
    <row r="89" spans="1:12" x14ac:dyDescent="0.35">
      <c r="A89">
        <v>2025</v>
      </c>
      <c r="B89">
        <v>1</v>
      </c>
      <c r="C89" t="s">
        <v>42</v>
      </c>
      <c r="D89" t="s">
        <v>219</v>
      </c>
      <c r="E89" t="s">
        <v>220</v>
      </c>
      <c r="F89">
        <v>5</v>
      </c>
      <c r="G89">
        <v>236400</v>
      </c>
      <c r="H89">
        <v>238400</v>
      </c>
      <c r="I89">
        <v>233400</v>
      </c>
      <c r="J89">
        <v>238400</v>
      </c>
      <c r="K89">
        <v>233400</v>
      </c>
      <c r="L89">
        <v>238400</v>
      </c>
    </row>
    <row r="90" spans="1:12" x14ac:dyDescent="0.35">
      <c r="A90">
        <v>2025</v>
      </c>
      <c r="B90">
        <v>1</v>
      </c>
      <c r="C90" t="s">
        <v>42</v>
      </c>
      <c r="D90" t="s">
        <v>221</v>
      </c>
      <c r="E90" t="s">
        <v>222</v>
      </c>
      <c r="F90">
        <v>329</v>
      </c>
      <c r="G90">
        <v>347396</v>
      </c>
      <c r="H90">
        <v>305752</v>
      </c>
      <c r="I90">
        <v>262564</v>
      </c>
      <c r="J90">
        <v>595806</v>
      </c>
      <c r="K90">
        <v>283486</v>
      </c>
      <c r="L90">
        <v>408434</v>
      </c>
    </row>
    <row r="91" spans="1:12" x14ac:dyDescent="0.35">
      <c r="A91">
        <v>2025</v>
      </c>
      <c r="B91">
        <v>1</v>
      </c>
      <c r="C91" t="s">
        <v>42</v>
      </c>
      <c r="D91" t="s">
        <v>223</v>
      </c>
      <c r="E91" t="s">
        <v>224</v>
      </c>
      <c r="F91">
        <v>26</v>
      </c>
      <c r="G91">
        <v>428746</v>
      </c>
      <c r="H91">
        <v>433229</v>
      </c>
      <c r="I91">
        <v>384719</v>
      </c>
      <c r="J91">
        <v>453229</v>
      </c>
      <c r="K91">
        <v>425729</v>
      </c>
      <c r="L91">
        <v>443229</v>
      </c>
    </row>
    <row r="92" spans="1:12" x14ac:dyDescent="0.35">
      <c r="A92">
        <v>2025</v>
      </c>
      <c r="B92">
        <v>1</v>
      </c>
      <c r="C92" t="s">
        <v>42</v>
      </c>
      <c r="D92" t="s">
        <v>225</v>
      </c>
      <c r="E92" t="s">
        <v>226</v>
      </c>
      <c r="F92">
        <v>3372</v>
      </c>
      <c r="G92">
        <v>333411</v>
      </c>
      <c r="H92">
        <v>325655</v>
      </c>
      <c r="I92">
        <v>203153</v>
      </c>
      <c r="J92">
        <v>595628</v>
      </c>
      <c r="K92">
        <v>302836</v>
      </c>
      <c r="L92">
        <v>375322</v>
      </c>
    </row>
    <row r="93" spans="1:12" x14ac:dyDescent="0.35">
      <c r="A93">
        <v>2025</v>
      </c>
      <c r="B93">
        <v>1</v>
      </c>
      <c r="C93" t="s">
        <v>42</v>
      </c>
      <c r="D93" t="s">
        <v>227</v>
      </c>
      <c r="E93" t="s">
        <v>228</v>
      </c>
      <c r="F93">
        <v>320</v>
      </c>
      <c r="G93">
        <v>294103</v>
      </c>
      <c r="H93">
        <v>290080</v>
      </c>
      <c r="I93">
        <v>260064</v>
      </c>
      <c r="J93">
        <v>408795</v>
      </c>
      <c r="K93">
        <v>275986</v>
      </c>
      <c r="L93">
        <v>300752</v>
      </c>
    </row>
    <row r="94" spans="1:12" x14ac:dyDescent="0.35">
      <c r="A94">
        <v>2025</v>
      </c>
      <c r="B94">
        <v>1</v>
      </c>
      <c r="C94" t="s">
        <v>42</v>
      </c>
      <c r="D94" t="s">
        <v>229</v>
      </c>
      <c r="E94" t="s">
        <v>230</v>
      </c>
      <c r="F94">
        <v>72</v>
      </c>
      <c r="G94">
        <v>294459</v>
      </c>
      <c r="H94">
        <v>283488</v>
      </c>
      <c r="I94">
        <v>275988</v>
      </c>
      <c r="J94">
        <v>351075</v>
      </c>
      <c r="K94">
        <v>275988</v>
      </c>
      <c r="L94">
        <v>313575</v>
      </c>
    </row>
    <row r="95" spans="1:12" x14ac:dyDescent="0.35">
      <c r="A95">
        <v>2025</v>
      </c>
      <c r="B95">
        <v>2</v>
      </c>
      <c r="C95" t="s">
        <v>63</v>
      </c>
      <c r="D95" t="s">
        <v>217</v>
      </c>
      <c r="E95" t="s">
        <v>218</v>
      </c>
      <c r="F95">
        <v>2796</v>
      </c>
      <c r="G95">
        <v>291035</v>
      </c>
      <c r="H95">
        <v>283486</v>
      </c>
      <c r="I95">
        <v>229743</v>
      </c>
      <c r="J95">
        <v>464030</v>
      </c>
      <c r="K95">
        <v>259324</v>
      </c>
      <c r="L95">
        <v>314334</v>
      </c>
    </row>
    <row r="96" spans="1:12" x14ac:dyDescent="0.35">
      <c r="A96">
        <v>2025</v>
      </c>
      <c r="B96">
        <v>2</v>
      </c>
      <c r="C96" t="s">
        <v>63</v>
      </c>
      <c r="D96" t="s">
        <v>219</v>
      </c>
      <c r="E96" t="s">
        <v>220</v>
      </c>
      <c r="F96">
        <v>5</v>
      </c>
      <c r="G96">
        <v>236400</v>
      </c>
      <c r="H96">
        <v>238400</v>
      </c>
      <c r="I96">
        <v>233400</v>
      </c>
      <c r="J96">
        <v>238400</v>
      </c>
      <c r="K96">
        <v>233400</v>
      </c>
      <c r="L96">
        <v>238400</v>
      </c>
    </row>
    <row r="97" spans="1:12" x14ac:dyDescent="0.35">
      <c r="A97">
        <v>2025</v>
      </c>
      <c r="B97">
        <v>2</v>
      </c>
      <c r="C97" t="s">
        <v>63</v>
      </c>
      <c r="D97" t="s">
        <v>221</v>
      </c>
      <c r="E97" t="s">
        <v>222</v>
      </c>
      <c r="F97">
        <v>347</v>
      </c>
      <c r="G97">
        <v>347966</v>
      </c>
      <c r="H97">
        <v>311476</v>
      </c>
      <c r="I97">
        <v>262564</v>
      </c>
      <c r="J97">
        <v>595806</v>
      </c>
      <c r="K97">
        <v>285512</v>
      </c>
      <c r="L97">
        <v>406985</v>
      </c>
    </row>
    <row r="98" spans="1:12" x14ac:dyDescent="0.35">
      <c r="A98">
        <v>2025</v>
      </c>
      <c r="B98">
        <v>2</v>
      </c>
      <c r="C98" t="s">
        <v>63</v>
      </c>
      <c r="D98" t="s">
        <v>223</v>
      </c>
      <c r="E98" t="s">
        <v>224</v>
      </c>
      <c r="F98">
        <v>26</v>
      </c>
      <c r="G98">
        <v>428746</v>
      </c>
      <c r="H98">
        <v>433229</v>
      </c>
      <c r="I98">
        <v>384719</v>
      </c>
      <c r="J98">
        <v>453229</v>
      </c>
      <c r="K98">
        <v>425729</v>
      </c>
      <c r="L98">
        <v>443229</v>
      </c>
    </row>
    <row r="99" spans="1:12" x14ac:dyDescent="0.35">
      <c r="A99">
        <v>2025</v>
      </c>
      <c r="B99">
        <v>2</v>
      </c>
      <c r="C99" t="s">
        <v>63</v>
      </c>
      <c r="D99" t="s">
        <v>225</v>
      </c>
      <c r="E99" t="s">
        <v>226</v>
      </c>
      <c r="F99">
        <v>3410</v>
      </c>
      <c r="G99">
        <v>335585</v>
      </c>
      <c r="H99">
        <v>325655</v>
      </c>
      <c r="I99">
        <v>203500</v>
      </c>
      <c r="J99">
        <v>592103</v>
      </c>
      <c r="K99">
        <v>302836</v>
      </c>
      <c r="L99">
        <v>375322</v>
      </c>
    </row>
    <row r="100" spans="1:12" x14ac:dyDescent="0.35">
      <c r="A100">
        <v>2025</v>
      </c>
      <c r="B100">
        <v>2</v>
      </c>
      <c r="C100" t="s">
        <v>63</v>
      </c>
      <c r="D100" t="s">
        <v>227</v>
      </c>
      <c r="E100" t="s">
        <v>228</v>
      </c>
      <c r="F100">
        <v>327</v>
      </c>
      <c r="G100">
        <v>293729</v>
      </c>
      <c r="H100">
        <v>288543</v>
      </c>
      <c r="I100">
        <v>260064</v>
      </c>
      <c r="J100">
        <v>408795</v>
      </c>
      <c r="K100">
        <v>275986</v>
      </c>
      <c r="L100">
        <v>300752</v>
      </c>
    </row>
    <row r="101" spans="1:12" x14ac:dyDescent="0.35">
      <c r="A101">
        <v>2025</v>
      </c>
      <c r="B101">
        <v>2</v>
      </c>
      <c r="C101" t="s">
        <v>63</v>
      </c>
      <c r="D101" t="s">
        <v>229</v>
      </c>
      <c r="E101" t="s">
        <v>230</v>
      </c>
      <c r="F101">
        <v>74</v>
      </c>
      <c r="G101">
        <v>294671</v>
      </c>
      <c r="H101">
        <v>283488</v>
      </c>
      <c r="I101">
        <v>275988</v>
      </c>
      <c r="J101">
        <v>351075</v>
      </c>
      <c r="K101">
        <v>275988</v>
      </c>
      <c r="L101">
        <v>313575</v>
      </c>
    </row>
    <row r="102" spans="1:12" x14ac:dyDescent="0.35">
      <c r="A102">
        <v>2025</v>
      </c>
      <c r="B102">
        <v>3</v>
      </c>
      <c r="C102" t="s">
        <v>66</v>
      </c>
      <c r="D102" t="s">
        <v>217</v>
      </c>
      <c r="E102" t="s">
        <v>218</v>
      </c>
      <c r="F102">
        <v>2858</v>
      </c>
      <c r="G102">
        <v>289959</v>
      </c>
      <c r="H102">
        <v>283486</v>
      </c>
      <c r="I102">
        <v>229743</v>
      </c>
      <c r="J102">
        <v>467812</v>
      </c>
      <c r="K102">
        <v>259324</v>
      </c>
      <c r="L102">
        <v>313252</v>
      </c>
    </row>
    <row r="103" spans="1:12" x14ac:dyDescent="0.35">
      <c r="A103">
        <v>2025</v>
      </c>
      <c r="B103">
        <v>3</v>
      </c>
      <c r="C103" t="s">
        <v>66</v>
      </c>
      <c r="D103" t="s">
        <v>219</v>
      </c>
      <c r="E103" t="s">
        <v>220</v>
      </c>
      <c r="F103">
        <v>5</v>
      </c>
      <c r="G103">
        <v>236400</v>
      </c>
      <c r="H103">
        <v>238400</v>
      </c>
      <c r="I103">
        <v>233400</v>
      </c>
      <c r="J103">
        <v>238400</v>
      </c>
      <c r="K103">
        <v>233400</v>
      </c>
      <c r="L103">
        <v>238400</v>
      </c>
    </row>
    <row r="104" spans="1:12" x14ac:dyDescent="0.35">
      <c r="A104">
        <v>2025</v>
      </c>
      <c r="B104">
        <v>3</v>
      </c>
      <c r="C104" t="s">
        <v>66</v>
      </c>
      <c r="D104" t="s">
        <v>221</v>
      </c>
      <c r="E104" t="s">
        <v>222</v>
      </c>
      <c r="F104">
        <v>347</v>
      </c>
      <c r="G104">
        <v>345528</v>
      </c>
      <c r="H104">
        <v>305752</v>
      </c>
      <c r="I104">
        <v>262564</v>
      </c>
      <c r="J104">
        <v>595806</v>
      </c>
      <c r="K104">
        <v>282219</v>
      </c>
      <c r="L104">
        <v>405643</v>
      </c>
    </row>
    <row r="105" spans="1:12" x14ac:dyDescent="0.35">
      <c r="A105">
        <v>2025</v>
      </c>
      <c r="B105">
        <v>3</v>
      </c>
      <c r="C105" t="s">
        <v>66</v>
      </c>
      <c r="D105" t="s">
        <v>223</v>
      </c>
      <c r="E105" t="s">
        <v>224</v>
      </c>
      <c r="F105">
        <v>26</v>
      </c>
      <c r="G105">
        <v>429631</v>
      </c>
      <c r="H105">
        <v>435729</v>
      </c>
      <c r="I105">
        <v>384719</v>
      </c>
      <c r="J105">
        <v>457468</v>
      </c>
      <c r="K105">
        <v>425729</v>
      </c>
      <c r="L105">
        <v>443229</v>
      </c>
    </row>
    <row r="106" spans="1:12" x14ac:dyDescent="0.35">
      <c r="A106">
        <v>2025</v>
      </c>
      <c r="B106">
        <v>3</v>
      </c>
      <c r="C106" t="s">
        <v>66</v>
      </c>
      <c r="D106" t="s">
        <v>225</v>
      </c>
      <c r="E106" t="s">
        <v>226</v>
      </c>
      <c r="F106">
        <v>3474</v>
      </c>
      <c r="G106">
        <v>333746</v>
      </c>
      <c r="H106">
        <v>325655</v>
      </c>
      <c r="I106">
        <v>203087</v>
      </c>
      <c r="J106">
        <v>583070</v>
      </c>
      <c r="K106">
        <v>302836</v>
      </c>
      <c r="L106">
        <v>372552</v>
      </c>
    </row>
    <row r="107" spans="1:12" x14ac:dyDescent="0.35">
      <c r="A107">
        <v>2025</v>
      </c>
      <c r="B107">
        <v>3</v>
      </c>
      <c r="C107" t="s">
        <v>66</v>
      </c>
      <c r="D107" t="s">
        <v>227</v>
      </c>
      <c r="E107" t="s">
        <v>228</v>
      </c>
      <c r="F107">
        <v>345</v>
      </c>
      <c r="G107">
        <v>293176</v>
      </c>
      <c r="H107">
        <v>285752</v>
      </c>
      <c r="I107">
        <v>262564</v>
      </c>
      <c r="J107">
        <v>408795</v>
      </c>
      <c r="K107">
        <v>275986</v>
      </c>
      <c r="L107">
        <v>303280</v>
      </c>
    </row>
    <row r="108" spans="1:12" x14ac:dyDescent="0.35">
      <c r="A108">
        <v>2025</v>
      </c>
      <c r="B108">
        <v>3</v>
      </c>
      <c r="C108" t="s">
        <v>66</v>
      </c>
      <c r="D108" t="s">
        <v>229</v>
      </c>
      <c r="E108" t="s">
        <v>230</v>
      </c>
      <c r="F108">
        <v>134</v>
      </c>
      <c r="G108">
        <v>293541</v>
      </c>
      <c r="H108">
        <v>283488</v>
      </c>
      <c r="I108">
        <v>275988</v>
      </c>
      <c r="J108">
        <v>351075</v>
      </c>
      <c r="K108">
        <v>275988</v>
      </c>
      <c r="L108">
        <v>313575</v>
      </c>
    </row>
    <row r="109" spans="1:12" x14ac:dyDescent="0.35">
      <c r="A109">
        <v>2025</v>
      </c>
      <c r="B109">
        <v>4</v>
      </c>
      <c r="C109" t="s">
        <v>67</v>
      </c>
      <c r="D109" t="s">
        <v>217</v>
      </c>
      <c r="E109" t="s">
        <v>218</v>
      </c>
      <c r="F109">
        <v>2796</v>
      </c>
      <c r="G109">
        <v>291035</v>
      </c>
      <c r="H109">
        <v>283486</v>
      </c>
      <c r="I109">
        <v>229743</v>
      </c>
      <c r="J109">
        <v>464030</v>
      </c>
      <c r="K109">
        <v>259324</v>
      </c>
      <c r="L109">
        <v>314334</v>
      </c>
    </row>
    <row r="110" spans="1:12" x14ac:dyDescent="0.35">
      <c r="A110">
        <v>2025</v>
      </c>
      <c r="B110">
        <v>4</v>
      </c>
      <c r="C110" t="s">
        <v>67</v>
      </c>
      <c r="D110" t="s">
        <v>219</v>
      </c>
      <c r="E110" t="s">
        <v>220</v>
      </c>
      <c r="F110">
        <v>5</v>
      </c>
      <c r="G110">
        <v>236400</v>
      </c>
      <c r="H110">
        <v>238400</v>
      </c>
      <c r="I110">
        <v>233400</v>
      </c>
      <c r="J110">
        <v>238400</v>
      </c>
      <c r="K110">
        <v>233400</v>
      </c>
      <c r="L110">
        <v>238400</v>
      </c>
    </row>
    <row r="111" spans="1:12" x14ac:dyDescent="0.35">
      <c r="A111">
        <v>2025</v>
      </c>
      <c r="B111">
        <v>4</v>
      </c>
      <c r="C111" t="s">
        <v>67</v>
      </c>
      <c r="D111" t="s">
        <v>221</v>
      </c>
      <c r="E111" t="s">
        <v>222</v>
      </c>
      <c r="F111">
        <v>347</v>
      </c>
      <c r="G111">
        <v>347966</v>
      </c>
      <c r="H111">
        <v>311476</v>
      </c>
      <c r="I111">
        <v>262564</v>
      </c>
      <c r="J111">
        <v>595806</v>
      </c>
      <c r="K111">
        <v>285512</v>
      </c>
      <c r="L111">
        <v>406985</v>
      </c>
    </row>
    <row r="112" spans="1:12" x14ac:dyDescent="0.35">
      <c r="A112">
        <v>2025</v>
      </c>
      <c r="B112">
        <v>4</v>
      </c>
      <c r="C112" t="s">
        <v>67</v>
      </c>
      <c r="D112" t="s">
        <v>223</v>
      </c>
      <c r="E112" t="s">
        <v>224</v>
      </c>
      <c r="F112">
        <v>26</v>
      </c>
      <c r="G112">
        <v>428746</v>
      </c>
      <c r="H112">
        <v>433229</v>
      </c>
      <c r="I112">
        <v>384719</v>
      </c>
      <c r="J112">
        <v>453229</v>
      </c>
      <c r="K112">
        <v>425729</v>
      </c>
      <c r="L112">
        <v>443229</v>
      </c>
    </row>
    <row r="113" spans="1:12" x14ac:dyDescent="0.35">
      <c r="A113">
        <v>2025</v>
      </c>
      <c r="B113">
        <v>4</v>
      </c>
      <c r="C113" t="s">
        <v>67</v>
      </c>
      <c r="D113" t="s">
        <v>225</v>
      </c>
      <c r="E113" t="s">
        <v>226</v>
      </c>
      <c r="F113">
        <v>3410</v>
      </c>
      <c r="G113">
        <v>335645</v>
      </c>
      <c r="H113">
        <v>325655</v>
      </c>
      <c r="I113">
        <v>203500</v>
      </c>
      <c r="J113">
        <v>592103</v>
      </c>
      <c r="K113">
        <v>302836</v>
      </c>
      <c r="L113">
        <v>375322</v>
      </c>
    </row>
    <row r="114" spans="1:12" x14ac:dyDescent="0.35">
      <c r="A114">
        <v>2025</v>
      </c>
      <c r="B114">
        <v>4</v>
      </c>
      <c r="C114" t="s">
        <v>67</v>
      </c>
      <c r="D114" t="s">
        <v>227</v>
      </c>
      <c r="E114" t="s">
        <v>228</v>
      </c>
      <c r="F114">
        <v>327</v>
      </c>
      <c r="G114">
        <v>293729</v>
      </c>
      <c r="H114">
        <v>288543</v>
      </c>
      <c r="I114">
        <v>260064</v>
      </c>
      <c r="J114">
        <v>408795</v>
      </c>
      <c r="K114">
        <v>275986</v>
      </c>
      <c r="L114">
        <v>300752</v>
      </c>
    </row>
    <row r="115" spans="1:12" x14ac:dyDescent="0.35">
      <c r="A115">
        <v>2025</v>
      </c>
      <c r="B115">
        <v>4</v>
      </c>
      <c r="C115" t="s">
        <v>67</v>
      </c>
      <c r="D115" t="s">
        <v>229</v>
      </c>
      <c r="E115" t="s">
        <v>230</v>
      </c>
      <c r="F115">
        <v>74</v>
      </c>
      <c r="G115">
        <v>294671</v>
      </c>
      <c r="H115">
        <v>283488</v>
      </c>
      <c r="I115">
        <v>275988</v>
      </c>
      <c r="J115">
        <v>351075</v>
      </c>
      <c r="K115">
        <v>275988</v>
      </c>
      <c r="L115">
        <v>313575</v>
      </c>
    </row>
    <row r="116" spans="1:12" x14ac:dyDescent="0.35">
      <c r="A116">
        <v>2025</v>
      </c>
      <c r="B116">
        <v>5</v>
      </c>
      <c r="C116" t="s">
        <v>68</v>
      </c>
      <c r="D116" t="s">
        <v>217</v>
      </c>
      <c r="E116" t="s">
        <v>218</v>
      </c>
      <c r="F116">
        <v>2972</v>
      </c>
      <c r="G116">
        <v>289004</v>
      </c>
      <c r="H116">
        <v>281590</v>
      </c>
      <c r="I116">
        <v>229743</v>
      </c>
      <c r="J116">
        <v>451517</v>
      </c>
      <c r="K116">
        <v>255297</v>
      </c>
      <c r="L116">
        <v>313252</v>
      </c>
    </row>
    <row r="117" spans="1:12" x14ac:dyDescent="0.35">
      <c r="A117">
        <v>2025</v>
      </c>
      <c r="B117">
        <v>5</v>
      </c>
      <c r="C117" t="s">
        <v>68</v>
      </c>
      <c r="D117" t="s">
        <v>219</v>
      </c>
      <c r="E117" t="s">
        <v>220</v>
      </c>
      <c r="F117">
        <v>5</v>
      </c>
      <c r="G117">
        <v>235400</v>
      </c>
      <c r="H117">
        <v>233400</v>
      </c>
      <c r="I117">
        <v>233400</v>
      </c>
      <c r="J117">
        <v>238400</v>
      </c>
      <c r="K117">
        <v>233400</v>
      </c>
      <c r="L117">
        <v>238400</v>
      </c>
    </row>
    <row r="118" spans="1:12" x14ac:dyDescent="0.35">
      <c r="A118">
        <v>2025</v>
      </c>
      <c r="B118">
        <v>5</v>
      </c>
      <c r="C118" t="s">
        <v>68</v>
      </c>
      <c r="D118" t="s">
        <v>221</v>
      </c>
      <c r="E118" t="s">
        <v>222</v>
      </c>
      <c r="F118">
        <v>348</v>
      </c>
      <c r="G118">
        <v>347056</v>
      </c>
      <c r="H118">
        <v>307002</v>
      </c>
      <c r="I118">
        <v>262564</v>
      </c>
      <c r="J118">
        <v>595806</v>
      </c>
      <c r="K118">
        <v>285986</v>
      </c>
      <c r="L118">
        <v>406985</v>
      </c>
    </row>
    <row r="119" spans="1:12" x14ac:dyDescent="0.35">
      <c r="A119">
        <v>2025</v>
      </c>
      <c r="B119">
        <v>5</v>
      </c>
      <c r="C119" t="s">
        <v>68</v>
      </c>
      <c r="D119" t="s">
        <v>223</v>
      </c>
      <c r="E119" t="s">
        <v>224</v>
      </c>
      <c r="F119">
        <v>26</v>
      </c>
      <c r="G119">
        <v>429675</v>
      </c>
      <c r="H119">
        <v>435729</v>
      </c>
      <c r="I119">
        <v>384719</v>
      </c>
      <c r="J119">
        <v>454017</v>
      </c>
      <c r="K119">
        <v>425729</v>
      </c>
      <c r="L119">
        <v>443229</v>
      </c>
    </row>
    <row r="120" spans="1:12" x14ac:dyDescent="0.35">
      <c r="A120">
        <v>2025</v>
      </c>
      <c r="B120">
        <v>5</v>
      </c>
      <c r="C120" t="s">
        <v>68</v>
      </c>
      <c r="D120" t="s">
        <v>225</v>
      </c>
      <c r="E120" t="s">
        <v>226</v>
      </c>
      <c r="F120">
        <v>3530</v>
      </c>
      <c r="G120">
        <v>334684</v>
      </c>
      <c r="H120">
        <v>325655</v>
      </c>
      <c r="I120">
        <v>202985</v>
      </c>
      <c r="J120">
        <v>583070</v>
      </c>
      <c r="K120">
        <v>302836</v>
      </c>
      <c r="L120">
        <v>375322</v>
      </c>
    </row>
    <row r="121" spans="1:12" x14ac:dyDescent="0.35">
      <c r="A121">
        <v>2025</v>
      </c>
      <c r="B121">
        <v>5</v>
      </c>
      <c r="C121" t="s">
        <v>68</v>
      </c>
      <c r="D121" t="s">
        <v>227</v>
      </c>
      <c r="E121" t="s">
        <v>228</v>
      </c>
      <c r="F121">
        <v>360</v>
      </c>
      <c r="G121">
        <v>292827</v>
      </c>
      <c r="H121">
        <v>285752</v>
      </c>
      <c r="I121">
        <v>262564</v>
      </c>
      <c r="J121">
        <v>412248</v>
      </c>
      <c r="K121">
        <v>275986</v>
      </c>
      <c r="L121">
        <v>305519</v>
      </c>
    </row>
    <row r="122" spans="1:12" x14ac:dyDescent="0.35">
      <c r="A122">
        <v>2025</v>
      </c>
      <c r="B122">
        <v>5</v>
      </c>
      <c r="C122" t="s">
        <v>68</v>
      </c>
      <c r="D122" t="s">
        <v>229</v>
      </c>
      <c r="E122" t="s">
        <v>230</v>
      </c>
      <c r="F122">
        <v>142</v>
      </c>
      <c r="G122">
        <v>294035</v>
      </c>
      <c r="H122">
        <v>283488</v>
      </c>
      <c r="I122">
        <v>275988</v>
      </c>
      <c r="J122">
        <v>351075</v>
      </c>
      <c r="K122">
        <v>275988</v>
      </c>
      <c r="L122">
        <v>313575</v>
      </c>
    </row>
    <row r="123" spans="1:12" x14ac:dyDescent="0.35">
      <c r="A123">
        <v>2025</v>
      </c>
      <c r="B123">
        <v>6</v>
      </c>
      <c r="C123" t="s">
        <v>69</v>
      </c>
      <c r="D123" t="s">
        <v>217</v>
      </c>
      <c r="E123" t="s">
        <v>218</v>
      </c>
      <c r="F123">
        <v>2987</v>
      </c>
      <c r="G123">
        <v>289450</v>
      </c>
      <c r="H123">
        <v>283486</v>
      </c>
      <c r="I123">
        <v>229743</v>
      </c>
      <c r="J123">
        <v>454780</v>
      </c>
      <c r="K123">
        <v>255297</v>
      </c>
      <c r="L123">
        <v>313252</v>
      </c>
    </row>
    <row r="124" spans="1:12" x14ac:dyDescent="0.35">
      <c r="A124">
        <v>2025</v>
      </c>
      <c r="B124">
        <v>6</v>
      </c>
      <c r="C124" t="s">
        <v>69</v>
      </c>
      <c r="D124" t="s">
        <v>219</v>
      </c>
      <c r="E124" t="s">
        <v>220</v>
      </c>
      <c r="F124">
        <v>5</v>
      </c>
      <c r="G124">
        <v>235400</v>
      </c>
      <c r="H124">
        <v>233400</v>
      </c>
      <c r="I124">
        <v>233400</v>
      </c>
      <c r="J124">
        <v>238400</v>
      </c>
      <c r="K124">
        <v>233400</v>
      </c>
      <c r="L124">
        <v>238400</v>
      </c>
    </row>
    <row r="125" spans="1:12" x14ac:dyDescent="0.35">
      <c r="A125">
        <v>2025</v>
      </c>
      <c r="B125">
        <v>6</v>
      </c>
      <c r="C125" t="s">
        <v>69</v>
      </c>
      <c r="D125" t="s">
        <v>221</v>
      </c>
      <c r="E125" t="s">
        <v>222</v>
      </c>
      <c r="F125">
        <v>352</v>
      </c>
      <c r="G125">
        <v>350035</v>
      </c>
      <c r="H125">
        <v>308252</v>
      </c>
      <c r="I125">
        <v>262564</v>
      </c>
      <c r="J125">
        <v>646347</v>
      </c>
      <c r="K125">
        <v>285986</v>
      </c>
      <c r="L125">
        <v>405643</v>
      </c>
    </row>
    <row r="126" spans="1:12" x14ac:dyDescent="0.35">
      <c r="A126">
        <v>2025</v>
      </c>
      <c r="B126">
        <v>6</v>
      </c>
      <c r="C126" t="s">
        <v>69</v>
      </c>
      <c r="D126" t="s">
        <v>223</v>
      </c>
      <c r="E126" t="s">
        <v>224</v>
      </c>
      <c r="F126">
        <v>26</v>
      </c>
      <c r="G126">
        <v>429675</v>
      </c>
      <c r="H126">
        <v>435729</v>
      </c>
      <c r="I126">
        <v>384719</v>
      </c>
      <c r="J126">
        <v>454017</v>
      </c>
      <c r="K126">
        <v>425729</v>
      </c>
      <c r="L126">
        <v>443229</v>
      </c>
    </row>
    <row r="127" spans="1:12" x14ac:dyDescent="0.35">
      <c r="A127">
        <v>2025</v>
      </c>
      <c r="B127">
        <v>6</v>
      </c>
      <c r="C127" t="s">
        <v>69</v>
      </c>
      <c r="D127" t="s">
        <v>225</v>
      </c>
      <c r="E127" t="s">
        <v>226</v>
      </c>
      <c r="F127">
        <v>3561</v>
      </c>
      <c r="G127">
        <v>334470</v>
      </c>
      <c r="H127">
        <v>325655</v>
      </c>
      <c r="I127">
        <v>203500</v>
      </c>
      <c r="J127">
        <v>583070</v>
      </c>
      <c r="K127">
        <v>302836</v>
      </c>
      <c r="L127">
        <v>375322</v>
      </c>
    </row>
    <row r="128" spans="1:12" x14ac:dyDescent="0.35">
      <c r="A128">
        <v>2025</v>
      </c>
      <c r="B128">
        <v>6</v>
      </c>
      <c r="C128" t="s">
        <v>69</v>
      </c>
      <c r="D128" t="s">
        <v>227</v>
      </c>
      <c r="E128" t="s">
        <v>228</v>
      </c>
      <c r="F128">
        <v>361</v>
      </c>
      <c r="G128">
        <v>293221</v>
      </c>
      <c r="H128">
        <v>290752</v>
      </c>
      <c r="I128">
        <v>262564</v>
      </c>
      <c r="J128">
        <v>408795</v>
      </c>
      <c r="K128">
        <v>275986</v>
      </c>
      <c r="L128">
        <v>305519</v>
      </c>
    </row>
    <row r="129" spans="1:12" x14ac:dyDescent="0.35">
      <c r="A129">
        <v>2025</v>
      </c>
      <c r="B129">
        <v>6</v>
      </c>
      <c r="C129" t="s">
        <v>69</v>
      </c>
      <c r="D129" t="s">
        <v>229</v>
      </c>
      <c r="E129" t="s">
        <v>230</v>
      </c>
      <c r="F129">
        <v>142</v>
      </c>
      <c r="G129">
        <v>294510</v>
      </c>
      <c r="H129">
        <v>283488</v>
      </c>
      <c r="I129">
        <v>275988</v>
      </c>
      <c r="J129">
        <v>351075</v>
      </c>
      <c r="K129">
        <v>275988</v>
      </c>
      <c r="L129">
        <v>313575</v>
      </c>
    </row>
    <row r="130" spans="1:12" x14ac:dyDescent="0.35">
      <c r="A130">
        <v>2025</v>
      </c>
      <c r="B130">
        <v>7</v>
      </c>
      <c r="C130" t="s">
        <v>70</v>
      </c>
      <c r="D130" t="s">
        <v>217</v>
      </c>
      <c r="E130" t="s">
        <v>218</v>
      </c>
      <c r="F130">
        <v>2987</v>
      </c>
      <c r="G130">
        <v>289412</v>
      </c>
      <c r="H130">
        <v>283486</v>
      </c>
      <c r="I130">
        <v>229743</v>
      </c>
      <c r="J130">
        <v>455519</v>
      </c>
      <c r="K130">
        <v>255297</v>
      </c>
      <c r="L130">
        <v>313020</v>
      </c>
    </row>
    <row r="131" spans="1:12" x14ac:dyDescent="0.35">
      <c r="A131">
        <v>2025</v>
      </c>
      <c r="B131">
        <v>7</v>
      </c>
      <c r="C131" t="s">
        <v>70</v>
      </c>
      <c r="D131" t="s">
        <v>219</v>
      </c>
      <c r="E131" t="s">
        <v>220</v>
      </c>
      <c r="F131">
        <v>5</v>
      </c>
      <c r="G131">
        <v>235400</v>
      </c>
      <c r="H131">
        <v>233400</v>
      </c>
      <c r="I131">
        <v>233400</v>
      </c>
      <c r="J131">
        <v>238400</v>
      </c>
      <c r="K131">
        <v>233400</v>
      </c>
      <c r="L131">
        <v>238400</v>
      </c>
    </row>
    <row r="132" spans="1:12" x14ac:dyDescent="0.35">
      <c r="A132">
        <v>2025</v>
      </c>
      <c r="B132">
        <v>7</v>
      </c>
      <c r="C132" t="s">
        <v>70</v>
      </c>
      <c r="D132" t="s">
        <v>221</v>
      </c>
      <c r="E132" t="s">
        <v>222</v>
      </c>
      <c r="F132">
        <v>352</v>
      </c>
      <c r="G132">
        <v>352693</v>
      </c>
      <c r="H132">
        <v>308019</v>
      </c>
      <c r="I132">
        <v>262564</v>
      </c>
      <c r="J132">
        <v>649032</v>
      </c>
      <c r="K132">
        <v>285986</v>
      </c>
      <c r="L132">
        <v>414436</v>
      </c>
    </row>
    <row r="133" spans="1:12" x14ac:dyDescent="0.35">
      <c r="A133">
        <v>2025</v>
      </c>
      <c r="B133">
        <v>7</v>
      </c>
      <c r="C133" t="s">
        <v>70</v>
      </c>
      <c r="D133" t="s">
        <v>223</v>
      </c>
      <c r="E133" t="s">
        <v>224</v>
      </c>
      <c r="F133">
        <v>26</v>
      </c>
      <c r="G133">
        <v>429387</v>
      </c>
      <c r="H133">
        <v>435729</v>
      </c>
      <c r="I133">
        <v>384719</v>
      </c>
      <c r="J133">
        <v>454017</v>
      </c>
      <c r="K133">
        <v>425729</v>
      </c>
      <c r="L133">
        <v>443229</v>
      </c>
    </row>
    <row r="134" spans="1:12" x14ac:dyDescent="0.35">
      <c r="A134">
        <v>2025</v>
      </c>
      <c r="B134">
        <v>7</v>
      </c>
      <c r="C134" t="s">
        <v>70</v>
      </c>
      <c r="D134" t="s">
        <v>225</v>
      </c>
      <c r="E134" t="s">
        <v>226</v>
      </c>
      <c r="F134">
        <v>3567</v>
      </c>
      <c r="G134">
        <v>334979</v>
      </c>
      <c r="H134">
        <v>325655</v>
      </c>
      <c r="I134">
        <v>203500</v>
      </c>
      <c r="J134">
        <v>583070</v>
      </c>
      <c r="K134">
        <v>302836</v>
      </c>
      <c r="L134">
        <v>375322</v>
      </c>
    </row>
    <row r="135" spans="1:12" x14ac:dyDescent="0.35">
      <c r="A135">
        <v>2025</v>
      </c>
      <c r="B135">
        <v>7</v>
      </c>
      <c r="C135" t="s">
        <v>70</v>
      </c>
      <c r="D135" t="s">
        <v>227</v>
      </c>
      <c r="E135" t="s">
        <v>228</v>
      </c>
      <c r="F135">
        <v>367</v>
      </c>
      <c r="G135">
        <v>292989</v>
      </c>
      <c r="H135">
        <v>290752</v>
      </c>
      <c r="I135">
        <v>262564</v>
      </c>
      <c r="J135">
        <v>408795</v>
      </c>
      <c r="K135">
        <v>275986</v>
      </c>
      <c r="L135">
        <v>305519</v>
      </c>
    </row>
    <row r="136" spans="1:12" x14ac:dyDescent="0.35">
      <c r="A136">
        <v>2025</v>
      </c>
      <c r="B136">
        <v>7</v>
      </c>
      <c r="C136" t="s">
        <v>70</v>
      </c>
      <c r="D136" t="s">
        <v>229</v>
      </c>
      <c r="E136" t="s">
        <v>230</v>
      </c>
      <c r="F136">
        <v>143</v>
      </c>
      <c r="G136">
        <v>294800</v>
      </c>
      <c r="H136">
        <v>283488</v>
      </c>
      <c r="I136">
        <v>275988</v>
      </c>
      <c r="J136">
        <v>351075</v>
      </c>
      <c r="K136">
        <v>275988</v>
      </c>
      <c r="L136">
        <v>313575</v>
      </c>
    </row>
    <row r="137" spans="1:12" x14ac:dyDescent="0.35">
      <c r="A137">
        <v>2025</v>
      </c>
      <c r="B137">
        <v>8</v>
      </c>
      <c r="C137" t="s">
        <v>71</v>
      </c>
      <c r="D137" t="s">
        <v>217</v>
      </c>
      <c r="E137" t="s">
        <v>218</v>
      </c>
      <c r="F137">
        <v>2982</v>
      </c>
      <c r="G137">
        <v>289177</v>
      </c>
      <c r="H137">
        <v>283486</v>
      </c>
      <c r="I137">
        <v>229743</v>
      </c>
      <c r="J137">
        <v>458550</v>
      </c>
      <c r="K137">
        <v>255297</v>
      </c>
      <c r="L137">
        <v>313019</v>
      </c>
    </row>
    <row r="138" spans="1:12" x14ac:dyDescent="0.35">
      <c r="A138">
        <v>2025</v>
      </c>
      <c r="B138">
        <v>8</v>
      </c>
      <c r="C138" t="s">
        <v>71</v>
      </c>
      <c r="D138" t="s">
        <v>219</v>
      </c>
      <c r="E138" t="s">
        <v>220</v>
      </c>
      <c r="F138">
        <v>5</v>
      </c>
      <c r="G138">
        <v>235400</v>
      </c>
      <c r="H138">
        <v>233400</v>
      </c>
      <c r="I138">
        <v>233400</v>
      </c>
      <c r="J138">
        <v>238400</v>
      </c>
      <c r="K138">
        <v>233400</v>
      </c>
      <c r="L138">
        <v>238400</v>
      </c>
    </row>
    <row r="139" spans="1:12" x14ac:dyDescent="0.35">
      <c r="A139">
        <v>2025</v>
      </c>
      <c r="B139">
        <v>8</v>
      </c>
      <c r="C139" t="s">
        <v>71</v>
      </c>
      <c r="D139" t="s">
        <v>221</v>
      </c>
      <c r="E139" t="s">
        <v>222</v>
      </c>
      <c r="F139">
        <v>352</v>
      </c>
      <c r="G139">
        <v>351698</v>
      </c>
      <c r="H139">
        <v>308019</v>
      </c>
      <c r="I139">
        <v>262564</v>
      </c>
      <c r="J139">
        <v>609869</v>
      </c>
      <c r="K139">
        <v>290752</v>
      </c>
      <c r="L139">
        <v>414485</v>
      </c>
    </row>
    <row r="140" spans="1:12" x14ac:dyDescent="0.35">
      <c r="A140">
        <v>2025</v>
      </c>
      <c r="B140">
        <v>8</v>
      </c>
      <c r="C140" t="s">
        <v>71</v>
      </c>
      <c r="D140" t="s">
        <v>223</v>
      </c>
      <c r="E140" t="s">
        <v>224</v>
      </c>
      <c r="F140">
        <v>25</v>
      </c>
      <c r="G140">
        <v>431560</v>
      </c>
      <c r="H140">
        <v>435963</v>
      </c>
      <c r="I140">
        <v>384719</v>
      </c>
      <c r="J140">
        <v>454017</v>
      </c>
      <c r="K140">
        <v>425729</v>
      </c>
      <c r="L140">
        <v>443229</v>
      </c>
    </row>
    <row r="141" spans="1:12" x14ac:dyDescent="0.35">
      <c r="A141">
        <v>2025</v>
      </c>
      <c r="B141">
        <v>8</v>
      </c>
      <c r="C141" t="s">
        <v>71</v>
      </c>
      <c r="D141" t="s">
        <v>225</v>
      </c>
      <c r="E141" t="s">
        <v>226</v>
      </c>
      <c r="F141">
        <v>3603</v>
      </c>
      <c r="G141">
        <v>335486</v>
      </c>
      <c r="H141">
        <v>325655</v>
      </c>
      <c r="I141">
        <v>203500</v>
      </c>
      <c r="J141">
        <v>583070</v>
      </c>
      <c r="K141">
        <v>303573</v>
      </c>
      <c r="L141">
        <v>375322</v>
      </c>
    </row>
    <row r="142" spans="1:12" x14ac:dyDescent="0.35">
      <c r="A142">
        <v>2025</v>
      </c>
      <c r="B142">
        <v>8</v>
      </c>
      <c r="C142" t="s">
        <v>71</v>
      </c>
      <c r="D142" t="s">
        <v>227</v>
      </c>
      <c r="E142" t="s">
        <v>228</v>
      </c>
      <c r="F142">
        <v>370</v>
      </c>
      <c r="G142">
        <v>293958</v>
      </c>
      <c r="H142">
        <v>290752</v>
      </c>
      <c r="I142">
        <v>262564</v>
      </c>
      <c r="J142">
        <v>408795</v>
      </c>
      <c r="K142">
        <v>275986</v>
      </c>
      <c r="L142">
        <v>305519</v>
      </c>
    </row>
    <row r="143" spans="1:12" x14ac:dyDescent="0.35">
      <c r="A143">
        <v>2025</v>
      </c>
      <c r="B143">
        <v>8</v>
      </c>
      <c r="C143" t="s">
        <v>71</v>
      </c>
      <c r="D143" t="s">
        <v>229</v>
      </c>
      <c r="E143" t="s">
        <v>230</v>
      </c>
      <c r="F143">
        <v>143</v>
      </c>
      <c r="G143">
        <v>295010</v>
      </c>
      <c r="H143">
        <v>283488</v>
      </c>
      <c r="I143">
        <v>275988</v>
      </c>
      <c r="J143">
        <v>351075</v>
      </c>
      <c r="K143">
        <v>275988</v>
      </c>
      <c r="L143">
        <v>313575</v>
      </c>
    </row>
    <row r="144" spans="1:12" x14ac:dyDescent="0.35">
      <c r="A144">
        <v>2025</v>
      </c>
      <c r="B144">
        <v>9</v>
      </c>
      <c r="C144" t="s">
        <v>72</v>
      </c>
      <c r="D144" t="s">
        <v>217</v>
      </c>
      <c r="E144" t="s">
        <v>218</v>
      </c>
      <c r="F144">
        <v>2970</v>
      </c>
      <c r="G144">
        <v>289111</v>
      </c>
      <c r="H144">
        <v>283486</v>
      </c>
      <c r="I144">
        <v>229743</v>
      </c>
      <c r="J144">
        <v>451517</v>
      </c>
      <c r="K144">
        <v>255297</v>
      </c>
      <c r="L144">
        <v>313019</v>
      </c>
    </row>
    <row r="145" spans="1:12" x14ac:dyDescent="0.35">
      <c r="A145">
        <v>2025</v>
      </c>
      <c r="B145">
        <v>9</v>
      </c>
      <c r="C145" t="s">
        <v>72</v>
      </c>
      <c r="D145" t="s">
        <v>219</v>
      </c>
      <c r="E145" t="s">
        <v>220</v>
      </c>
      <c r="F145">
        <v>5</v>
      </c>
      <c r="G145">
        <v>235400</v>
      </c>
      <c r="H145">
        <v>233400</v>
      </c>
      <c r="I145">
        <v>233400</v>
      </c>
      <c r="J145">
        <v>238400</v>
      </c>
      <c r="K145">
        <v>233400</v>
      </c>
      <c r="L145">
        <v>238400</v>
      </c>
    </row>
    <row r="146" spans="1:12" x14ac:dyDescent="0.35">
      <c r="A146">
        <v>2025</v>
      </c>
      <c r="B146">
        <v>9</v>
      </c>
      <c r="C146" t="s">
        <v>72</v>
      </c>
      <c r="D146" t="s">
        <v>221</v>
      </c>
      <c r="E146" t="s">
        <v>222</v>
      </c>
      <c r="F146">
        <v>352</v>
      </c>
      <c r="G146">
        <v>352316</v>
      </c>
      <c r="H146">
        <v>308136</v>
      </c>
      <c r="I146">
        <v>262564</v>
      </c>
      <c r="J146">
        <v>607418</v>
      </c>
      <c r="K146">
        <v>290752</v>
      </c>
      <c r="L146">
        <v>416936</v>
      </c>
    </row>
    <row r="147" spans="1:12" x14ac:dyDescent="0.35">
      <c r="A147">
        <v>2025</v>
      </c>
      <c r="B147">
        <v>9</v>
      </c>
      <c r="C147" t="s">
        <v>72</v>
      </c>
      <c r="D147" t="s">
        <v>223</v>
      </c>
      <c r="E147" t="s">
        <v>224</v>
      </c>
      <c r="F147">
        <v>26</v>
      </c>
      <c r="G147">
        <v>431770</v>
      </c>
      <c r="H147">
        <v>435963</v>
      </c>
      <c r="I147">
        <v>379719</v>
      </c>
      <c r="J147">
        <v>454017</v>
      </c>
      <c r="K147">
        <v>425729</v>
      </c>
      <c r="L147">
        <v>443229</v>
      </c>
    </row>
    <row r="148" spans="1:12" x14ac:dyDescent="0.35">
      <c r="A148">
        <v>2025</v>
      </c>
      <c r="B148">
        <v>9</v>
      </c>
      <c r="C148" t="s">
        <v>72</v>
      </c>
      <c r="D148" t="s">
        <v>225</v>
      </c>
      <c r="E148" t="s">
        <v>226</v>
      </c>
      <c r="F148">
        <v>3628</v>
      </c>
      <c r="G148">
        <v>335806</v>
      </c>
      <c r="H148">
        <v>325655</v>
      </c>
      <c r="I148">
        <v>203500</v>
      </c>
      <c r="J148">
        <v>583070</v>
      </c>
      <c r="K148">
        <v>305336</v>
      </c>
      <c r="L148">
        <v>375322</v>
      </c>
    </row>
    <row r="149" spans="1:12" x14ac:dyDescent="0.35">
      <c r="A149">
        <v>2025</v>
      </c>
      <c r="B149">
        <v>9</v>
      </c>
      <c r="C149" t="s">
        <v>72</v>
      </c>
      <c r="D149" t="s">
        <v>227</v>
      </c>
      <c r="E149" t="s">
        <v>228</v>
      </c>
      <c r="F149">
        <v>371</v>
      </c>
      <c r="G149">
        <v>294075</v>
      </c>
      <c r="H149">
        <v>290752</v>
      </c>
      <c r="I149">
        <v>262564</v>
      </c>
      <c r="J149">
        <v>408795</v>
      </c>
      <c r="K149">
        <v>275986</v>
      </c>
      <c r="L149">
        <v>305519</v>
      </c>
    </row>
    <row r="150" spans="1:12" x14ac:dyDescent="0.35">
      <c r="A150">
        <v>2025</v>
      </c>
      <c r="B150">
        <v>9</v>
      </c>
      <c r="C150" t="s">
        <v>72</v>
      </c>
      <c r="D150" t="s">
        <v>229</v>
      </c>
      <c r="E150" t="s">
        <v>230</v>
      </c>
      <c r="F150">
        <v>145</v>
      </c>
      <c r="G150">
        <v>295917</v>
      </c>
      <c r="H150">
        <v>283488</v>
      </c>
      <c r="I150">
        <v>275988</v>
      </c>
      <c r="J150">
        <v>360790</v>
      </c>
      <c r="K150">
        <v>275988</v>
      </c>
      <c r="L150">
        <v>313575</v>
      </c>
    </row>
    <row r="151" spans="1:12" x14ac:dyDescent="0.35">
      <c r="A151">
        <v>2025</v>
      </c>
      <c r="B151">
        <v>10</v>
      </c>
      <c r="C151" t="s">
        <v>73</v>
      </c>
      <c r="D151" t="s">
        <v>217</v>
      </c>
      <c r="E151" t="s">
        <v>218</v>
      </c>
      <c r="F151">
        <v>2977</v>
      </c>
      <c r="G151">
        <v>289043</v>
      </c>
      <c r="H151">
        <v>283486</v>
      </c>
      <c r="I151">
        <v>229743</v>
      </c>
      <c r="J151">
        <v>451517</v>
      </c>
      <c r="K151">
        <v>255297</v>
      </c>
      <c r="L151">
        <v>313019</v>
      </c>
    </row>
    <row r="152" spans="1:12" x14ac:dyDescent="0.35">
      <c r="A152">
        <v>2025</v>
      </c>
      <c r="B152">
        <v>10</v>
      </c>
      <c r="C152" t="s">
        <v>73</v>
      </c>
      <c r="D152" t="s">
        <v>219</v>
      </c>
      <c r="E152" t="s">
        <v>220</v>
      </c>
      <c r="F152">
        <v>5</v>
      </c>
      <c r="G152">
        <v>235400</v>
      </c>
      <c r="H152">
        <v>233400</v>
      </c>
      <c r="I152">
        <v>233400</v>
      </c>
      <c r="J152">
        <v>238400</v>
      </c>
      <c r="K152">
        <v>233400</v>
      </c>
      <c r="L152">
        <v>238400</v>
      </c>
    </row>
    <row r="153" spans="1:12" x14ac:dyDescent="0.35">
      <c r="A153">
        <v>2025</v>
      </c>
      <c r="B153">
        <v>10</v>
      </c>
      <c r="C153" t="s">
        <v>73</v>
      </c>
      <c r="D153" t="s">
        <v>221</v>
      </c>
      <c r="E153" t="s">
        <v>222</v>
      </c>
      <c r="F153">
        <v>352</v>
      </c>
      <c r="G153">
        <v>352185</v>
      </c>
      <c r="H153">
        <v>308252</v>
      </c>
      <c r="I153">
        <v>262564</v>
      </c>
      <c r="J153">
        <v>607418</v>
      </c>
      <c r="K153">
        <v>290752</v>
      </c>
      <c r="L153">
        <v>414485</v>
      </c>
    </row>
    <row r="154" spans="1:12" x14ac:dyDescent="0.35">
      <c r="A154">
        <v>2025</v>
      </c>
      <c r="B154">
        <v>10</v>
      </c>
      <c r="C154" t="s">
        <v>73</v>
      </c>
      <c r="D154" t="s">
        <v>223</v>
      </c>
      <c r="E154" t="s">
        <v>224</v>
      </c>
      <c r="F154">
        <v>26</v>
      </c>
      <c r="G154">
        <v>431658</v>
      </c>
      <c r="H154">
        <v>435846</v>
      </c>
      <c r="I154">
        <v>384719</v>
      </c>
      <c r="J154">
        <v>454017</v>
      </c>
      <c r="K154">
        <v>425729</v>
      </c>
      <c r="L154">
        <v>443229</v>
      </c>
    </row>
    <row r="155" spans="1:12" x14ac:dyDescent="0.35">
      <c r="A155">
        <v>2025</v>
      </c>
      <c r="B155">
        <v>10</v>
      </c>
      <c r="C155" t="s">
        <v>73</v>
      </c>
      <c r="D155" t="s">
        <v>225</v>
      </c>
      <c r="E155" t="s">
        <v>226</v>
      </c>
      <c r="F155">
        <v>3640</v>
      </c>
      <c r="G155">
        <v>335564</v>
      </c>
      <c r="H155">
        <v>325655</v>
      </c>
      <c r="I155">
        <v>203684</v>
      </c>
      <c r="J155">
        <v>583070</v>
      </c>
      <c r="K155">
        <v>305752</v>
      </c>
      <c r="L155">
        <v>375322</v>
      </c>
    </row>
    <row r="156" spans="1:12" x14ac:dyDescent="0.35">
      <c r="A156">
        <v>2025</v>
      </c>
      <c r="B156">
        <v>10</v>
      </c>
      <c r="C156" t="s">
        <v>73</v>
      </c>
      <c r="D156" t="s">
        <v>227</v>
      </c>
      <c r="E156" t="s">
        <v>228</v>
      </c>
      <c r="F156">
        <v>373</v>
      </c>
      <c r="G156">
        <v>294340</v>
      </c>
      <c r="H156">
        <v>290752</v>
      </c>
      <c r="I156">
        <v>262564</v>
      </c>
      <c r="J156">
        <v>408795</v>
      </c>
      <c r="K156">
        <v>275986</v>
      </c>
      <c r="L156">
        <v>305519</v>
      </c>
    </row>
    <row r="157" spans="1:12" x14ac:dyDescent="0.35">
      <c r="A157">
        <v>2025</v>
      </c>
      <c r="B157">
        <v>10</v>
      </c>
      <c r="C157" t="s">
        <v>73</v>
      </c>
      <c r="D157" t="s">
        <v>229</v>
      </c>
      <c r="E157" t="s">
        <v>230</v>
      </c>
      <c r="F157">
        <v>145</v>
      </c>
      <c r="G157">
        <v>296430</v>
      </c>
      <c r="H157">
        <v>290988</v>
      </c>
      <c r="I157">
        <v>275988</v>
      </c>
      <c r="J157">
        <v>390322</v>
      </c>
      <c r="K157">
        <v>275988</v>
      </c>
      <c r="L157">
        <v>313575</v>
      </c>
    </row>
    <row r="158" spans="1:12" x14ac:dyDescent="0.35">
      <c r="A158">
        <v>2025</v>
      </c>
      <c r="B158">
        <v>11</v>
      </c>
      <c r="C158" t="s">
        <v>74</v>
      </c>
      <c r="D158" t="s">
        <v>217</v>
      </c>
      <c r="E158" t="s">
        <v>218</v>
      </c>
      <c r="F158">
        <v>2975</v>
      </c>
      <c r="G158">
        <v>289018</v>
      </c>
      <c r="H158">
        <v>283486</v>
      </c>
      <c r="I158">
        <v>229743</v>
      </c>
      <c r="J158">
        <v>451517</v>
      </c>
      <c r="K158">
        <v>255297</v>
      </c>
      <c r="L158">
        <v>313019</v>
      </c>
    </row>
    <row r="159" spans="1:12" x14ac:dyDescent="0.35">
      <c r="A159">
        <v>2025</v>
      </c>
      <c r="B159">
        <v>11</v>
      </c>
      <c r="C159" t="s">
        <v>74</v>
      </c>
      <c r="D159" t="s">
        <v>219</v>
      </c>
      <c r="E159" t="s">
        <v>220</v>
      </c>
      <c r="F159">
        <v>5</v>
      </c>
      <c r="G159">
        <v>235400</v>
      </c>
      <c r="H159">
        <v>233400</v>
      </c>
      <c r="I159">
        <v>233400</v>
      </c>
      <c r="J159">
        <v>238400</v>
      </c>
      <c r="K159">
        <v>233400</v>
      </c>
      <c r="L159">
        <v>238400</v>
      </c>
    </row>
    <row r="160" spans="1:12" x14ac:dyDescent="0.35">
      <c r="A160">
        <v>2025</v>
      </c>
      <c r="B160">
        <v>11</v>
      </c>
      <c r="C160" t="s">
        <v>74</v>
      </c>
      <c r="D160" t="s">
        <v>221</v>
      </c>
      <c r="E160" t="s">
        <v>222</v>
      </c>
      <c r="F160">
        <v>352</v>
      </c>
      <c r="G160">
        <v>352398</v>
      </c>
      <c r="H160">
        <v>308252</v>
      </c>
      <c r="I160">
        <v>262564</v>
      </c>
      <c r="J160">
        <v>607418</v>
      </c>
      <c r="K160">
        <v>290752</v>
      </c>
      <c r="L160">
        <v>416936</v>
      </c>
    </row>
    <row r="161" spans="1:12" x14ac:dyDescent="0.35">
      <c r="A161">
        <v>2025</v>
      </c>
      <c r="B161">
        <v>11</v>
      </c>
      <c r="C161" t="s">
        <v>74</v>
      </c>
      <c r="D161" t="s">
        <v>223</v>
      </c>
      <c r="E161" t="s">
        <v>224</v>
      </c>
      <c r="F161">
        <v>26</v>
      </c>
      <c r="G161">
        <v>431658</v>
      </c>
      <c r="H161">
        <v>435846</v>
      </c>
      <c r="I161">
        <v>384719</v>
      </c>
      <c r="J161">
        <v>454017</v>
      </c>
      <c r="K161">
        <v>425729</v>
      </c>
      <c r="L161">
        <v>443229</v>
      </c>
    </row>
    <row r="162" spans="1:12" x14ac:dyDescent="0.35">
      <c r="A162">
        <v>2025</v>
      </c>
      <c r="B162">
        <v>11</v>
      </c>
      <c r="C162" t="s">
        <v>74</v>
      </c>
      <c r="D162" t="s">
        <v>225</v>
      </c>
      <c r="E162" t="s">
        <v>226</v>
      </c>
      <c r="F162">
        <v>3660</v>
      </c>
      <c r="G162">
        <v>335742</v>
      </c>
      <c r="H162">
        <v>325655</v>
      </c>
      <c r="I162">
        <v>203684</v>
      </c>
      <c r="J162">
        <v>583070</v>
      </c>
      <c r="K162">
        <v>305752</v>
      </c>
      <c r="L162">
        <v>373795</v>
      </c>
    </row>
    <row r="163" spans="1:12" x14ac:dyDescent="0.35">
      <c r="A163">
        <v>2025</v>
      </c>
      <c r="B163">
        <v>11</v>
      </c>
      <c r="C163" t="s">
        <v>74</v>
      </c>
      <c r="D163" t="s">
        <v>227</v>
      </c>
      <c r="E163" t="s">
        <v>228</v>
      </c>
      <c r="F163">
        <v>376</v>
      </c>
      <c r="G163">
        <v>294914</v>
      </c>
      <c r="H163">
        <v>290752</v>
      </c>
      <c r="I163">
        <v>262564</v>
      </c>
      <c r="J163">
        <v>408795</v>
      </c>
      <c r="K163">
        <v>275986</v>
      </c>
      <c r="L163">
        <v>305752</v>
      </c>
    </row>
    <row r="164" spans="1:12" x14ac:dyDescent="0.35">
      <c r="A164">
        <v>2025</v>
      </c>
      <c r="B164">
        <v>11</v>
      </c>
      <c r="C164" t="s">
        <v>74</v>
      </c>
      <c r="D164" t="s">
        <v>229</v>
      </c>
      <c r="E164" t="s">
        <v>230</v>
      </c>
      <c r="F164">
        <v>145</v>
      </c>
      <c r="G164">
        <v>297336</v>
      </c>
      <c r="H164">
        <v>290988</v>
      </c>
      <c r="I164">
        <v>275988</v>
      </c>
      <c r="J164">
        <v>390322</v>
      </c>
      <c r="K164">
        <v>275988</v>
      </c>
      <c r="L164">
        <v>313575</v>
      </c>
    </row>
    <row r="165" spans="1:12" x14ac:dyDescent="0.35">
      <c r="A165">
        <v>2025</v>
      </c>
      <c r="B165">
        <v>12</v>
      </c>
      <c r="C165" t="s">
        <v>75</v>
      </c>
      <c r="D165" t="s">
        <v>217</v>
      </c>
      <c r="E165" t="s">
        <v>218</v>
      </c>
      <c r="F165">
        <v>2968</v>
      </c>
      <c r="G165">
        <v>288861</v>
      </c>
      <c r="H165">
        <v>283486</v>
      </c>
      <c r="I165">
        <v>229743</v>
      </c>
      <c r="J165">
        <v>451517</v>
      </c>
      <c r="K165">
        <v>255297</v>
      </c>
      <c r="L165">
        <v>313019</v>
      </c>
    </row>
    <row r="166" spans="1:12" x14ac:dyDescent="0.35">
      <c r="A166">
        <v>2025</v>
      </c>
      <c r="B166">
        <v>12</v>
      </c>
      <c r="C166" t="s">
        <v>75</v>
      </c>
      <c r="D166" t="s">
        <v>219</v>
      </c>
      <c r="E166" t="s">
        <v>220</v>
      </c>
      <c r="F166">
        <v>5</v>
      </c>
      <c r="G166">
        <v>235400</v>
      </c>
      <c r="H166">
        <v>233400</v>
      </c>
      <c r="I166">
        <v>233400</v>
      </c>
      <c r="J166">
        <v>238400</v>
      </c>
      <c r="K166">
        <v>233400</v>
      </c>
      <c r="L166">
        <v>238400</v>
      </c>
    </row>
    <row r="167" spans="1:12" x14ac:dyDescent="0.35">
      <c r="A167">
        <v>2025</v>
      </c>
      <c r="B167">
        <v>12</v>
      </c>
      <c r="C167" t="s">
        <v>75</v>
      </c>
      <c r="D167" t="s">
        <v>221</v>
      </c>
      <c r="E167" t="s">
        <v>222</v>
      </c>
      <c r="F167">
        <v>352</v>
      </c>
      <c r="G167">
        <v>352744</v>
      </c>
      <c r="H167">
        <v>309386</v>
      </c>
      <c r="I167">
        <v>262564</v>
      </c>
      <c r="J167">
        <v>607418</v>
      </c>
      <c r="K167">
        <v>290752</v>
      </c>
      <c r="L167">
        <v>416936</v>
      </c>
    </row>
    <row r="168" spans="1:12" x14ac:dyDescent="0.35">
      <c r="A168">
        <v>2025</v>
      </c>
      <c r="B168">
        <v>12</v>
      </c>
      <c r="C168" t="s">
        <v>75</v>
      </c>
      <c r="D168" t="s">
        <v>223</v>
      </c>
      <c r="E168" t="s">
        <v>224</v>
      </c>
      <c r="F168">
        <v>26</v>
      </c>
      <c r="G168">
        <v>431658</v>
      </c>
      <c r="H168">
        <v>435846</v>
      </c>
      <c r="I168">
        <v>384719</v>
      </c>
      <c r="J168">
        <v>454017</v>
      </c>
      <c r="K168">
        <v>425729</v>
      </c>
      <c r="L168">
        <v>443229</v>
      </c>
    </row>
    <row r="169" spans="1:12" x14ac:dyDescent="0.35">
      <c r="A169">
        <v>2025</v>
      </c>
      <c r="B169">
        <v>12</v>
      </c>
      <c r="C169" t="s">
        <v>75</v>
      </c>
      <c r="D169" t="s">
        <v>225</v>
      </c>
      <c r="E169" t="s">
        <v>226</v>
      </c>
      <c r="F169">
        <v>3656</v>
      </c>
      <c r="G169">
        <v>335938</v>
      </c>
      <c r="H169">
        <v>325655</v>
      </c>
      <c r="I169">
        <v>203684</v>
      </c>
      <c r="J169">
        <v>583070</v>
      </c>
      <c r="K169">
        <v>308252</v>
      </c>
      <c r="L169">
        <v>370322</v>
      </c>
    </row>
    <row r="170" spans="1:12" x14ac:dyDescent="0.35">
      <c r="A170">
        <v>2025</v>
      </c>
      <c r="B170">
        <v>12</v>
      </c>
      <c r="C170" t="s">
        <v>75</v>
      </c>
      <c r="D170" t="s">
        <v>227</v>
      </c>
      <c r="E170" t="s">
        <v>228</v>
      </c>
      <c r="F170">
        <v>376</v>
      </c>
      <c r="G170">
        <v>295398</v>
      </c>
      <c r="H170">
        <v>290752</v>
      </c>
      <c r="I170">
        <v>262564</v>
      </c>
      <c r="J170">
        <v>408795</v>
      </c>
      <c r="K170">
        <v>275986</v>
      </c>
      <c r="L170">
        <v>305752</v>
      </c>
    </row>
    <row r="171" spans="1:12" x14ac:dyDescent="0.35">
      <c r="A171">
        <v>2025</v>
      </c>
      <c r="B171">
        <v>12</v>
      </c>
      <c r="C171" t="s">
        <v>75</v>
      </c>
      <c r="D171" t="s">
        <v>229</v>
      </c>
      <c r="E171" t="s">
        <v>230</v>
      </c>
      <c r="F171">
        <v>145</v>
      </c>
      <c r="G171">
        <v>303001</v>
      </c>
      <c r="H171">
        <v>298252</v>
      </c>
      <c r="I171">
        <v>275988</v>
      </c>
      <c r="J171">
        <v>390322</v>
      </c>
      <c r="K171">
        <v>283488</v>
      </c>
      <c r="L171">
        <v>321075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232</v>
      </c>
      <c r="E5" t="s">
        <v>233</v>
      </c>
      <c r="F5">
        <v>4763</v>
      </c>
      <c r="G5">
        <v>245253</v>
      </c>
      <c r="H5">
        <v>231688</v>
      </c>
      <c r="I5">
        <v>204237</v>
      </c>
      <c r="J5">
        <v>466517</v>
      </c>
      <c r="K5">
        <v>222292</v>
      </c>
      <c r="L5">
        <v>244792</v>
      </c>
    </row>
    <row r="6" spans="1:12" x14ac:dyDescent="0.35">
      <c r="A6">
        <v>2024</v>
      </c>
      <c r="B6">
        <v>1</v>
      </c>
      <c r="C6" t="s">
        <v>42</v>
      </c>
      <c r="D6" t="s">
        <v>234</v>
      </c>
      <c r="E6" t="s">
        <v>235</v>
      </c>
      <c r="F6">
        <v>1577</v>
      </c>
      <c r="G6">
        <v>242615</v>
      </c>
      <c r="H6">
        <v>234422</v>
      </c>
      <c r="I6">
        <v>210212</v>
      </c>
      <c r="J6">
        <v>320568</v>
      </c>
      <c r="K6">
        <v>220212</v>
      </c>
      <c r="L6">
        <v>249422</v>
      </c>
    </row>
    <row r="7" spans="1:12" x14ac:dyDescent="0.35">
      <c r="A7">
        <v>2024</v>
      </c>
      <c r="B7">
        <v>1</v>
      </c>
      <c r="C7" t="s">
        <v>42</v>
      </c>
      <c r="D7" t="s">
        <v>236</v>
      </c>
      <c r="E7" t="s">
        <v>237</v>
      </c>
      <c r="F7">
        <v>2747</v>
      </c>
      <c r="G7">
        <v>275820</v>
      </c>
      <c r="H7">
        <v>274275</v>
      </c>
      <c r="I7">
        <v>210212</v>
      </c>
      <c r="J7">
        <v>391919</v>
      </c>
      <c r="K7">
        <v>261640</v>
      </c>
      <c r="L7">
        <v>289275</v>
      </c>
    </row>
    <row r="8" spans="1:12" x14ac:dyDescent="0.35">
      <c r="A8">
        <v>2024</v>
      </c>
      <c r="B8">
        <v>1</v>
      </c>
      <c r="C8" t="s">
        <v>42</v>
      </c>
      <c r="D8" t="s">
        <v>238</v>
      </c>
      <c r="E8" t="s">
        <v>239</v>
      </c>
      <c r="F8">
        <v>1216</v>
      </c>
      <c r="G8">
        <v>219926</v>
      </c>
      <c r="H8">
        <v>219003</v>
      </c>
      <c r="I8">
        <v>191418</v>
      </c>
      <c r="J8">
        <v>250902</v>
      </c>
      <c r="K8">
        <v>206922</v>
      </c>
      <c r="L8">
        <v>231787</v>
      </c>
    </row>
    <row r="9" spans="1:12" x14ac:dyDescent="0.35">
      <c r="A9">
        <v>2024</v>
      </c>
      <c r="B9">
        <v>2</v>
      </c>
      <c r="C9" t="s">
        <v>63</v>
      </c>
      <c r="D9" t="s">
        <v>232</v>
      </c>
      <c r="E9" t="s">
        <v>233</v>
      </c>
      <c r="F9">
        <v>4739</v>
      </c>
      <c r="G9">
        <v>245307</v>
      </c>
      <c r="H9">
        <v>231923</v>
      </c>
      <c r="I9">
        <v>204237</v>
      </c>
      <c r="J9">
        <v>465963</v>
      </c>
      <c r="K9">
        <v>222292</v>
      </c>
      <c r="L9">
        <v>244792</v>
      </c>
    </row>
    <row r="10" spans="1:12" x14ac:dyDescent="0.35">
      <c r="A10">
        <v>2024</v>
      </c>
      <c r="B10">
        <v>2</v>
      </c>
      <c r="C10" t="s">
        <v>63</v>
      </c>
      <c r="D10" t="s">
        <v>234</v>
      </c>
      <c r="E10" t="s">
        <v>235</v>
      </c>
      <c r="F10">
        <v>1573</v>
      </c>
      <c r="G10">
        <v>243162</v>
      </c>
      <c r="H10">
        <v>234422</v>
      </c>
      <c r="I10">
        <v>210212</v>
      </c>
      <c r="J10">
        <v>320568</v>
      </c>
      <c r="K10">
        <v>220212</v>
      </c>
      <c r="L10">
        <v>249422</v>
      </c>
    </row>
    <row r="11" spans="1:12" x14ac:dyDescent="0.35">
      <c r="A11">
        <v>2024</v>
      </c>
      <c r="B11">
        <v>2</v>
      </c>
      <c r="C11" t="s">
        <v>63</v>
      </c>
      <c r="D11" t="s">
        <v>236</v>
      </c>
      <c r="E11" t="s">
        <v>237</v>
      </c>
      <c r="F11">
        <v>2767</v>
      </c>
      <c r="G11">
        <v>276261</v>
      </c>
      <c r="H11">
        <v>274275</v>
      </c>
      <c r="I11">
        <v>210212</v>
      </c>
      <c r="J11">
        <v>464407</v>
      </c>
      <c r="K11">
        <v>261640</v>
      </c>
      <c r="L11">
        <v>289275</v>
      </c>
    </row>
    <row r="12" spans="1:12" x14ac:dyDescent="0.35">
      <c r="A12">
        <v>2024</v>
      </c>
      <c r="B12">
        <v>2</v>
      </c>
      <c r="C12" t="s">
        <v>63</v>
      </c>
      <c r="D12" t="s">
        <v>238</v>
      </c>
      <c r="E12" t="s">
        <v>239</v>
      </c>
      <c r="F12">
        <v>1220</v>
      </c>
      <c r="G12">
        <v>220365</v>
      </c>
      <c r="H12">
        <v>219978</v>
      </c>
      <c r="I12">
        <v>191418</v>
      </c>
      <c r="J12">
        <v>250902</v>
      </c>
      <c r="K12">
        <v>207895</v>
      </c>
      <c r="L12">
        <v>232661</v>
      </c>
    </row>
    <row r="13" spans="1:12" x14ac:dyDescent="0.35">
      <c r="A13">
        <v>2024</v>
      </c>
      <c r="B13">
        <v>3</v>
      </c>
      <c r="C13" t="s">
        <v>66</v>
      </c>
      <c r="D13" t="s">
        <v>232</v>
      </c>
      <c r="E13" t="s">
        <v>233</v>
      </c>
      <c r="F13">
        <v>4916</v>
      </c>
      <c r="G13">
        <v>244770</v>
      </c>
      <c r="H13">
        <v>231968</v>
      </c>
      <c r="I13">
        <v>204237</v>
      </c>
      <c r="J13">
        <v>466517</v>
      </c>
      <c r="K13">
        <v>222292</v>
      </c>
      <c r="L13">
        <v>244792</v>
      </c>
    </row>
    <row r="14" spans="1:12" x14ac:dyDescent="0.35">
      <c r="A14">
        <v>2024</v>
      </c>
      <c r="B14">
        <v>3</v>
      </c>
      <c r="C14" t="s">
        <v>66</v>
      </c>
      <c r="D14" t="s">
        <v>234</v>
      </c>
      <c r="E14" t="s">
        <v>235</v>
      </c>
      <c r="F14">
        <v>1572</v>
      </c>
      <c r="G14">
        <v>243230</v>
      </c>
      <c r="H14">
        <v>234422</v>
      </c>
      <c r="I14">
        <v>210212</v>
      </c>
      <c r="J14">
        <v>320568</v>
      </c>
      <c r="K14">
        <v>220212</v>
      </c>
      <c r="L14">
        <v>249422</v>
      </c>
    </row>
    <row r="15" spans="1:12" x14ac:dyDescent="0.35">
      <c r="A15">
        <v>2024</v>
      </c>
      <c r="B15">
        <v>3</v>
      </c>
      <c r="C15" t="s">
        <v>66</v>
      </c>
      <c r="D15" t="s">
        <v>236</v>
      </c>
      <c r="E15" t="s">
        <v>237</v>
      </c>
      <c r="F15">
        <v>2777</v>
      </c>
      <c r="G15">
        <v>276303</v>
      </c>
      <c r="H15">
        <v>274509</v>
      </c>
      <c r="I15">
        <v>210212</v>
      </c>
      <c r="J15">
        <v>467106</v>
      </c>
      <c r="K15">
        <v>261640</v>
      </c>
      <c r="L15">
        <v>289509</v>
      </c>
    </row>
    <row r="16" spans="1:12" x14ac:dyDescent="0.35">
      <c r="A16">
        <v>2024</v>
      </c>
      <c r="B16">
        <v>3</v>
      </c>
      <c r="C16" t="s">
        <v>66</v>
      </c>
      <c r="D16" t="s">
        <v>238</v>
      </c>
      <c r="E16" t="s">
        <v>239</v>
      </c>
      <c r="F16">
        <v>1229</v>
      </c>
      <c r="G16">
        <v>220081</v>
      </c>
      <c r="H16">
        <v>219191</v>
      </c>
      <c r="I16">
        <v>191418</v>
      </c>
      <c r="J16">
        <v>250902</v>
      </c>
      <c r="K16">
        <v>206922</v>
      </c>
      <c r="L16">
        <v>231922</v>
      </c>
    </row>
    <row r="17" spans="1:12" x14ac:dyDescent="0.35">
      <c r="A17">
        <v>2024</v>
      </c>
      <c r="B17">
        <v>4</v>
      </c>
      <c r="C17" t="s">
        <v>67</v>
      </c>
      <c r="D17" t="s">
        <v>232</v>
      </c>
      <c r="E17" t="s">
        <v>233</v>
      </c>
      <c r="F17">
        <v>4951</v>
      </c>
      <c r="G17">
        <v>244309</v>
      </c>
      <c r="H17">
        <v>231688</v>
      </c>
      <c r="I17">
        <v>204237</v>
      </c>
      <c r="J17">
        <v>466517</v>
      </c>
      <c r="K17">
        <v>222292</v>
      </c>
      <c r="L17">
        <v>244792</v>
      </c>
    </row>
    <row r="18" spans="1:12" x14ac:dyDescent="0.35">
      <c r="A18">
        <v>2024</v>
      </c>
      <c r="B18">
        <v>4</v>
      </c>
      <c r="C18" t="s">
        <v>67</v>
      </c>
      <c r="D18" t="s">
        <v>234</v>
      </c>
      <c r="E18" t="s">
        <v>235</v>
      </c>
      <c r="F18">
        <v>1549</v>
      </c>
      <c r="G18">
        <v>243079</v>
      </c>
      <c r="H18">
        <v>234422</v>
      </c>
      <c r="I18">
        <v>210212</v>
      </c>
      <c r="J18">
        <v>320568</v>
      </c>
      <c r="K18">
        <v>220212</v>
      </c>
      <c r="L18">
        <v>249422</v>
      </c>
    </row>
    <row r="19" spans="1:12" x14ac:dyDescent="0.35">
      <c r="A19">
        <v>2024</v>
      </c>
      <c r="B19">
        <v>4</v>
      </c>
      <c r="C19" t="s">
        <v>67</v>
      </c>
      <c r="D19" t="s">
        <v>236</v>
      </c>
      <c r="E19" t="s">
        <v>237</v>
      </c>
      <c r="F19">
        <v>2792</v>
      </c>
      <c r="G19">
        <v>275738</v>
      </c>
      <c r="H19">
        <v>274509</v>
      </c>
      <c r="I19">
        <v>216922</v>
      </c>
      <c r="J19">
        <v>390887</v>
      </c>
      <c r="K19">
        <v>261640</v>
      </c>
      <c r="L19">
        <v>289509</v>
      </c>
    </row>
    <row r="20" spans="1:12" x14ac:dyDescent="0.35">
      <c r="A20">
        <v>2024</v>
      </c>
      <c r="B20">
        <v>4</v>
      </c>
      <c r="C20" t="s">
        <v>67</v>
      </c>
      <c r="D20" t="s">
        <v>238</v>
      </c>
      <c r="E20" t="s">
        <v>239</v>
      </c>
      <c r="F20">
        <v>1230</v>
      </c>
      <c r="G20">
        <v>220073</v>
      </c>
      <c r="H20">
        <v>219102</v>
      </c>
      <c r="I20">
        <v>191517</v>
      </c>
      <c r="J20">
        <v>250902</v>
      </c>
      <c r="K20">
        <v>206922</v>
      </c>
      <c r="L20">
        <v>231922</v>
      </c>
    </row>
    <row r="21" spans="1:12" x14ac:dyDescent="0.35">
      <c r="A21">
        <v>2024</v>
      </c>
      <c r="B21">
        <v>5</v>
      </c>
      <c r="C21" t="s">
        <v>68</v>
      </c>
      <c r="D21" t="s">
        <v>232</v>
      </c>
      <c r="E21" t="s">
        <v>233</v>
      </c>
      <c r="F21">
        <v>4946</v>
      </c>
      <c r="G21">
        <v>243888</v>
      </c>
      <c r="H21">
        <v>231688</v>
      </c>
      <c r="I21">
        <v>204237</v>
      </c>
      <c r="J21">
        <v>466517</v>
      </c>
      <c r="K21">
        <v>222292</v>
      </c>
      <c r="L21">
        <v>244792</v>
      </c>
    </row>
    <row r="22" spans="1:12" x14ac:dyDescent="0.35">
      <c r="A22">
        <v>2024</v>
      </c>
      <c r="B22">
        <v>5</v>
      </c>
      <c r="C22" t="s">
        <v>68</v>
      </c>
      <c r="D22" t="s">
        <v>234</v>
      </c>
      <c r="E22" t="s">
        <v>235</v>
      </c>
      <c r="F22">
        <v>1536</v>
      </c>
      <c r="G22">
        <v>247766</v>
      </c>
      <c r="H22">
        <v>238226</v>
      </c>
      <c r="I22">
        <v>216922</v>
      </c>
      <c r="J22">
        <v>320568</v>
      </c>
      <c r="K22">
        <v>230726</v>
      </c>
      <c r="L22">
        <v>253226</v>
      </c>
    </row>
    <row r="23" spans="1:12" x14ac:dyDescent="0.35">
      <c r="A23">
        <v>2024</v>
      </c>
      <c r="B23">
        <v>5</v>
      </c>
      <c r="C23" t="s">
        <v>68</v>
      </c>
      <c r="D23" t="s">
        <v>236</v>
      </c>
      <c r="E23" t="s">
        <v>237</v>
      </c>
      <c r="F23">
        <v>2767</v>
      </c>
      <c r="G23">
        <v>275973</v>
      </c>
      <c r="H23">
        <v>274927</v>
      </c>
      <c r="I23">
        <v>212710</v>
      </c>
      <c r="J23">
        <v>398153</v>
      </c>
      <c r="K23">
        <v>261640</v>
      </c>
      <c r="L23">
        <v>290986</v>
      </c>
    </row>
    <row r="24" spans="1:12" x14ac:dyDescent="0.35">
      <c r="A24">
        <v>2024</v>
      </c>
      <c r="B24">
        <v>5</v>
      </c>
      <c r="C24" t="s">
        <v>68</v>
      </c>
      <c r="D24" t="s">
        <v>238</v>
      </c>
      <c r="E24" t="s">
        <v>239</v>
      </c>
      <c r="F24">
        <v>1212</v>
      </c>
      <c r="G24">
        <v>220168</v>
      </c>
      <c r="H24">
        <v>219102</v>
      </c>
      <c r="I24">
        <v>191602</v>
      </c>
      <c r="J24">
        <v>250902</v>
      </c>
      <c r="K24">
        <v>206922</v>
      </c>
      <c r="L24">
        <v>232661</v>
      </c>
    </row>
    <row r="25" spans="1:12" x14ac:dyDescent="0.35">
      <c r="A25">
        <v>2024</v>
      </c>
      <c r="B25">
        <v>6</v>
      </c>
      <c r="C25" t="s">
        <v>69</v>
      </c>
      <c r="D25" t="s">
        <v>232</v>
      </c>
      <c r="E25" t="s">
        <v>233</v>
      </c>
      <c r="F25">
        <v>4965</v>
      </c>
      <c r="G25">
        <v>243754</v>
      </c>
      <c r="H25">
        <v>231688</v>
      </c>
      <c r="I25">
        <v>204237</v>
      </c>
      <c r="J25">
        <v>466517</v>
      </c>
      <c r="K25">
        <v>222292</v>
      </c>
      <c r="L25">
        <v>244792</v>
      </c>
    </row>
    <row r="26" spans="1:12" x14ac:dyDescent="0.35">
      <c r="A26">
        <v>2024</v>
      </c>
      <c r="B26">
        <v>6</v>
      </c>
      <c r="C26" t="s">
        <v>69</v>
      </c>
      <c r="D26" t="s">
        <v>234</v>
      </c>
      <c r="E26" t="s">
        <v>235</v>
      </c>
      <c r="F26">
        <v>1535</v>
      </c>
      <c r="G26">
        <v>246167</v>
      </c>
      <c r="H26">
        <v>234422</v>
      </c>
      <c r="I26">
        <v>216922</v>
      </c>
      <c r="J26">
        <v>320568</v>
      </c>
      <c r="K26">
        <v>226922</v>
      </c>
      <c r="L26">
        <v>249422</v>
      </c>
    </row>
    <row r="27" spans="1:12" x14ac:dyDescent="0.35">
      <c r="A27">
        <v>2024</v>
      </c>
      <c r="B27">
        <v>6</v>
      </c>
      <c r="C27" t="s">
        <v>69</v>
      </c>
      <c r="D27" t="s">
        <v>236</v>
      </c>
      <c r="E27" t="s">
        <v>237</v>
      </c>
      <c r="F27">
        <v>2755</v>
      </c>
      <c r="G27">
        <v>276915</v>
      </c>
      <c r="H27">
        <v>276640</v>
      </c>
      <c r="I27">
        <v>210212</v>
      </c>
      <c r="J27">
        <v>413488</v>
      </c>
      <c r="K27">
        <v>261640</v>
      </c>
      <c r="L27">
        <v>291640</v>
      </c>
    </row>
    <row r="28" spans="1:12" x14ac:dyDescent="0.35">
      <c r="A28">
        <v>2024</v>
      </c>
      <c r="B28">
        <v>6</v>
      </c>
      <c r="C28" t="s">
        <v>69</v>
      </c>
      <c r="D28" t="s">
        <v>238</v>
      </c>
      <c r="E28" t="s">
        <v>239</v>
      </c>
      <c r="F28">
        <v>1205</v>
      </c>
      <c r="G28">
        <v>220082</v>
      </c>
      <c r="H28">
        <v>219005</v>
      </c>
      <c r="I28">
        <v>191602</v>
      </c>
      <c r="J28">
        <v>250902</v>
      </c>
      <c r="K28">
        <v>206922</v>
      </c>
      <c r="L28">
        <v>232895</v>
      </c>
    </row>
    <row r="29" spans="1:12" x14ac:dyDescent="0.35">
      <c r="A29">
        <v>2024</v>
      </c>
      <c r="B29">
        <v>7</v>
      </c>
      <c r="C29" t="s">
        <v>70</v>
      </c>
      <c r="D29" t="s">
        <v>232</v>
      </c>
      <c r="E29" t="s">
        <v>233</v>
      </c>
      <c r="F29">
        <v>4973</v>
      </c>
      <c r="G29">
        <v>243799</v>
      </c>
      <c r="H29">
        <v>231688</v>
      </c>
      <c r="I29">
        <v>204237</v>
      </c>
      <c r="J29">
        <v>466517</v>
      </c>
      <c r="K29">
        <v>222292</v>
      </c>
      <c r="L29">
        <v>244792</v>
      </c>
    </row>
    <row r="30" spans="1:12" x14ac:dyDescent="0.35">
      <c r="A30">
        <v>2024</v>
      </c>
      <c r="B30">
        <v>7</v>
      </c>
      <c r="C30" t="s">
        <v>70</v>
      </c>
      <c r="D30" t="s">
        <v>234</v>
      </c>
      <c r="E30" t="s">
        <v>235</v>
      </c>
      <c r="F30">
        <v>1533</v>
      </c>
      <c r="G30">
        <v>248636</v>
      </c>
      <c r="H30">
        <v>241134</v>
      </c>
      <c r="I30">
        <v>216922</v>
      </c>
      <c r="J30">
        <v>320568</v>
      </c>
      <c r="K30">
        <v>226922</v>
      </c>
      <c r="L30">
        <v>256134</v>
      </c>
    </row>
    <row r="31" spans="1:12" x14ac:dyDescent="0.35">
      <c r="A31">
        <v>2024</v>
      </c>
      <c r="B31">
        <v>7</v>
      </c>
      <c r="C31" t="s">
        <v>70</v>
      </c>
      <c r="D31" t="s">
        <v>236</v>
      </c>
      <c r="E31" t="s">
        <v>237</v>
      </c>
      <c r="F31">
        <v>2762</v>
      </c>
      <c r="G31">
        <v>276742</v>
      </c>
      <c r="H31">
        <v>276640</v>
      </c>
      <c r="I31">
        <v>210212</v>
      </c>
      <c r="J31">
        <v>427685</v>
      </c>
      <c r="K31">
        <v>261640</v>
      </c>
      <c r="L31">
        <v>291640</v>
      </c>
    </row>
    <row r="32" spans="1:12" x14ac:dyDescent="0.35">
      <c r="A32">
        <v>2024</v>
      </c>
      <c r="B32">
        <v>7</v>
      </c>
      <c r="C32" t="s">
        <v>70</v>
      </c>
      <c r="D32" t="s">
        <v>238</v>
      </c>
      <c r="E32" t="s">
        <v>239</v>
      </c>
      <c r="F32">
        <v>1216</v>
      </c>
      <c r="G32">
        <v>220000</v>
      </c>
      <c r="H32">
        <v>219004</v>
      </c>
      <c r="I32">
        <v>191602</v>
      </c>
      <c r="J32">
        <v>250902</v>
      </c>
      <c r="K32">
        <v>206922</v>
      </c>
      <c r="L32">
        <v>232341</v>
      </c>
    </row>
    <row r="33" spans="1:12" x14ac:dyDescent="0.35">
      <c r="A33">
        <v>2024</v>
      </c>
      <c r="B33">
        <v>8</v>
      </c>
      <c r="C33" t="s">
        <v>71</v>
      </c>
      <c r="D33" t="s">
        <v>232</v>
      </c>
      <c r="E33" t="s">
        <v>233</v>
      </c>
      <c r="F33">
        <v>5005</v>
      </c>
      <c r="G33">
        <v>246428</v>
      </c>
      <c r="H33">
        <v>234373</v>
      </c>
      <c r="I33">
        <v>204842</v>
      </c>
      <c r="J33">
        <v>466517</v>
      </c>
      <c r="K33">
        <v>222476</v>
      </c>
      <c r="L33">
        <v>249140</v>
      </c>
    </row>
    <row r="34" spans="1:12" x14ac:dyDescent="0.35">
      <c r="A34">
        <v>2024</v>
      </c>
      <c r="B34">
        <v>8</v>
      </c>
      <c r="C34" t="s">
        <v>71</v>
      </c>
      <c r="D34" t="s">
        <v>234</v>
      </c>
      <c r="E34" t="s">
        <v>235</v>
      </c>
      <c r="F34">
        <v>1527</v>
      </c>
      <c r="G34">
        <v>247924</v>
      </c>
      <c r="H34">
        <v>241134</v>
      </c>
      <c r="I34">
        <v>216922</v>
      </c>
      <c r="J34">
        <v>320568</v>
      </c>
      <c r="K34">
        <v>226922</v>
      </c>
      <c r="L34">
        <v>256134</v>
      </c>
    </row>
    <row r="35" spans="1:12" x14ac:dyDescent="0.35">
      <c r="A35">
        <v>2024</v>
      </c>
      <c r="B35">
        <v>8</v>
      </c>
      <c r="C35" t="s">
        <v>71</v>
      </c>
      <c r="D35" t="s">
        <v>236</v>
      </c>
      <c r="E35" t="s">
        <v>237</v>
      </c>
      <c r="F35">
        <v>2745</v>
      </c>
      <c r="G35">
        <v>277597</v>
      </c>
      <c r="H35">
        <v>276640</v>
      </c>
      <c r="I35">
        <v>210212</v>
      </c>
      <c r="J35">
        <v>459951</v>
      </c>
      <c r="K35">
        <v>261640</v>
      </c>
      <c r="L35">
        <v>291640</v>
      </c>
    </row>
    <row r="36" spans="1:12" x14ac:dyDescent="0.35">
      <c r="A36">
        <v>2024</v>
      </c>
      <c r="B36">
        <v>8</v>
      </c>
      <c r="C36" t="s">
        <v>71</v>
      </c>
      <c r="D36" t="s">
        <v>238</v>
      </c>
      <c r="E36" t="s">
        <v>239</v>
      </c>
      <c r="F36">
        <v>1227</v>
      </c>
      <c r="G36">
        <v>219922</v>
      </c>
      <c r="H36">
        <v>219003</v>
      </c>
      <c r="I36">
        <v>191602</v>
      </c>
      <c r="J36">
        <v>250902</v>
      </c>
      <c r="K36">
        <v>206922</v>
      </c>
      <c r="L36">
        <v>232341</v>
      </c>
    </row>
    <row r="37" spans="1:12" x14ac:dyDescent="0.35">
      <c r="A37">
        <v>2024</v>
      </c>
      <c r="B37">
        <v>9</v>
      </c>
      <c r="C37" t="s">
        <v>72</v>
      </c>
      <c r="D37" t="s">
        <v>232</v>
      </c>
      <c r="E37" t="s">
        <v>233</v>
      </c>
      <c r="F37">
        <v>5072</v>
      </c>
      <c r="G37">
        <v>243901</v>
      </c>
      <c r="H37">
        <v>232292</v>
      </c>
      <c r="I37">
        <v>204842</v>
      </c>
      <c r="J37">
        <v>466517</v>
      </c>
      <c r="K37">
        <v>222292</v>
      </c>
      <c r="L37">
        <v>246688</v>
      </c>
    </row>
    <row r="38" spans="1:12" x14ac:dyDescent="0.35">
      <c r="A38">
        <v>2024</v>
      </c>
      <c r="B38">
        <v>9</v>
      </c>
      <c r="C38" t="s">
        <v>72</v>
      </c>
      <c r="D38" t="s">
        <v>234</v>
      </c>
      <c r="E38" t="s">
        <v>235</v>
      </c>
      <c r="F38">
        <v>1530</v>
      </c>
      <c r="G38">
        <v>248029</v>
      </c>
      <c r="H38">
        <v>241134</v>
      </c>
      <c r="I38">
        <v>216922</v>
      </c>
      <c r="J38">
        <v>320568</v>
      </c>
      <c r="K38">
        <v>226922</v>
      </c>
      <c r="L38">
        <v>256134</v>
      </c>
    </row>
    <row r="39" spans="1:12" x14ac:dyDescent="0.35">
      <c r="A39">
        <v>2024</v>
      </c>
      <c r="B39">
        <v>9</v>
      </c>
      <c r="C39" t="s">
        <v>72</v>
      </c>
      <c r="D39" t="s">
        <v>236</v>
      </c>
      <c r="E39" t="s">
        <v>237</v>
      </c>
      <c r="F39">
        <v>2751</v>
      </c>
      <c r="G39">
        <v>278224</v>
      </c>
      <c r="H39">
        <v>276640</v>
      </c>
      <c r="I39">
        <v>210212</v>
      </c>
      <c r="J39">
        <v>408795</v>
      </c>
      <c r="K39">
        <v>261640</v>
      </c>
      <c r="L39">
        <v>291640</v>
      </c>
    </row>
    <row r="40" spans="1:12" x14ac:dyDescent="0.35">
      <c r="A40">
        <v>2024</v>
      </c>
      <c r="B40">
        <v>9</v>
      </c>
      <c r="C40" t="s">
        <v>72</v>
      </c>
      <c r="D40" t="s">
        <v>238</v>
      </c>
      <c r="E40" t="s">
        <v>239</v>
      </c>
      <c r="F40">
        <v>1233</v>
      </c>
      <c r="G40">
        <v>219896</v>
      </c>
      <c r="H40">
        <v>219003</v>
      </c>
      <c r="I40">
        <v>191602</v>
      </c>
      <c r="J40">
        <v>250950</v>
      </c>
      <c r="K40">
        <v>206922</v>
      </c>
      <c r="L40">
        <v>231787</v>
      </c>
    </row>
    <row r="41" spans="1:12" x14ac:dyDescent="0.35">
      <c r="A41">
        <v>2024</v>
      </c>
      <c r="B41">
        <v>10</v>
      </c>
      <c r="C41" t="s">
        <v>73</v>
      </c>
      <c r="D41" t="s">
        <v>232</v>
      </c>
      <c r="E41" t="s">
        <v>233</v>
      </c>
      <c r="F41">
        <v>5096</v>
      </c>
      <c r="G41">
        <v>243904</v>
      </c>
      <c r="H41">
        <v>232292</v>
      </c>
      <c r="I41">
        <v>204842</v>
      </c>
      <c r="J41">
        <v>466517</v>
      </c>
      <c r="K41">
        <v>222293</v>
      </c>
      <c r="L41">
        <v>246688</v>
      </c>
    </row>
    <row r="42" spans="1:12" x14ac:dyDescent="0.35">
      <c r="A42">
        <v>2024</v>
      </c>
      <c r="B42">
        <v>10</v>
      </c>
      <c r="C42" t="s">
        <v>73</v>
      </c>
      <c r="D42" t="s">
        <v>234</v>
      </c>
      <c r="E42" t="s">
        <v>235</v>
      </c>
      <c r="F42">
        <v>1531</v>
      </c>
      <c r="G42">
        <v>248213</v>
      </c>
      <c r="H42">
        <v>241134</v>
      </c>
      <c r="I42">
        <v>216922</v>
      </c>
      <c r="J42">
        <v>320568</v>
      </c>
      <c r="K42">
        <v>226922</v>
      </c>
      <c r="L42">
        <v>256134</v>
      </c>
    </row>
    <row r="43" spans="1:12" x14ac:dyDescent="0.35">
      <c r="A43">
        <v>2024</v>
      </c>
      <c r="B43">
        <v>10</v>
      </c>
      <c r="C43" t="s">
        <v>73</v>
      </c>
      <c r="D43" t="s">
        <v>236</v>
      </c>
      <c r="E43" t="s">
        <v>237</v>
      </c>
      <c r="F43">
        <v>2749</v>
      </c>
      <c r="G43">
        <v>278881</v>
      </c>
      <c r="H43">
        <v>276640</v>
      </c>
      <c r="I43">
        <v>210212</v>
      </c>
      <c r="J43">
        <v>408795</v>
      </c>
      <c r="K43">
        <v>261640</v>
      </c>
      <c r="L43">
        <v>291640</v>
      </c>
    </row>
    <row r="44" spans="1:12" x14ac:dyDescent="0.35">
      <c r="A44">
        <v>2024</v>
      </c>
      <c r="B44">
        <v>10</v>
      </c>
      <c r="C44" t="s">
        <v>73</v>
      </c>
      <c r="D44" t="s">
        <v>238</v>
      </c>
      <c r="E44" t="s">
        <v>239</v>
      </c>
      <c r="F44">
        <v>1222</v>
      </c>
      <c r="G44">
        <v>219762</v>
      </c>
      <c r="H44">
        <v>219003</v>
      </c>
      <c r="I44">
        <v>191602</v>
      </c>
      <c r="J44">
        <v>250950</v>
      </c>
      <c r="K44">
        <v>206922</v>
      </c>
      <c r="L44">
        <v>231505</v>
      </c>
    </row>
    <row r="45" spans="1:12" x14ac:dyDescent="0.35">
      <c r="A45">
        <v>2024</v>
      </c>
      <c r="B45">
        <v>11</v>
      </c>
      <c r="C45" t="s">
        <v>74</v>
      </c>
      <c r="D45" t="s">
        <v>232</v>
      </c>
      <c r="E45" t="s">
        <v>233</v>
      </c>
      <c r="F45">
        <v>5107</v>
      </c>
      <c r="G45">
        <v>244022</v>
      </c>
      <c r="H45">
        <v>232292</v>
      </c>
      <c r="I45">
        <v>204842</v>
      </c>
      <c r="J45">
        <v>465731</v>
      </c>
      <c r="K45">
        <v>222342</v>
      </c>
      <c r="L45">
        <v>246688</v>
      </c>
    </row>
    <row r="46" spans="1:12" x14ac:dyDescent="0.35">
      <c r="A46">
        <v>2024</v>
      </c>
      <c r="B46">
        <v>11</v>
      </c>
      <c r="C46" t="s">
        <v>74</v>
      </c>
      <c r="D46" t="s">
        <v>234</v>
      </c>
      <c r="E46" t="s">
        <v>235</v>
      </c>
      <c r="F46">
        <v>1528</v>
      </c>
      <c r="G46">
        <v>248381</v>
      </c>
      <c r="H46">
        <v>241134</v>
      </c>
      <c r="I46">
        <v>216922</v>
      </c>
      <c r="J46">
        <v>320568</v>
      </c>
      <c r="K46">
        <v>233634</v>
      </c>
      <c r="L46">
        <v>256134</v>
      </c>
    </row>
    <row r="47" spans="1:12" x14ac:dyDescent="0.35">
      <c r="A47">
        <v>2024</v>
      </c>
      <c r="B47">
        <v>11</v>
      </c>
      <c r="C47" t="s">
        <v>74</v>
      </c>
      <c r="D47" t="s">
        <v>236</v>
      </c>
      <c r="E47" t="s">
        <v>237</v>
      </c>
      <c r="F47">
        <v>2765</v>
      </c>
      <c r="G47">
        <v>279001</v>
      </c>
      <c r="H47">
        <v>276640</v>
      </c>
      <c r="I47">
        <v>210212</v>
      </c>
      <c r="J47">
        <v>408795</v>
      </c>
      <c r="K47">
        <v>261640</v>
      </c>
      <c r="L47">
        <v>291640</v>
      </c>
    </row>
    <row r="48" spans="1:12" x14ac:dyDescent="0.35">
      <c r="A48">
        <v>2024</v>
      </c>
      <c r="B48">
        <v>11</v>
      </c>
      <c r="C48" t="s">
        <v>74</v>
      </c>
      <c r="D48" t="s">
        <v>238</v>
      </c>
      <c r="E48" t="s">
        <v>239</v>
      </c>
      <c r="F48">
        <v>1221</v>
      </c>
      <c r="G48">
        <v>219923</v>
      </c>
      <c r="H48">
        <v>219003</v>
      </c>
      <c r="I48">
        <v>191602</v>
      </c>
      <c r="J48">
        <v>250950</v>
      </c>
      <c r="K48">
        <v>206922</v>
      </c>
      <c r="L48">
        <v>231505</v>
      </c>
    </row>
    <row r="49" spans="1:12" x14ac:dyDescent="0.35">
      <c r="A49">
        <v>2024</v>
      </c>
      <c r="B49">
        <v>12</v>
      </c>
      <c r="C49" t="s">
        <v>75</v>
      </c>
      <c r="D49" t="s">
        <v>232</v>
      </c>
      <c r="E49" t="s">
        <v>233</v>
      </c>
      <c r="F49">
        <v>5118</v>
      </c>
      <c r="G49">
        <v>243958</v>
      </c>
      <c r="H49">
        <v>232292</v>
      </c>
      <c r="I49">
        <v>204842</v>
      </c>
      <c r="J49">
        <v>465731</v>
      </c>
      <c r="K49">
        <v>222342</v>
      </c>
      <c r="L49">
        <v>246688</v>
      </c>
    </row>
    <row r="50" spans="1:12" x14ac:dyDescent="0.35">
      <c r="A50">
        <v>2024</v>
      </c>
      <c r="B50">
        <v>12</v>
      </c>
      <c r="C50" t="s">
        <v>75</v>
      </c>
      <c r="D50" t="s">
        <v>234</v>
      </c>
      <c r="E50" t="s">
        <v>235</v>
      </c>
      <c r="F50">
        <v>1527</v>
      </c>
      <c r="G50">
        <v>248428</v>
      </c>
      <c r="H50">
        <v>241134</v>
      </c>
      <c r="I50">
        <v>216922</v>
      </c>
      <c r="J50">
        <v>320568</v>
      </c>
      <c r="K50">
        <v>233634</v>
      </c>
      <c r="L50">
        <v>256134</v>
      </c>
    </row>
    <row r="51" spans="1:12" x14ac:dyDescent="0.35">
      <c r="A51">
        <v>2024</v>
      </c>
      <c r="B51">
        <v>12</v>
      </c>
      <c r="C51" t="s">
        <v>75</v>
      </c>
      <c r="D51" t="s">
        <v>236</v>
      </c>
      <c r="E51" t="s">
        <v>237</v>
      </c>
      <c r="F51">
        <v>2765</v>
      </c>
      <c r="G51">
        <v>279025</v>
      </c>
      <c r="H51">
        <v>276640</v>
      </c>
      <c r="I51">
        <v>210212</v>
      </c>
      <c r="J51">
        <v>408795</v>
      </c>
      <c r="K51">
        <v>261640</v>
      </c>
      <c r="L51">
        <v>291640</v>
      </c>
    </row>
    <row r="52" spans="1:12" x14ac:dyDescent="0.35">
      <c r="A52">
        <v>2024</v>
      </c>
      <c r="B52">
        <v>12</v>
      </c>
      <c r="C52" t="s">
        <v>75</v>
      </c>
      <c r="D52" t="s">
        <v>238</v>
      </c>
      <c r="E52" t="s">
        <v>239</v>
      </c>
      <c r="F52">
        <v>1218</v>
      </c>
      <c r="G52">
        <v>219885</v>
      </c>
      <c r="H52">
        <v>219003</v>
      </c>
      <c r="I52">
        <v>191602</v>
      </c>
      <c r="J52">
        <v>250950</v>
      </c>
      <c r="K52">
        <v>206922</v>
      </c>
      <c r="L52">
        <v>231503</v>
      </c>
    </row>
    <row r="53" spans="1:12" x14ac:dyDescent="0.35">
      <c r="A53">
        <v>2025</v>
      </c>
      <c r="B53">
        <v>1</v>
      </c>
      <c r="C53" t="s">
        <v>42</v>
      </c>
      <c r="D53" t="s">
        <v>232</v>
      </c>
      <c r="E53" t="s">
        <v>233</v>
      </c>
      <c r="F53">
        <v>5062</v>
      </c>
      <c r="G53">
        <v>243408</v>
      </c>
      <c r="H53">
        <v>232292</v>
      </c>
      <c r="I53">
        <v>204842</v>
      </c>
      <c r="J53">
        <v>465731</v>
      </c>
      <c r="K53">
        <v>222342</v>
      </c>
      <c r="L53">
        <v>246688</v>
      </c>
    </row>
    <row r="54" spans="1:12" x14ac:dyDescent="0.35">
      <c r="A54">
        <v>2025</v>
      </c>
      <c r="B54">
        <v>1</v>
      </c>
      <c r="C54" t="s">
        <v>42</v>
      </c>
      <c r="D54" t="s">
        <v>234</v>
      </c>
      <c r="E54" t="s">
        <v>235</v>
      </c>
      <c r="F54">
        <v>1523</v>
      </c>
      <c r="G54">
        <v>248390</v>
      </c>
      <c r="H54">
        <v>241134</v>
      </c>
      <c r="I54">
        <v>216922</v>
      </c>
      <c r="J54">
        <v>320568</v>
      </c>
      <c r="K54">
        <v>233634</v>
      </c>
      <c r="L54">
        <v>256134</v>
      </c>
    </row>
    <row r="55" spans="1:12" x14ac:dyDescent="0.35">
      <c r="A55">
        <v>2025</v>
      </c>
      <c r="B55">
        <v>1</v>
      </c>
      <c r="C55" t="s">
        <v>42</v>
      </c>
      <c r="D55" t="s">
        <v>236</v>
      </c>
      <c r="E55" t="s">
        <v>237</v>
      </c>
      <c r="F55">
        <v>2752</v>
      </c>
      <c r="G55">
        <v>280147</v>
      </c>
      <c r="H55">
        <v>276640</v>
      </c>
      <c r="I55">
        <v>210212</v>
      </c>
      <c r="J55">
        <v>465067</v>
      </c>
      <c r="K55">
        <v>261640</v>
      </c>
      <c r="L55">
        <v>291640</v>
      </c>
    </row>
    <row r="56" spans="1:12" x14ac:dyDescent="0.35">
      <c r="A56">
        <v>2025</v>
      </c>
      <c r="B56">
        <v>1</v>
      </c>
      <c r="C56" t="s">
        <v>42</v>
      </c>
      <c r="D56" t="s">
        <v>238</v>
      </c>
      <c r="E56" t="s">
        <v>239</v>
      </c>
      <c r="F56">
        <v>1182</v>
      </c>
      <c r="G56">
        <v>220386</v>
      </c>
      <c r="H56">
        <v>219802</v>
      </c>
      <c r="I56">
        <v>191602</v>
      </c>
      <c r="J56">
        <v>250950</v>
      </c>
      <c r="K56">
        <v>207325</v>
      </c>
      <c r="L56">
        <v>232280</v>
      </c>
    </row>
    <row r="57" spans="1:12" x14ac:dyDescent="0.35">
      <c r="A57">
        <v>2025</v>
      </c>
      <c r="B57">
        <v>2</v>
      </c>
      <c r="C57" t="s">
        <v>63</v>
      </c>
      <c r="D57" t="s">
        <v>232</v>
      </c>
      <c r="E57" t="s">
        <v>233</v>
      </c>
      <c r="F57">
        <v>5172</v>
      </c>
      <c r="G57">
        <v>243226</v>
      </c>
      <c r="H57">
        <v>232476</v>
      </c>
      <c r="I57">
        <v>204842</v>
      </c>
      <c r="J57">
        <v>465731</v>
      </c>
      <c r="K57">
        <v>222342</v>
      </c>
      <c r="L57">
        <v>246824</v>
      </c>
    </row>
    <row r="58" spans="1:12" x14ac:dyDescent="0.35">
      <c r="A58">
        <v>2025</v>
      </c>
      <c r="B58">
        <v>2</v>
      </c>
      <c r="C58" t="s">
        <v>63</v>
      </c>
      <c r="D58" t="s">
        <v>234</v>
      </c>
      <c r="E58" t="s">
        <v>235</v>
      </c>
      <c r="F58">
        <v>1525</v>
      </c>
      <c r="G58">
        <v>249639</v>
      </c>
      <c r="H58">
        <v>241134</v>
      </c>
      <c r="I58">
        <v>216922</v>
      </c>
      <c r="J58">
        <v>320568</v>
      </c>
      <c r="K58">
        <v>233634</v>
      </c>
      <c r="L58">
        <v>256134</v>
      </c>
    </row>
    <row r="59" spans="1:12" x14ac:dyDescent="0.35">
      <c r="A59">
        <v>2025</v>
      </c>
      <c r="B59">
        <v>2</v>
      </c>
      <c r="C59" t="s">
        <v>63</v>
      </c>
      <c r="D59" t="s">
        <v>236</v>
      </c>
      <c r="E59" t="s">
        <v>237</v>
      </c>
      <c r="F59">
        <v>2718</v>
      </c>
      <c r="G59">
        <v>280406</v>
      </c>
      <c r="H59">
        <v>276640</v>
      </c>
      <c r="I59">
        <v>210212</v>
      </c>
      <c r="J59">
        <v>460348</v>
      </c>
      <c r="K59">
        <v>261640</v>
      </c>
      <c r="L59">
        <v>295851</v>
      </c>
    </row>
    <row r="60" spans="1:12" x14ac:dyDescent="0.35">
      <c r="A60">
        <v>2025</v>
      </c>
      <c r="B60">
        <v>2</v>
      </c>
      <c r="C60" t="s">
        <v>63</v>
      </c>
      <c r="D60" t="s">
        <v>238</v>
      </c>
      <c r="E60" t="s">
        <v>239</v>
      </c>
      <c r="F60">
        <v>1178</v>
      </c>
      <c r="G60">
        <v>220474</v>
      </c>
      <c r="H60">
        <v>220026</v>
      </c>
      <c r="I60">
        <v>191602</v>
      </c>
      <c r="J60">
        <v>250950</v>
      </c>
      <c r="K60">
        <v>208918</v>
      </c>
      <c r="L60">
        <v>232526</v>
      </c>
    </row>
    <row r="61" spans="1:12" x14ac:dyDescent="0.35">
      <c r="A61">
        <v>2025</v>
      </c>
      <c r="B61">
        <v>3</v>
      </c>
      <c r="C61" t="s">
        <v>66</v>
      </c>
      <c r="D61" t="s">
        <v>232</v>
      </c>
      <c r="E61" t="s">
        <v>233</v>
      </c>
      <c r="F61">
        <v>5275</v>
      </c>
      <c r="G61">
        <v>243861</v>
      </c>
      <c r="H61">
        <v>232476</v>
      </c>
      <c r="I61">
        <v>204260</v>
      </c>
      <c r="J61">
        <v>465731</v>
      </c>
      <c r="K61">
        <v>222476</v>
      </c>
      <c r="L61">
        <v>246824</v>
      </c>
    </row>
    <row r="62" spans="1:12" x14ac:dyDescent="0.35">
      <c r="A62">
        <v>2025</v>
      </c>
      <c r="B62">
        <v>3</v>
      </c>
      <c r="C62" t="s">
        <v>66</v>
      </c>
      <c r="D62" t="s">
        <v>234</v>
      </c>
      <c r="E62" t="s">
        <v>235</v>
      </c>
      <c r="F62">
        <v>1509</v>
      </c>
      <c r="G62">
        <v>248798</v>
      </c>
      <c r="H62">
        <v>241134</v>
      </c>
      <c r="I62">
        <v>216922</v>
      </c>
      <c r="J62">
        <v>321240</v>
      </c>
      <c r="K62">
        <v>233634</v>
      </c>
      <c r="L62">
        <v>256134</v>
      </c>
    </row>
    <row r="63" spans="1:12" x14ac:dyDescent="0.35">
      <c r="A63">
        <v>2025</v>
      </c>
      <c r="B63">
        <v>3</v>
      </c>
      <c r="C63" t="s">
        <v>66</v>
      </c>
      <c r="D63" t="s">
        <v>236</v>
      </c>
      <c r="E63" t="s">
        <v>237</v>
      </c>
      <c r="F63">
        <v>2792</v>
      </c>
      <c r="G63">
        <v>279602</v>
      </c>
      <c r="H63">
        <v>276640</v>
      </c>
      <c r="I63">
        <v>210212</v>
      </c>
      <c r="J63">
        <v>466722</v>
      </c>
      <c r="K63">
        <v>261640</v>
      </c>
      <c r="L63">
        <v>294275</v>
      </c>
    </row>
    <row r="64" spans="1:12" x14ac:dyDescent="0.35">
      <c r="A64">
        <v>2025</v>
      </c>
      <c r="B64">
        <v>3</v>
      </c>
      <c r="C64" t="s">
        <v>66</v>
      </c>
      <c r="D64" t="s">
        <v>238</v>
      </c>
      <c r="E64" t="s">
        <v>239</v>
      </c>
      <c r="F64">
        <v>1181</v>
      </c>
      <c r="G64">
        <v>220271</v>
      </c>
      <c r="H64">
        <v>220026</v>
      </c>
      <c r="I64">
        <v>191602</v>
      </c>
      <c r="J64">
        <v>250950</v>
      </c>
      <c r="K64">
        <v>206922</v>
      </c>
      <c r="L64">
        <v>231787</v>
      </c>
    </row>
    <row r="65" spans="1:12" x14ac:dyDescent="0.35">
      <c r="A65">
        <v>2025</v>
      </c>
      <c r="B65">
        <v>4</v>
      </c>
      <c r="C65" t="s">
        <v>67</v>
      </c>
      <c r="D65" t="s">
        <v>232</v>
      </c>
      <c r="E65" t="s">
        <v>233</v>
      </c>
      <c r="F65">
        <v>5172</v>
      </c>
      <c r="G65">
        <v>243226</v>
      </c>
      <c r="H65">
        <v>232476</v>
      </c>
      <c r="I65">
        <v>204842</v>
      </c>
      <c r="J65">
        <v>465731</v>
      </c>
      <c r="K65">
        <v>222342</v>
      </c>
      <c r="L65">
        <v>246824</v>
      </c>
    </row>
    <row r="66" spans="1:12" x14ac:dyDescent="0.35">
      <c r="A66">
        <v>2025</v>
      </c>
      <c r="B66">
        <v>4</v>
      </c>
      <c r="C66" t="s">
        <v>67</v>
      </c>
      <c r="D66" t="s">
        <v>234</v>
      </c>
      <c r="E66" t="s">
        <v>235</v>
      </c>
      <c r="F66">
        <v>1525</v>
      </c>
      <c r="G66">
        <v>249639</v>
      </c>
      <c r="H66">
        <v>241134</v>
      </c>
      <c r="I66">
        <v>216922</v>
      </c>
      <c r="J66">
        <v>320568</v>
      </c>
      <c r="K66">
        <v>233634</v>
      </c>
      <c r="L66">
        <v>256134</v>
      </c>
    </row>
    <row r="67" spans="1:12" x14ac:dyDescent="0.35">
      <c r="A67">
        <v>2025</v>
      </c>
      <c r="B67">
        <v>4</v>
      </c>
      <c r="C67" t="s">
        <v>67</v>
      </c>
      <c r="D67" t="s">
        <v>236</v>
      </c>
      <c r="E67" t="s">
        <v>237</v>
      </c>
      <c r="F67">
        <v>2718</v>
      </c>
      <c r="G67">
        <v>280417</v>
      </c>
      <c r="H67">
        <v>276640</v>
      </c>
      <c r="I67">
        <v>210212</v>
      </c>
      <c r="J67">
        <v>460348</v>
      </c>
      <c r="K67">
        <v>261640</v>
      </c>
      <c r="L67">
        <v>295851</v>
      </c>
    </row>
    <row r="68" spans="1:12" x14ac:dyDescent="0.35">
      <c r="A68">
        <v>2025</v>
      </c>
      <c r="B68">
        <v>4</v>
      </c>
      <c r="C68" t="s">
        <v>67</v>
      </c>
      <c r="D68" t="s">
        <v>238</v>
      </c>
      <c r="E68" t="s">
        <v>239</v>
      </c>
      <c r="F68">
        <v>1178</v>
      </c>
      <c r="G68">
        <v>220474</v>
      </c>
      <c r="H68">
        <v>220026</v>
      </c>
      <c r="I68">
        <v>191602</v>
      </c>
      <c r="J68">
        <v>250950</v>
      </c>
      <c r="K68">
        <v>208918</v>
      </c>
      <c r="L68">
        <v>232526</v>
      </c>
    </row>
    <row r="69" spans="1:12" x14ac:dyDescent="0.35">
      <c r="A69">
        <v>2025</v>
      </c>
      <c r="B69">
        <v>5</v>
      </c>
      <c r="C69" t="s">
        <v>68</v>
      </c>
      <c r="D69" t="s">
        <v>232</v>
      </c>
      <c r="E69" t="s">
        <v>233</v>
      </c>
      <c r="F69">
        <v>5109</v>
      </c>
      <c r="G69">
        <v>242633</v>
      </c>
      <c r="H69">
        <v>231688</v>
      </c>
      <c r="I69">
        <v>204237</v>
      </c>
      <c r="J69">
        <v>465731</v>
      </c>
      <c r="K69">
        <v>222292</v>
      </c>
      <c r="L69">
        <v>244792</v>
      </c>
    </row>
    <row r="70" spans="1:12" x14ac:dyDescent="0.35">
      <c r="A70">
        <v>2025</v>
      </c>
      <c r="B70">
        <v>5</v>
      </c>
      <c r="C70" t="s">
        <v>68</v>
      </c>
      <c r="D70" t="s">
        <v>234</v>
      </c>
      <c r="E70" t="s">
        <v>235</v>
      </c>
      <c r="F70">
        <v>1514</v>
      </c>
      <c r="G70">
        <v>249142</v>
      </c>
      <c r="H70">
        <v>241134</v>
      </c>
      <c r="I70">
        <v>216922</v>
      </c>
      <c r="J70">
        <v>320568</v>
      </c>
      <c r="K70">
        <v>233634</v>
      </c>
      <c r="L70">
        <v>256134</v>
      </c>
    </row>
    <row r="71" spans="1:12" x14ac:dyDescent="0.35">
      <c r="A71">
        <v>2025</v>
      </c>
      <c r="B71">
        <v>5</v>
      </c>
      <c r="C71" t="s">
        <v>68</v>
      </c>
      <c r="D71" t="s">
        <v>236</v>
      </c>
      <c r="E71" t="s">
        <v>237</v>
      </c>
      <c r="F71">
        <v>2803</v>
      </c>
      <c r="G71">
        <v>279994</v>
      </c>
      <c r="H71">
        <v>276640</v>
      </c>
      <c r="I71">
        <v>215212</v>
      </c>
      <c r="J71">
        <v>464064</v>
      </c>
      <c r="K71">
        <v>261640</v>
      </c>
      <c r="L71">
        <v>294509</v>
      </c>
    </row>
    <row r="72" spans="1:12" x14ac:dyDescent="0.35">
      <c r="A72">
        <v>2025</v>
      </c>
      <c r="B72">
        <v>5</v>
      </c>
      <c r="C72" t="s">
        <v>68</v>
      </c>
      <c r="D72" t="s">
        <v>238</v>
      </c>
      <c r="E72" t="s">
        <v>239</v>
      </c>
      <c r="F72">
        <v>1190</v>
      </c>
      <c r="G72">
        <v>220293</v>
      </c>
      <c r="H72">
        <v>219054</v>
      </c>
      <c r="I72">
        <v>191602</v>
      </c>
      <c r="J72">
        <v>250950</v>
      </c>
      <c r="K72">
        <v>206922</v>
      </c>
      <c r="L72">
        <v>231503</v>
      </c>
    </row>
    <row r="73" spans="1:12" x14ac:dyDescent="0.35">
      <c r="A73">
        <v>2025</v>
      </c>
      <c r="B73">
        <v>6</v>
      </c>
      <c r="C73" t="s">
        <v>69</v>
      </c>
      <c r="D73" t="s">
        <v>232</v>
      </c>
      <c r="E73" t="s">
        <v>233</v>
      </c>
      <c r="F73">
        <v>5132</v>
      </c>
      <c r="G73">
        <v>242464</v>
      </c>
      <c r="H73">
        <v>231688</v>
      </c>
      <c r="I73">
        <v>204237</v>
      </c>
      <c r="J73">
        <v>465729</v>
      </c>
      <c r="K73">
        <v>222292</v>
      </c>
      <c r="L73">
        <v>244792</v>
      </c>
    </row>
    <row r="74" spans="1:12" x14ac:dyDescent="0.35">
      <c r="A74">
        <v>2025</v>
      </c>
      <c r="B74">
        <v>6</v>
      </c>
      <c r="C74" t="s">
        <v>69</v>
      </c>
      <c r="D74" t="s">
        <v>234</v>
      </c>
      <c r="E74" t="s">
        <v>235</v>
      </c>
      <c r="F74">
        <v>1512</v>
      </c>
      <c r="G74">
        <v>249128</v>
      </c>
      <c r="H74">
        <v>241134</v>
      </c>
      <c r="I74">
        <v>220212</v>
      </c>
      <c r="J74">
        <v>320568</v>
      </c>
      <c r="K74">
        <v>233634</v>
      </c>
      <c r="L74">
        <v>256134</v>
      </c>
    </row>
    <row r="75" spans="1:12" x14ac:dyDescent="0.35">
      <c r="A75">
        <v>2025</v>
      </c>
      <c r="B75">
        <v>6</v>
      </c>
      <c r="C75" t="s">
        <v>69</v>
      </c>
      <c r="D75" t="s">
        <v>236</v>
      </c>
      <c r="E75" t="s">
        <v>237</v>
      </c>
      <c r="F75">
        <v>2801</v>
      </c>
      <c r="G75">
        <v>280190</v>
      </c>
      <c r="H75">
        <v>276640</v>
      </c>
      <c r="I75">
        <v>215212</v>
      </c>
      <c r="J75">
        <v>456563</v>
      </c>
      <c r="K75">
        <v>261640</v>
      </c>
      <c r="L75">
        <v>294509</v>
      </c>
    </row>
    <row r="76" spans="1:12" x14ac:dyDescent="0.35">
      <c r="A76">
        <v>2025</v>
      </c>
      <c r="B76">
        <v>6</v>
      </c>
      <c r="C76" t="s">
        <v>69</v>
      </c>
      <c r="D76" t="s">
        <v>238</v>
      </c>
      <c r="E76" t="s">
        <v>239</v>
      </c>
      <c r="F76">
        <v>1189</v>
      </c>
      <c r="G76">
        <v>220340</v>
      </c>
      <c r="H76">
        <v>220026</v>
      </c>
      <c r="I76">
        <v>191602</v>
      </c>
      <c r="J76">
        <v>250950</v>
      </c>
      <c r="K76">
        <v>206922</v>
      </c>
      <c r="L76">
        <v>231503</v>
      </c>
    </row>
    <row r="77" spans="1:12" x14ac:dyDescent="0.35">
      <c r="A77">
        <v>2025</v>
      </c>
      <c r="B77">
        <v>7</v>
      </c>
      <c r="C77" t="s">
        <v>70</v>
      </c>
      <c r="D77" t="s">
        <v>232</v>
      </c>
      <c r="E77" t="s">
        <v>233</v>
      </c>
      <c r="F77">
        <v>5144</v>
      </c>
      <c r="G77">
        <v>242610</v>
      </c>
      <c r="H77">
        <v>231688</v>
      </c>
      <c r="I77">
        <v>204237</v>
      </c>
      <c r="J77">
        <v>465729</v>
      </c>
      <c r="K77">
        <v>222292</v>
      </c>
      <c r="L77">
        <v>244792</v>
      </c>
    </row>
    <row r="78" spans="1:12" x14ac:dyDescent="0.35">
      <c r="A78">
        <v>2025</v>
      </c>
      <c r="B78">
        <v>7</v>
      </c>
      <c r="C78" t="s">
        <v>70</v>
      </c>
      <c r="D78" t="s">
        <v>234</v>
      </c>
      <c r="E78" t="s">
        <v>235</v>
      </c>
      <c r="F78">
        <v>1511</v>
      </c>
      <c r="G78">
        <v>249158</v>
      </c>
      <c r="H78">
        <v>241134</v>
      </c>
      <c r="I78">
        <v>220212</v>
      </c>
      <c r="J78">
        <v>320568</v>
      </c>
      <c r="K78">
        <v>233634</v>
      </c>
      <c r="L78">
        <v>256134</v>
      </c>
    </row>
    <row r="79" spans="1:12" x14ac:dyDescent="0.35">
      <c r="A79">
        <v>2025</v>
      </c>
      <c r="B79">
        <v>7</v>
      </c>
      <c r="C79" t="s">
        <v>70</v>
      </c>
      <c r="D79" t="s">
        <v>236</v>
      </c>
      <c r="E79" t="s">
        <v>237</v>
      </c>
      <c r="F79">
        <v>2803</v>
      </c>
      <c r="G79">
        <v>283486</v>
      </c>
      <c r="H79">
        <v>282904</v>
      </c>
      <c r="I79">
        <v>215212</v>
      </c>
      <c r="J79">
        <v>464064</v>
      </c>
      <c r="K79">
        <v>267904</v>
      </c>
      <c r="L79">
        <v>297904</v>
      </c>
    </row>
    <row r="80" spans="1:12" x14ac:dyDescent="0.35">
      <c r="A80">
        <v>2025</v>
      </c>
      <c r="B80">
        <v>7</v>
      </c>
      <c r="C80" t="s">
        <v>70</v>
      </c>
      <c r="D80" t="s">
        <v>238</v>
      </c>
      <c r="E80" t="s">
        <v>239</v>
      </c>
      <c r="F80">
        <v>1195</v>
      </c>
      <c r="G80">
        <v>220319</v>
      </c>
      <c r="H80">
        <v>219422</v>
      </c>
      <c r="I80">
        <v>191602</v>
      </c>
      <c r="J80">
        <v>250950</v>
      </c>
      <c r="K80">
        <v>207526</v>
      </c>
      <c r="L80">
        <v>231503</v>
      </c>
    </row>
    <row r="81" spans="1:12" x14ac:dyDescent="0.35">
      <c r="A81">
        <v>2025</v>
      </c>
      <c r="B81">
        <v>8</v>
      </c>
      <c r="C81" t="s">
        <v>71</v>
      </c>
      <c r="D81" t="s">
        <v>232</v>
      </c>
      <c r="E81" t="s">
        <v>233</v>
      </c>
      <c r="F81">
        <v>5144</v>
      </c>
      <c r="G81">
        <v>242766</v>
      </c>
      <c r="H81">
        <v>231688</v>
      </c>
      <c r="I81">
        <v>204237</v>
      </c>
      <c r="J81">
        <v>465963</v>
      </c>
      <c r="K81">
        <v>222292</v>
      </c>
      <c r="L81">
        <v>244792</v>
      </c>
    </row>
    <row r="82" spans="1:12" x14ac:dyDescent="0.35">
      <c r="A82">
        <v>2025</v>
      </c>
      <c r="B82">
        <v>8</v>
      </c>
      <c r="C82" t="s">
        <v>71</v>
      </c>
      <c r="D82" t="s">
        <v>234</v>
      </c>
      <c r="E82" t="s">
        <v>235</v>
      </c>
      <c r="F82">
        <v>1494</v>
      </c>
      <c r="G82">
        <v>248879</v>
      </c>
      <c r="H82">
        <v>241134</v>
      </c>
      <c r="I82">
        <v>220212</v>
      </c>
      <c r="J82">
        <v>320568</v>
      </c>
      <c r="K82">
        <v>233634</v>
      </c>
      <c r="L82">
        <v>255346</v>
      </c>
    </row>
    <row r="83" spans="1:12" x14ac:dyDescent="0.35">
      <c r="A83">
        <v>2025</v>
      </c>
      <c r="B83">
        <v>8</v>
      </c>
      <c r="C83" t="s">
        <v>71</v>
      </c>
      <c r="D83" t="s">
        <v>236</v>
      </c>
      <c r="E83" t="s">
        <v>237</v>
      </c>
      <c r="F83">
        <v>2791</v>
      </c>
      <c r="G83">
        <v>283022</v>
      </c>
      <c r="H83">
        <v>282009</v>
      </c>
      <c r="I83">
        <v>215212</v>
      </c>
      <c r="J83">
        <v>461833</v>
      </c>
      <c r="K83">
        <v>267009</v>
      </c>
      <c r="L83">
        <v>297009</v>
      </c>
    </row>
    <row r="84" spans="1:12" x14ac:dyDescent="0.35">
      <c r="A84">
        <v>2025</v>
      </c>
      <c r="B84">
        <v>8</v>
      </c>
      <c r="C84" t="s">
        <v>71</v>
      </c>
      <c r="D84" t="s">
        <v>238</v>
      </c>
      <c r="E84" t="s">
        <v>239</v>
      </c>
      <c r="F84">
        <v>1202</v>
      </c>
      <c r="G84">
        <v>220348</v>
      </c>
      <c r="H84">
        <v>219422</v>
      </c>
      <c r="I84">
        <v>191602</v>
      </c>
      <c r="J84">
        <v>250950</v>
      </c>
      <c r="K84">
        <v>207526</v>
      </c>
      <c r="L84">
        <v>231503</v>
      </c>
    </row>
    <row r="85" spans="1:12" x14ac:dyDescent="0.35">
      <c r="A85">
        <v>2025</v>
      </c>
      <c r="B85">
        <v>9</v>
      </c>
      <c r="C85" t="s">
        <v>72</v>
      </c>
      <c r="D85" t="s">
        <v>232</v>
      </c>
      <c r="E85" t="s">
        <v>233</v>
      </c>
      <c r="F85">
        <v>5164</v>
      </c>
      <c r="G85">
        <v>242748</v>
      </c>
      <c r="H85">
        <v>231688</v>
      </c>
      <c r="I85">
        <v>204237</v>
      </c>
      <c r="J85">
        <v>465963</v>
      </c>
      <c r="K85">
        <v>222292</v>
      </c>
      <c r="L85">
        <v>244792</v>
      </c>
    </row>
    <row r="86" spans="1:12" x14ac:dyDescent="0.35">
      <c r="A86">
        <v>2025</v>
      </c>
      <c r="B86">
        <v>9</v>
      </c>
      <c r="C86" t="s">
        <v>72</v>
      </c>
      <c r="D86" t="s">
        <v>234</v>
      </c>
      <c r="E86" t="s">
        <v>235</v>
      </c>
      <c r="F86">
        <v>1494</v>
      </c>
      <c r="G86">
        <v>248937</v>
      </c>
      <c r="H86">
        <v>241134</v>
      </c>
      <c r="I86">
        <v>220212</v>
      </c>
      <c r="J86">
        <v>320568</v>
      </c>
      <c r="K86">
        <v>233634</v>
      </c>
      <c r="L86">
        <v>256134</v>
      </c>
    </row>
    <row r="87" spans="1:12" x14ac:dyDescent="0.35">
      <c r="A87">
        <v>2025</v>
      </c>
      <c r="B87">
        <v>9</v>
      </c>
      <c r="C87" t="s">
        <v>72</v>
      </c>
      <c r="D87" t="s">
        <v>236</v>
      </c>
      <c r="E87" t="s">
        <v>237</v>
      </c>
      <c r="F87">
        <v>2770</v>
      </c>
      <c r="G87">
        <v>283282</v>
      </c>
      <c r="H87">
        <v>282009</v>
      </c>
      <c r="I87">
        <v>215212</v>
      </c>
      <c r="J87">
        <v>436564</v>
      </c>
      <c r="K87">
        <v>267009</v>
      </c>
      <c r="L87">
        <v>297009</v>
      </c>
    </row>
    <row r="88" spans="1:12" x14ac:dyDescent="0.35">
      <c r="A88">
        <v>2025</v>
      </c>
      <c r="B88">
        <v>9</v>
      </c>
      <c r="C88" t="s">
        <v>72</v>
      </c>
      <c r="D88" t="s">
        <v>238</v>
      </c>
      <c r="E88" t="s">
        <v>239</v>
      </c>
      <c r="F88">
        <v>1197</v>
      </c>
      <c r="G88">
        <v>220376</v>
      </c>
      <c r="H88">
        <v>220026</v>
      </c>
      <c r="I88">
        <v>191602</v>
      </c>
      <c r="J88">
        <v>250950</v>
      </c>
      <c r="K88">
        <v>207895</v>
      </c>
      <c r="L88">
        <v>231503</v>
      </c>
    </row>
    <row r="89" spans="1:12" x14ac:dyDescent="0.35">
      <c r="A89">
        <v>2025</v>
      </c>
      <c r="B89">
        <v>10</v>
      </c>
      <c r="C89" t="s">
        <v>73</v>
      </c>
      <c r="D89" t="s">
        <v>232</v>
      </c>
      <c r="E89" t="s">
        <v>233</v>
      </c>
      <c r="F89">
        <v>5175</v>
      </c>
      <c r="G89">
        <v>242759</v>
      </c>
      <c r="H89">
        <v>231688</v>
      </c>
      <c r="I89">
        <v>204237</v>
      </c>
      <c r="J89">
        <v>465963</v>
      </c>
      <c r="K89">
        <v>222292</v>
      </c>
      <c r="L89">
        <v>244792</v>
      </c>
    </row>
    <row r="90" spans="1:12" x14ac:dyDescent="0.35">
      <c r="A90">
        <v>2025</v>
      </c>
      <c r="B90">
        <v>10</v>
      </c>
      <c r="C90" t="s">
        <v>73</v>
      </c>
      <c r="D90" t="s">
        <v>234</v>
      </c>
      <c r="E90" t="s">
        <v>235</v>
      </c>
      <c r="F90">
        <v>1489</v>
      </c>
      <c r="G90">
        <v>248818</v>
      </c>
      <c r="H90">
        <v>241134</v>
      </c>
      <c r="I90">
        <v>223634</v>
      </c>
      <c r="J90">
        <v>320568</v>
      </c>
      <c r="K90">
        <v>233634</v>
      </c>
      <c r="L90">
        <v>256134</v>
      </c>
    </row>
    <row r="91" spans="1:12" x14ac:dyDescent="0.35">
      <c r="A91">
        <v>2025</v>
      </c>
      <c r="B91">
        <v>10</v>
      </c>
      <c r="C91" t="s">
        <v>73</v>
      </c>
      <c r="D91" t="s">
        <v>236</v>
      </c>
      <c r="E91" t="s">
        <v>237</v>
      </c>
      <c r="F91">
        <v>2768</v>
      </c>
      <c r="G91">
        <v>283343</v>
      </c>
      <c r="H91">
        <v>282009</v>
      </c>
      <c r="I91">
        <v>215212</v>
      </c>
      <c r="J91">
        <v>404719</v>
      </c>
      <c r="K91">
        <v>267009</v>
      </c>
      <c r="L91">
        <v>297009</v>
      </c>
    </row>
    <row r="92" spans="1:12" x14ac:dyDescent="0.35">
      <c r="A92">
        <v>2025</v>
      </c>
      <c r="B92">
        <v>10</v>
      </c>
      <c r="C92" t="s">
        <v>73</v>
      </c>
      <c r="D92" t="s">
        <v>238</v>
      </c>
      <c r="E92" t="s">
        <v>239</v>
      </c>
      <c r="F92">
        <v>1197</v>
      </c>
      <c r="G92">
        <v>220329</v>
      </c>
      <c r="H92">
        <v>219422</v>
      </c>
      <c r="I92">
        <v>191602</v>
      </c>
      <c r="J92">
        <v>250950</v>
      </c>
      <c r="K92">
        <v>207526</v>
      </c>
      <c r="L92">
        <v>231503</v>
      </c>
    </row>
    <row r="93" spans="1:12" x14ac:dyDescent="0.35">
      <c r="A93">
        <v>2025</v>
      </c>
      <c r="B93">
        <v>11</v>
      </c>
      <c r="C93" t="s">
        <v>74</v>
      </c>
      <c r="D93" t="s">
        <v>232</v>
      </c>
      <c r="E93" t="s">
        <v>233</v>
      </c>
      <c r="F93">
        <v>5194</v>
      </c>
      <c r="G93">
        <v>242668</v>
      </c>
      <c r="H93">
        <v>231688</v>
      </c>
      <c r="I93">
        <v>204237</v>
      </c>
      <c r="J93">
        <v>465963</v>
      </c>
      <c r="K93">
        <v>222292</v>
      </c>
      <c r="L93">
        <v>244792</v>
      </c>
    </row>
    <row r="94" spans="1:12" x14ac:dyDescent="0.35">
      <c r="A94">
        <v>2025</v>
      </c>
      <c r="B94">
        <v>11</v>
      </c>
      <c r="C94" t="s">
        <v>74</v>
      </c>
      <c r="D94" t="s">
        <v>234</v>
      </c>
      <c r="E94" t="s">
        <v>235</v>
      </c>
      <c r="F94">
        <v>1487</v>
      </c>
      <c r="G94">
        <v>249018</v>
      </c>
      <c r="H94">
        <v>241134</v>
      </c>
      <c r="I94">
        <v>223634</v>
      </c>
      <c r="J94">
        <v>320568</v>
      </c>
      <c r="K94">
        <v>233634</v>
      </c>
      <c r="L94">
        <v>256134</v>
      </c>
    </row>
    <row r="95" spans="1:12" x14ac:dyDescent="0.35">
      <c r="A95">
        <v>2025</v>
      </c>
      <c r="B95">
        <v>11</v>
      </c>
      <c r="C95" t="s">
        <v>74</v>
      </c>
      <c r="D95" t="s">
        <v>236</v>
      </c>
      <c r="E95" t="s">
        <v>237</v>
      </c>
      <c r="F95">
        <v>2767</v>
      </c>
      <c r="G95">
        <v>283314</v>
      </c>
      <c r="H95">
        <v>282009</v>
      </c>
      <c r="I95">
        <v>215212</v>
      </c>
      <c r="J95">
        <v>439396</v>
      </c>
      <c r="K95">
        <v>267009</v>
      </c>
      <c r="L95">
        <v>297009</v>
      </c>
    </row>
    <row r="96" spans="1:12" x14ac:dyDescent="0.35">
      <c r="A96">
        <v>2025</v>
      </c>
      <c r="B96">
        <v>11</v>
      </c>
      <c r="C96" t="s">
        <v>74</v>
      </c>
      <c r="D96" t="s">
        <v>238</v>
      </c>
      <c r="E96" t="s">
        <v>239</v>
      </c>
      <c r="F96">
        <v>1189</v>
      </c>
      <c r="G96">
        <v>220579</v>
      </c>
      <c r="H96">
        <v>220813</v>
      </c>
      <c r="I96">
        <v>191602</v>
      </c>
      <c r="J96">
        <v>250950</v>
      </c>
      <c r="K96">
        <v>206922</v>
      </c>
      <c r="L96">
        <v>231787</v>
      </c>
    </row>
    <row r="97" spans="1:12" x14ac:dyDescent="0.35">
      <c r="A97">
        <v>2025</v>
      </c>
      <c r="B97">
        <v>12</v>
      </c>
      <c r="C97" t="s">
        <v>75</v>
      </c>
      <c r="D97" t="s">
        <v>232</v>
      </c>
      <c r="E97" t="s">
        <v>233</v>
      </c>
      <c r="F97">
        <v>5195</v>
      </c>
      <c r="G97">
        <v>242830</v>
      </c>
      <c r="H97">
        <v>232292</v>
      </c>
      <c r="I97">
        <v>204237</v>
      </c>
      <c r="J97">
        <v>465963</v>
      </c>
      <c r="K97">
        <v>222292</v>
      </c>
      <c r="L97">
        <v>244976</v>
      </c>
    </row>
    <row r="98" spans="1:12" x14ac:dyDescent="0.35">
      <c r="A98">
        <v>2025</v>
      </c>
      <c r="B98">
        <v>12</v>
      </c>
      <c r="C98" t="s">
        <v>75</v>
      </c>
      <c r="D98" t="s">
        <v>234</v>
      </c>
      <c r="E98" t="s">
        <v>235</v>
      </c>
      <c r="F98">
        <v>1486</v>
      </c>
      <c r="G98">
        <v>249045</v>
      </c>
      <c r="H98">
        <v>241134</v>
      </c>
      <c r="I98">
        <v>223634</v>
      </c>
      <c r="J98">
        <v>320568</v>
      </c>
      <c r="K98">
        <v>233634</v>
      </c>
      <c r="L98">
        <v>256134</v>
      </c>
    </row>
    <row r="99" spans="1:12" x14ac:dyDescent="0.35">
      <c r="A99">
        <v>2025</v>
      </c>
      <c r="B99">
        <v>12</v>
      </c>
      <c r="C99" t="s">
        <v>75</v>
      </c>
      <c r="D99" t="s">
        <v>236</v>
      </c>
      <c r="E99" t="s">
        <v>237</v>
      </c>
      <c r="F99">
        <v>2755</v>
      </c>
      <c r="G99">
        <v>283180</v>
      </c>
      <c r="H99">
        <v>282009</v>
      </c>
      <c r="I99">
        <v>215212</v>
      </c>
      <c r="J99">
        <v>404719</v>
      </c>
      <c r="K99">
        <v>267009</v>
      </c>
      <c r="L99">
        <v>297009</v>
      </c>
    </row>
    <row r="100" spans="1:12" x14ac:dyDescent="0.35">
      <c r="A100">
        <v>2025</v>
      </c>
      <c r="B100">
        <v>12</v>
      </c>
      <c r="C100" t="s">
        <v>75</v>
      </c>
      <c r="D100" t="s">
        <v>238</v>
      </c>
      <c r="E100" t="s">
        <v>239</v>
      </c>
      <c r="F100">
        <v>1180</v>
      </c>
      <c r="G100">
        <v>220919</v>
      </c>
      <c r="H100">
        <v>220882</v>
      </c>
      <c r="I100">
        <v>191602</v>
      </c>
      <c r="J100">
        <v>250950</v>
      </c>
      <c r="K100">
        <v>209287</v>
      </c>
      <c r="L100">
        <v>232895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241</v>
      </c>
      <c r="E5" t="s">
        <v>242</v>
      </c>
      <c r="F5">
        <v>4927</v>
      </c>
      <c r="G5">
        <v>272947</v>
      </c>
      <c r="H5">
        <v>260531</v>
      </c>
      <c r="I5">
        <v>207526</v>
      </c>
      <c r="J5">
        <v>465963</v>
      </c>
      <c r="K5">
        <v>230395</v>
      </c>
      <c r="L5">
        <v>295986</v>
      </c>
    </row>
    <row r="6" spans="1:12" x14ac:dyDescent="0.35">
      <c r="A6">
        <v>2024</v>
      </c>
      <c r="B6">
        <v>1</v>
      </c>
      <c r="C6" t="s">
        <v>42</v>
      </c>
      <c r="D6" t="s">
        <v>243</v>
      </c>
      <c r="E6" t="s">
        <v>244</v>
      </c>
      <c r="F6">
        <v>715</v>
      </c>
      <c r="G6">
        <v>397382</v>
      </c>
      <c r="H6">
        <v>405974</v>
      </c>
      <c r="I6">
        <v>277564</v>
      </c>
      <c r="J6">
        <v>465729</v>
      </c>
      <c r="K6">
        <v>368942</v>
      </c>
      <c r="L6">
        <v>424719</v>
      </c>
    </row>
    <row r="7" spans="1:12" x14ac:dyDescent="0.35">
      <c r="A7">
        <v>2024</v>
      </c>
      <c r="B7">
        <v>2</v>
      </c>
      <c r="C7" t="s">
        <v>63</v>
      </c>
      <c r="D7" t="s">
        <v>241</v>
      </c>
      <c r="E7" t="s">
        <v>242</v>
      </c>
      <c r="F7">
        <v>4934</v>
      </c>
      <c r="G7">
        <v>274268</v>
      </c>
      <c r="H7">
        <v>260740</v>
      </c>
      <c r="I7">
        <v>206856</v>
      </c>
      <c r="J7">
        <v>465963</v>
      </c>
      <c r="K7">
        <v>231744</v>
      </c>
      <c r="L7">
        <v>300519</v>
      </c>
    </row>
    <row r="8" spans="1:12" x14ac:dyDescent="0.35">
      <c r="A8">
        <v>2024</v>
      </c>
      <c r="B8">
        <v>2</v>
      </c>
      <c r="C8" t="s">
        <v>63</v>
      </c>
      <c r="D8" t="s">
        <v>243</v>
      </c>
      <c r="E8" t="s">
        <v>244</v>
      </c>
      <c r="F8">
        <v>706</v>
      </c>
      <c r="G8">
        <v>398625</v>
      </c>
      <c r="H8">
        <v>406564</v>
      </c>
      <c r="I8">
        <v>277564</v>
      </c>
      <c r="J8">
        <v>465824</v>
      </c>
      <c r="K8">
        <v>370052</v>
      </c>
      <c r="L8">
        <v>427219</v>
      </c>
    </row>
    <row r="9" spans="1:12" x14ac:dyDescent="0.35">
      <c r="A9">
        <v>2024</v>
      </c>
      <c r="B9">
        <v>3</v>
      </c>
      <c r="C9" t="s">
        <v>66</v>
      </c>
      <c r="D9" t="s">
        <v>241</v>
      </c>
      <c r="E9" t="s">
        <v>242</v>
      </c>
      <c r="F9">
        <v>4984</v>
      </c>
      <c r="G9">
        <v>273978</v>
      </c>
      <c r="H9">
        <v>262564</v>
      </c>
      <c r="I9">
        <v>207526</v>
      </c>
      <c r="J9">
        <v>465963</v>
      </c>
      <c r="K9">
        <v>232661</v>
      </c>
      <c r="L9">
        <v>300752</v>
      </c>
    </row>
    <row r="10" spans="1:12" x14ac:dyDescent="0.35">
      <c r="A10">
        <v>2024</v>
      </c>
      <c r="B10">
        <v>3</v>
      </c>
      <c r="C10" t="s">
        <v>66</v>
      </c>
      <c r="D10" t="s">
        <v>243</v>
      </c>
      <c r="E10" t="s">
        <v>244</v>
      </c>
      <c r="F10">
        <v>703</v>
      </c>
      <c r="G10">
        <v>398015</v>
      </c>
      <c r="H10">
        <v>406295</v>
      </c>
      <c r="I10">
        <v>277564</v>
      </c>
      <c r="J10">
        <v>465729</v>
      </c>
      <c r="K10">
        <v>370052</v>
      </c>
      <c r="L10">
        <v>425643</v>
      </c>
    </row>
    <row r="11" spans="1:12" x14ac:dyDescent="0.35">
      <c r="A11">
        <v>2024</v>
      </c>
      <c r="B11">
        <v>4</v>
      </c>
      <c r="C11" t="s">
        <v>67</v>
      </c>
      <c r="D11" t="s">
        <v>241</v>
      </c>
      <c r="E11" t="s">
        <v>242</v>
      </c>
      <c r="F11">
        <v>4987</v>
      </c>
      <c r="G11">
        <v>274518</v>
      </c>
      <c r="H11">
        <v>262564</v>
      </c>
      <c r="I11">
        <v>207202</v>
      </c>
      <c r="J11">
        <v>465963</v>
      </c>
      <c r="K11">
        <v>232895</v>
      </c>
      <c r="L11">
        <v>303019</v>
      </c>
    </row>
    <row r="12" spans="1:12" x14ac:dyDescent="0.35">
      <c r="A12">
        <v>2024</v>
      </c>
      <c r="B12">
        <v>4</v>
      </c>
      <c r="C12" t="s">
        <v>67</v>
      </c>
      <c r="D12" t="s">
        <v>243</v>
      </c>
      <c r="E12" t="s">
        <v>244</v>
      </c>
      <c r="F12">
        <v>696</v>
      </c>
      <c r="G12">
        <v>397957</v>
      </c>
      <c r="H12">
        <v>406757</v>
      </c>
      <c r="I12">
        <v>277564</v>
      </c>
      <c r="J12">
        <v>465729</v>
      </c>
      <c r="K12">
        <v>368942</v>
      </c>
      <c r="L12">
        <v>425643</v>
      </c>
    </row>
    <row r="13" spans="1:12" x14ac:dyDescent="0.35">
      <c r="A13">
        <v>2024</v>
      </c>
      <c r="B13">
        <v>5</v>
      </c>
      <c r="C13" t="s">
        <v>68</v>
      </c>
      <c r="D13" t="s">
        <v>241</v>
      </c>
      <c r="E13" t="s">
        <v>242</v>
      </c>
      <c r="F13">
        <v>4999</v>
      </c>
      <c r="G13">
        <v>274929</v>
      </c>
      <c r="H13">
        <v>262564</v>
      </c>
      <c r="I13">
        <v>207526</v>
      </c>
      <c r="J13">
        <v>465963</v>
      </c>
      <c r="K13">
        <v>232895</v>
      </c>
      <c r="L13">
        <v>303486</v>
      </c>
    </row>
    <row r="14" spans="1:12" x14ac:dyDescent="0.35">
      <c r="A14">
        <v>2024</v>
      </c>
      <c r="B14">
        <v>5</v>
      </c>
      <c r="C14" t="s">
        <v>68</v>
      </c>
      <c r="D14" t="s">
        <v>243</v>
      </c>
      <c r="E14" t="s">
        <v>244</v>
      </c>
      <c r="F14">
        <v>653</v>
      </c>
      <c r="G14">
        <v>398253</v>
      </c>
      <c r="H14">
        <v>407219</v>
      </c>
      <c r="I14">
        <v>277564</v>
      </c>
      <c r="J14">
        <v>465729</v>
      </c>
      <c r="K14">
        <v>370052</v>
      </c>
      <c r="L14">
        <v>424719</v>
      </c>
    </row>
    <row r="15" spans="1:12" x14ac:dyDescent="0.35">
      <c r="A15">
        <v>2024</v>
      </c>
      <c r="B15">
        <v>6</v>
      </c>
      <c r="C15" t="s">
        <v>69</v>
      </c>
      <c r="D15" t="s">
        <v>241</v>
      </c>
      <c r="E15" t="s">
        <v>242</v>
      </c>
      <c r="F15">
        <v>5004</v>
      </c>
      <c r="G15">
        <v>274326</v>
      </c>
      <c r="H15">
        <v>262564</v>
      </c>
      <c r="I15">
        <v>207526</v>
      </c>
      <c r="J15">
        <v>465963</v>
      </c>
      <c r="K15">
        <v>232895</v>
      </c>
      <c r="L15">
        <v>300752</v>
      </c>
    </row>
    <row r="16" spans="1:12" x14ac:dyDescent="0.35">
      <c r="A16">
        <v>2024</v>
      </c>
      <c r="B16">
        <v>6</v>
      </c>
      <c r="C16" t="s">
        <v>69</v>
      </c>
      <c r="D16" t="s">
        <v>243</v>
      </c>
      <c r="E16" t="s">
        <v>244</v>
      </c>
      <c r="F16">
        <v>666</v>
      </c>
      <c r="G16">
        <v>399159</v>
      </c>
      <c r="H16">
        <v>408143</v>
      </c>
      <c r="I16">
        <v>277564</v>
      </c>
      <c r="J16">
        <v>465729</v>
      </c>
      <c r="K16">
        <v>370519</v>
      </c>
      <c r="L16">
        <v>427219</v>
      </c>
    </row>
    <row r="17" spans="1:12" x14ac:dyDescent="0.35">
      <c r="A17">
        <v>2024</v>
      </c>
      <c r="B17">
        <v>7</v>
      </c>
      <c r="C17" t="s">
        <v>70</v>
      </c>
      <c r="D17" t="s">
        <v>241</v>
      </c>
      <c r="E17" t="s">
        <v>242</v>
      </c>
      <c r="F17">
        <v>5034</v>
      </c>
      <c r="G17">
        <v>274803</v>
      </c>
      <c r="H17">
        <v>262564</v>
      </c>
      <c r="I17">
        <v>207526</v>
      </c>
      <c r="J17">
        <v>465963</v>
      </c>
      <c r="K17">
        <v>233216</v>
      </c>
      <c r="L17">
        <v>303252</v>
      </c>
    </row>
    <row r="18" spans="1:12" x14ac:dyDescent="0.35">
      <c r="A18">
        <v>2024</v>
      </c>
      <c r="B18">
        <v>7</v>
      </c>
      <c r="C18" t="s">
        <v>70</v>
      </c>
      <c r="D18" t="s">
        <v>243</v>
      </c>
      <c r="E18" t="s">
        <v>244</v>
      </c>
      <c r="F18">
        <v>676</v>
      </c>
      <c r="G18">
        <v>398919</v>
      </c>
      <c r="H18">
        <v>407681</v>
      </c>
      <c r="I18">
        <v>272564</v>
      </c>
      <c r="J18">
        <v>465729</v>
      </c>
      <c r="K18">
        <v>370519</v>
      </c>
      <c r="L18">
        <v>427219</v>
      </c>
    </row>
    <row r="19" spans="1:12" x14ac:dyDescent="0.35">
      <c r="A19">
        <v>2024</v>
      </c>
      <c r="B19">
        <v>8</v>
      </c>
      <c r="C19" t="s">
        <v>71</v>
      </c>
      <c r="D19" t="s">
        <v>241</v>
      </c>
      <c r="E19" t="s">
        <v>242</v>
      </c>
      <c r="F19">
        <v>5052</v>
      </c>
      <c r="G19">
        <v>276358</v>
      </c>
      <c r="H19">
        <v>262661</v>
      </c>
      <c r="I19">
        <v>206942</v>
      </c>
      <c r="J19">
        <v>467889</v>
      </c>
      <c r="K19">
        <v>235765</v>
      </c>
      <c r="L19">
        <v>302564</v>
      </c>
    </row>
    <row r="20" spans="1:12" x14ac:dyDescent="0.35">
      <c r="A20">
        <v>2024</v>
      </c>
      <c r="B20">
        <v>8</v>
      </c>
      <c r="C20" t="s">
        <v>71</v>
      </c>
      <c r="D20" t="s">
        <v>243</v>
      </c>
      <c r="E20" t="s">
        <v>244</v>
      </c>
      <c r="F20">
        <v>674</v>
      </c>
      <c r="G20">
        <v>400539</v>
      </c>
      <c r="H20">
        <v>408795</v>
      </c>
      <c r="I20">
        <v>272564</v>
      </c>
      <c r="J20">
        <v>465729</v>
      </c>
      <c r="K20">
        <v>372552</v>
      </c>
      <c r="L20">
        <v>427219</v>
      </c>
    </row>
    <row r="21" spans="1:12" x14ac:dyDescent="0.35">
      <c r="A21">
        <v>2024</v>
      </c>
      <c r="B21">
        <v>9</v>
      </c>
      <c r="C21" t="s">
        <v>72</v>
      </c>
      <c r="D21" t="s">
        <v>241</v>
      </c>
      <c r="E21" t="s">
        <v>242</v>
      </c>
      <c r="F21">
        <v>5071</v>
      </c>
      <c r="G21">
        <v>271876</v>
      </c>
      <c r="H21">
        <v>259324</v>
      </c>
      <c r="I21">
        <v>207526</v>
      </c>
      <c r="J21">
        <v>465963</v>
      </c>
      <c r="K21">
        <v>227710</v>
      </c>
      <c r="L21">
        <v>300986</v>
      </c>
    </row>
    <row r="22" spans="1:12" x14ac:dyDescent="0.35">
      <c r="A22">
        <v>2024</v>
      </c>
      <c r="B22">
        <v>9</v>
      </c>
      <c r="C22" t="s">
        <v>72</v>
      </c>
      <c r="D22" t="s">
        <v>243</v>
      </c>
      <c r="E22" t="s">
        <v>244</v>
      </c>
      <c r="F22">
        <v>677</v>
      </c>
      <c r="G22">
        <v>400399</v>
      </c>
      <c r="H22">
        <v>409719</v>
      </c>
      <c r="I22">
        <v>272564</v>
      </c>
      <c r="J22">
        <v>465963</v>
      </c>
      <c r="K22">
        <v>373474</v>
      </c>
      <c r="L22">
        <v>427219</v>
      </c>
    </row>
    <row r="23" spans="1:12" x14ac:dyDescent="0.35">
      <c r="A23">
        <v>2024</v>
      </c>
      <c r="B23">
        <v>10</v>
      </c>
      <c r="C23" t="s">
        <v>73</v>
      </c>
      <c r="D23" t="s">
        <v>241</v>
      </c>
      <c r="E23" t="s">
        <v>242</v>
      </c>
      <c r="F23">
        <v>5086</v>
      </c>
      <c r="G23">
        <v>271699</v>
      </c>
      <c r="H23">
        <v>257663</v>
      </c>
      <c r="I23">
        <v>207526</v>
      </c>
      <c r="J23">
        <v>465729</v>
      </c>
      <c r="K23">
        <v>227710</v>
      </c>
      <c r="L23">
        <v>300752</v>
      </c>
    </row>
    <row r="24" spans="1:12" x14ac:dyDescent="0.35">
      <c r="A24">
        <v>2024</v>
      </c>
      <c r="B24">
        <v>10</v>
      </c>
      <c r="C24" t="s">
        <v>73</v>
      </c>
      <c r="D24" t="s">
        <v>243</v>
      </c>
      <c r="E24" t="s">
        <v>244</v>
      </c>
      <c r="F24">
        <v>638</v>
      </c>
      <c r="G24">
        <v>400580</v>
      </c>
      <c r="H24">
        <v>409719</v>
      </c>
      <c r="I24">
        <v>272564</v>
      </c>
      <c r="J24">
        <v>465729</v>
      </c>
      <c r="K24">
        <v>372552</v>
      </c>
      <c r="L24">
        <v>428143</v>
      </c>
    </row>
    <row r="25" spans="1:12" x14ac:dyDescent="0.35">
      <c r="A25">
        <v>2024</v>
      </c>
      <c r="B25">
        <v>11</v>
      </c>
      <c r="C25" t="s">
        <v>74</v>
      </c>
      <c r="D25" t="s">
        <v>241</v>
      </c>
      <c r="E25" t="s">
        <v>242</v>
      </c>
      <c r="F25">
        <v>5082</v>
      </c>
      <c r="G25">
        <v>271704</v>
      </c>
      <c r="H25">
        <v>257663</v>
      </c>
      <c r="I25">
        <v>207526</v>
      </c>
      <c r="J25">
        <v>465729</v>
      </c>
      <c r="K25">
        <v>227710</v>
      </c>
      <c r="L25">
        <v>300752</v>
      </c>
    </row>
    <row r="26" spans="1:12" x14ac:dyDescent="0.35">
      <c r="A26">
        <v>2024</v>
      </c>
      <c r="B26">
        <v>11</v>
      </c>
      <c r="C26" t="s">
        <v>74</v>
      </c>
      <c r="D26" t="s">
        <v>243</v>
      </c>
      <c r="E26" t="s">
        <v>244</v>
      </c>
      <c r="F26">
        <v>627</v>
      </c>
      <c r="G26">
        <v>401351</v>
      </c>
      <c r="H26">
        <v>409719</v>
      </c>
      <c r="I26">
        <v>272564</v>
      </c>
      <c r="J26">
        <v>465729</v>
      </c>
      <c r="K26">
        <v>375052</v>
      </c>
      <c r="L26">
        <v>428795</v>
      </c>
    </row>
    <row r="27" spans="1:12" x14ac:dyDescent="0.35">
      <c r="A27">
        <v>2024</v>
      </c>
      <c r="B27">
        <v>12</v>
      </c>
      <c r="C27" t="s">
        <v>75</v>
      </c>
      <c r="D27" t="s">
        <v>241</v>
      </c>
      <c r="E27" t="s">
        <v>242</v>
      </c>
      <c r="F27">
        <v>5080</v>
      </c>
      <c r="G27">
        <v>271727</v>
      </c>
      <c r="H27">
        <v>257663</v>
      </c>
      <c r="I27">
        <v>207526</v>
      </c>
      <c r="J27">
        <v>465729</v>
      </c>
      <c r="K27">
        <v>227710</v>
      </c>
      <c r="L27">
        <v>300986</v>
      </c>
    </row>
    <row r="28" spans="1:12" x14ac:dyDescent="0.35">
      <c r="A28">
        <v>2024</v>
      </c>
      <c r="B28">
        <v>12</v>
      </c>
      <c r="C28" t="s">
        <v>75</v>
      </c>
      <c r="D28" t="s">
        <v>243</v>
      </c>
      <c r="E28" t="s">
        <v>244</v>
      </c>
      <c r="F28">
        <v>625</v>
      </c>
      <c r="G28">
        <v>401306</v>
      </c>
      <c r="H28">
        <v>409719</v>
      </c>
      <c r="I28">
        <v>272564</v>
      </c>
      <c r="J28">
        <v>465729</v>
      </c>
      <c r="K28">
        <v>375052</v>
      </c>
      <c r="L28">
        <v>428795</v>
      </c>
    </row>
    <row r="29" spans="1:12" x14ac:dyDescent="0.35">
      <c r="A29">
        <v>2025</v>
      </c>
      <c r="B29">
        <v>1</v>
      </c>
      <c r="C29" t="s">
        <v>42</v>
      </c>
      <c r="D29" t="s">
        <v>241</v>
      </c>
      <c r="E29" t="s">
        <v>242</v>
      </c>
      <c r="F29">
        <v>5023</v>
      </c>
      <c r="G29">
        <v>273250</v>
      </c>
      <c r="H29">
        <v>261051</v>
      </c>
      <c r="I29">
        <v>207526</v>
      </c>
      <c r="J29">
        <v>460729</v>
      </c>
      <c r="K29">
        <v>229131</v>
      </c>
      <c r="L29">
        <v>300986</v>
      </c>
    </row>
    <row r="30" spans="1:12" x14ac:dyDescent="0.35">
      <c r="A30">
        <v>2025</v>
      </c>
      <c r="B30">
        <v>1</v>
      </c>
      <c r="C30" t="s">
        <v>42</v>
      </c>
      <c r="D30" t="s">
        <v>243</v>
      </c>
      <c r="E30" t="s">
        <v>244</v>
      </c>
      <c r="F30">
        <v>595</v>
      </c>
      <c r="G30">
        <v>405620</v>
      </c>
      <c r="H30">
        <v>414719</v>
      </c>
      <c r="I30">
        <v>272564</v>
      </c>
      <c r="J30">
        <v>467262</v>
      </c>
      <c r="K30">
        <v>375974</v>
      </c>
      <c r="L30">
        <v>433969</v>
      </c>
    </row>
    <row r="31" spans="1:12" x14ac:dyDescent="0.35">
      <c r="A31">
        <v>2025</v>
      </c>
      <c r="B31">
        <v>2</v>
      </c>
      <c r="C31" t="s">
        <v>63</v>
      </c>
      <c r="D31" t="s">
        <v>241</v>
      </c>
      <c r="E31" t="s">
        <v>242</v>
      </c>
      <c r="F31">
        <v>5126</v>
      </c>
      <c r="G31">
        <v>274763</v>
      </c>
      <c r="H31">
        <v>262564</v>
      </c>
      <c r="I31">
        <v>207526</v>
      </c>
      <c r="J31">
        <v>466575</v>
      </c>
      <c r="K31">
        <v>230395</v>
      </c>
      <c r="L31">
        <v>305752</v>
      </c>
    </row>
    <row r="32" spans="1:12" x14ac:dyDescent="0.35">
      <c r="A32">
        <v>2025</v>
      </c>
      <c r="B32">
        <v>2</v>
      </c>
      <c r="C32" t="s">
        <v>63</v>
      </c>
      <c r="D32" t="s">
        <v>243</v>
      </c>
      <c r="E32" t="s">
        <v>244</v>
      </c>
      <c r="F32">
        <v>594</v>
      </c>
      <c r="G32">
        <v>407750</v>
      </c>
      <c r="H32">
        <v>414719</v>
      </c>
      <c r="I32">
        <v>272564</v>
      </c>
      <c r="J32">
        <v>467072</v>
      </c>
      <c r="K32">
        <v>391295</v>
      </c>
      <c r="L32">
        <v>433143</v>
      </c>
    </row>
    <row r="33" spans="1:12" x14ac:dyDescent="0.35">
      <c r="A33">
        <v>2025</v>
      </c>
      <c r="B33">
        <v>3</v>
      </c>
      <c r="C33" t="s">
        <v>66</v>
      </c>
      <c r="D33" t="s">
        <v>241</v>
      </c>
      <c r="E33" t="s">
        <v>242</v>
      </c>
      <c r="F33">
        <v>5166</v>
      </c>
      <c r="G33">
        <v>274310</v>
      </c>
      <c r="H33">
        <v>262564</v>
      </c>
      <c r="I33">
        <v>207526</v>
      </c>
      <c r="J33">
        <v>460729</v>
      </c>
      <c r="K33">
        <v>232696</v>
      </c>
      <c r="L33">
        <v>303019</v>
      </c>
    </row>
    <row r="34" spans="1:12" x14ac:dyDescent="0.35">
      <c r="A34">
        <v>2025</v>
      </c>
      <c r="B34">
        <v>3</v>
      </c>
      <c r="C34" t="s">
        <v>66</v>
      </c>
      <c r="D34" t="s">
        <v>243</v>
      </c>
      <c r="E34" t="s">
        <v>244</v>
      </c>
      <c r="F34">
        <v>597</v>
      </c>
      <c r="G34">
        <v>406486</v>
      </c>
      <c r="H34">
        <v>414719</v>
      </c>
      <c r="I34">
        <v>272564</v>
      </c>
      <c r="J34">
        <v>466517</v>
      </c>
      <c r="K34">
        <v>385974</v>
      </c>
      <c r="L34">
        <v>433143</v>
      </c>
    </row>
    <row r="35" spans="1:12" x14ac:dyDescent="0.35">
      <c r="A35">
        <v>2025</v>
      </c>
      <c r="B35">
        <v>4</v>
      </c>
      <c r="C35" t="s">
        <v>67</v>
      </c>
      <c r="D35" t="s">
        <v>241</v>
      </c>
      <c r="E35" t="s">
        <v>242</v>
      </c>
      <c r="F35">
        <v>5126</v>
      </c>
      <c r="G35">
        <v>274750</v>
      </c>
      <c r="H35">
        <v>262564</v>
      </c>
      <c r="I35">
        <v>207526</v>
      </c>
      <c r="J35">
        <v>466575</v>
      </c>
      <c r="K35">
        <v>230395</v>
      </c>
      <c r="L35">
        <v>305752</v>
      </c>
    </row>
    <row r="36" spans="1:12" x14ac:dyDescent="0.35">
      <c r="A36">
        <v>2025</v>
      </c>
      <c r="B36">
        <v>4</v>
      </c>
      <c r="C36" t="s">
        <v>67</v>
      </c>
      <c r="D36" t="s">
        <v>243</v>
      </c>
      <c r="E36" t="s">
        <v>244</v>
      </c>
      <c r="F36">
        <v>593</v>
      </c>
      <c r="G36">
        <v>407724</v>
      </c>
      <c r="H36">
        <v>414719</v>
      </c>
      <c r="I36">
        <v>272564</v>
      </c>
      <c r="J36">
        <v>467072</v>
      </c>
      <c r="K36">
        <v>391295</v>
      </c>
      <c r="L36">
        <v>433143</v>
      </c>
    </row>
    <row r="37" spans="1:12" x14ac:dyDescent="0.35">
      <c r="A37">
        <v>2025</v>
      </c>
      <c r="B37">
        <v>5</v>
      </c>
      <c r="C37" t="s">
        <v>68</v>
      </c>
      <c r="D37" t="s">
        <v>241</v>
      </c>
      <c r="E37" t="s">
        <v>242</v>
      </c>
      <c r="F37">
        <v>5193</v>
      </c>
      <c r="G37">
        <v>274084</v>
      </c>
      <c r="H37">
        <v>262661</v>
      </c>
      <c r="I37">
        <v>207526</v>
      </c>
      <c r="J37">
        <v>460729</v>
      </c>
      <c r="K37">
        <v>230395</v>
      </c>
      <c r="L37">
        <v>303252</v>
      </c>
    </row>
    <row r="38" spans="1:12" x14ac:dyDescent="0.35">
      <c r="A38">
        <v>2025</v>
      </c>
      <c r="B38">
        <v>5</v>
      </c>
      <c r="C38" t="s">
        <v>68</v>
      </c>
      <c r="D38" t="s">
        <v>243</v>
      </c>
      <c r="E38" t="s">
        <v>244</v>
      </c>
      <c r="F38">
        <v>579</v>
      </c>
      <c r="G38">
        <v>406265</v>
      </c>
      <c r="H38">
        <v>413795</v>
      </c>
      <c r="I38">
        <v>282563</v>
      </c>
      <c r="J38">
        <v>466517</v>
      </c>
      <c r="K38">
        <v>385974</v>
      </c>
      <c r="L38">
        <v>433143</v>
      </c>
    </row>
    <row r="39" spans="1:12" x14ac:dyDescent="0.35">
      <c r="A39">
        <v>2025</v>
      </c>
      <c r="B39">
        <v>6</v>
      </c>
      <c r="C39" t="s">
        <v>69</v>
      </c>
      <c r="D39" t="s">
        <v>241</v>
      </c>
      <c r="E39" t="s">
        <v>242</v>
      </c>
      <c r="F39">
        <v>2831</v>
      </c>
      <c r="G39">
        <v>290832</v>
      </c>
      <c r="H39">
        <v>285752</v>
      </c>
      <c r="I39">
        <v>207526</v>
      </c>
      <c r="J39">
        <v>460729</v>
      </c>
      <c r="K39">
        <v>243265</v>
      </c>
      <c r="L39">
        <v>318019</v>
      </c>
    </row>
    <row r="40" spans="1:12" x14ac:dyDescent="0.35">
      <c r="A40">
        <v>2025</v>
      </c>
      <c r="B40">
        <v>6</v>
      </c>
      <c r="C40" t="s">
        <v>69</v>
      </c>
      <c r="D40" t="s">
        <v>243</v>
      </c>
      <c r="E40" t="s">
        <v>244</v>
      </c>
      <c r="F40">
        <v>1015</v>
      </c>
      <c r="G40">
        <v>370598</v>
      </c>
      <c r="H40">
        <v>356442</v>
      </c>
      <c r="I40">
        <v>272563</v>
      </c>
      <c r="J40">
        <v>466517</v>
      </c>
      <c r="K40">
        <v>323252</v>
      </c>
      <c r="L40">
        <v>421295</v>
      </c>
    </row>
    <row r="41" spans="1:12" x14ac:dyDescent="0.35">
      <c r="A41">
        <v>2025</v>
      </c>
      <c r="B41">
        <v>7</v>
      </c>
      <c r="C41" t="s">
        <v>70</v>
      </c>
      <c r="D41" t="s">
        <v>241</v>
      </c>
      <c r="E41" t="s">
        <v>242</v>
      </c>
      <c r="F41">
        <v>2822</v>
      </c>
      <c r="G41">
        <v>291300</v>
      </c>
      <c r="H41">
        <v>285986</v>
      </c>
      <c r="I41">
        <v>207526</v>
      </c>
      <c r="J41">
        <v>466517</v>
      </c>
      <c r="K41">
        <v>245161</v>
      </c>
      <c r="L41">
        <v>318019</v>
      </c>
    </row>
    <row r="42" spans="1:12" x14ac:dyDescent="0.35">
      <c r="A42">
        <v>2025</v>
      </c>
      <c r="B42">
        <v>7</v>
      </c>
      <c r="C42" t="s">
        <v>70</v>
      </c>
      <c r="D42" t="s">
        <v>243</v>
      </c>
      <c r="E42" t="s">
        <v>244</v>
      </c>
      <c r="F42">
        <v>1013</v>
      </c>
      <c r="G42">
        <v>370224</v>
      </c>
      <c r="H42">
        <v>356442</v>
      </c>
      <c r="I42">
        <v>272563</v>
      </c>
      <c r="J42">
        <v>466517</v>
      </c>
      <c r="K42">
        <v>323252</v>
      </c>
      <c r="L42">
        <v>420643</v>
      </c>
    </row>
    <row r="43" spans="1:12" x14ac:dyDescent="0.35">
      <c r="A43">
        <v>2025</v>
      </c>
      <c r="B43">
        <v>8</v>
      </c>
      <c r="C43" t="s">
        <v>71</v>
      </c>
      <c r="D43" t="s">
        <v>241</v>
      </c>
      <c r="E43" t="s">
        <v>242</v>
      </c>
      <c r="F43">
        <v>2821</v>
      </c>
      <c r="G43">
        <v>291661</v>
      </c>
      <c r="H43">
        <v>287563</v>
      </c>
      <c r="I43">
        <v>207526</v>
      </c>
      <c r="J43">
        <v>460729</v>
      </c>
      <c r="K43">
        <v>245161</v>
      </c>
      <c r="L43">
        <v>318486</v>
      </c>
    </row>
    <row r="44" spans="1:12" x14ac:dyDescent="0.35">
      <c r="A44">
        <v>2025</v>
      </c>
      <c r="B44">
        <v>8</v>
      </c>
      <c r="C44" t="s">
        <v>71</v>
      </c>
      <c r="D44" t="s">
        <v>243</v>
      </c>
      <c r="E44" t="s">
        <v>244</v>
      </c>
      <c r="F44">
        <v>1020</v>
      </c>
      <c r="G44">
        <v>370452</v>
      </c>
      <c r="H44">
        <v>356442</v>
      </c>
      <c r="I44">
        <v>260063</v>
      </c>
      <c r="J44">
        <v>466517</v>
      </c>
      <c r="K44">
        <v>325519</v>
      </c>
      <c r="L44">
        <v>420643</v>
      </c>
    </row>
    <row r="45" spans="1:12" x14ac:dyDescent="0.35">
      <c r="A45">
        <v>2025</v>
      </c>
      <c r="B45">
        <v>9</v>
      </c>
      <c r="C45" t="s">
        <v>72</v>
      </c>
      <c r="D45" t="s">
        <v>241</v>
      </c>
      <c r="E45" t="s">
        <v>242</v>
      </c>
      <c r="F45">
        <v>2823</v>
      </c>
      <c r="G45">
        <v>291449</v>
      </c>
      <c r="H45">
        <v>285986</v>
      </c>
      <c r="I45">
        <v>207526</v>
      </c>
      <c r="J45">
        <v>460729</v>
      </c>
      <c r="K45">
        <v>245210</v>
      </c>
      <c r="L45">
        <v>318019</v>
      </c>
    </row>
    <row r="46" spans="1:12" x14ac:dyDescent="0.35">
      <c r="A46">
        <v>2025</v>
      </c>
      <c r="B46">
        <v>9</v>
      </c>
      <c r="C46" t="s">
        <v>72</v>
      </c>
      <c r="D46" t="s">
        <v>243</v>
      </c>
      <c r="E46" t="s">
        <v>244</v>
      </c>
      <c r="F46">
        <v>1021</v>
      </c>
      <c r="G46">
        <v>369934</v>
      </c>
      <c r="H46">
        <v>355752</v>
      </c>
      <c r="I46">
        <v>260063</v>
      </c>
      <c r="J46">
        <v>466517</v>
      </c>
      <c r="K46">
        <v>325519</v>
      </c>
      <c r="L46">
        <v>420643</v>
      </c>
    </row>
    <row r="47" spans="1:12" x14ac:dyDescent="0.35">
      <c r="A47">
        <v>2025</v>
      </c>
      <c r="B47">
        <v>10</v>
      </c>
      <c r="C47" t="s">
        <v>73</v>
      </c>
      <c r="D47" t="s">
        <v>241</v>
      </c>
      <c r="E47" t="s">
        <v>242</v>
      </c>
      <c r="F47">
        <v>2788</v>
      </c>
      <c r="G47">
        <v>291381</v>
      </c>
      <c r="H47">
        <v>285986</v>
      </c>
      <c r="I47">
        <v>207526</v>
      </c>
      <c r="J47">
        <v>460963</v>
      </c>
      <c r="K47">
        <v>243265</v>
      </c>
      <c r="L47">
        <v>318252</v>
      </c>
    </row>
    <row r="48" spans="1:12" x14ac:dyDescent="0.35">
      <c r="A48">
        <v>2025</v>
      </c>
      <c r="B48">
        <v>10</v>
      </c>
      <c r="C48" t="s">
        <v>73</v>
      </c>
      <c r="D48" t="s">
        <v>243</v>
      </c>
      <c r="E48" t="s">
        <v>244</v>
      </c>
      <c r="F48">
        <v>1072</v>
      </c>
      <c r="G48">
        <v>367081</v>
      </c>
      <c r="H48">
        <v>350519</v>
      </c>
      <c r="I48">
        <v>260063</v>
      </c>
      <c r="J48">
        <v>466517</v>
      </c>
      <c r="K48">
        <v>318486</v>
      </c>
      <c r="L48">
        <v>419719</v>
      </c>
    </row>
    <row r="49" spans="1:12" x14ac:dyDescent="0.35">
      <c r="A49">
        <v>2025</v>
      </c>
      <c r="B49">
        <v>11</v>
      </c>
      <c r="C49" t="s">
        <v>74</v>
      </c>
      <c r="D49" t="s">
        <v>241</v>
      </c>
      <c r="E49" t="s">
        <v>242</v>
      </c>
      <c r="F49">
        <v>2790</v>
      </c>
      <c r="G49">
        <v>291627</v>
      </c>
      <c r="H49">
        <v>285986</v>
      </c>
      <c r="I49">
        <v>207526</v>
      </c>
      <c r="J49">
        <v>460963</v>
      </c>
      <c r="K49">
        <v>242895</v>
      </c>
      <c r="L49">
        <v>318486</v>
      </c>
    </row>
    <row r="50" spans="1:12" x14ac:dyDescent="0.35">
      <c r="A50">
        <v>2025</v>
      </c>
      <c r="B50">
        <v>11</v>
      </c>
      <c r="C50" t="s">
        <v>74</v>
      </c>
      <c r="D50" t="s">
        <v>243</v>
      </c>
      <c r="E50" t="s">
        <v>244</v>
      </c>
      <c r="F50">
        <v>1084</v>
      </c>
      <c r="G50">
        <v>365599</v>
      </c>
      <c r="H50">
        <v>348942</v>
      </c>
      <c r="I50">
        <v>260063</v>
      </c>
      <c r="J50">
        <v>466517</v>
      </c>
      <c r="K50">
        <v>318252</v>
      </c>
      <c r="L50">
        <v>418143</v>
      </c>
    </row>
    <row r="51" spans="1:12" x14ac:dyDescent="0.35">
      <c r="A51">
        <v>2025</v>
      </c>
      <c r="B51">
        <v>12</v>
      </c>
      <c r="C51" t="s">
        <v>75</v>
      </c>
      <c r="D51" t="s">
        <v>241</v>
      </c>
      <c r="E51" t="s">
        <v>242</v>
      </c>
      <c r="F51">
        <v>2796</v>
      </c>
      <c r="G51">
        <v>292141</v>
      </c>
      <c r="H51">
        <v>285986</v>
      </c>
      <c r="I51">
        <v>207526</v>
      </c>
      <c r="J51">
        <v>460963</v>
      </c>
      <c r="K51">
        <v>243031</v>
      </c>
      <c r="L51">
        <v>320519</v>
      </c>
    </row>
    <row r="52" spans="1:12" x14ac:dyDescent="0.35">
      <c r="A52">
        <v>2025</v>
      </c>
      <c r="B52">
        <v>12</v>
      </c>
      <c r="C52" t="s">
        <v>75</v>
      </c>
      <c r="D52" t="s">
        <v>243</v>
      </c>
      <c r="E52" t="s">
        <v>244</v>
      </c>
      <c r="F52">
        <v>1080</v>
      </c>
      <c r="G52">
        <v>365685</v>
      </c>
      <c r="H52">
        <v>348942</v>
      </c>
      <c r="I52">
        <v>260063</v>
      </c>
      <c r="J52">
        <v>466517</v>
      </c>
      <c r="K52">
        <v>318252</v>
      </c>
      <c r="L52">
        <v>419719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246</v>
      </c>
      <c r="E5" t="s">
        <v>247</v>
      </c>
      <c r="F5">
        <v>123</v>
      </c>
      <c r="G5">
        <v>248084</v>
      </c>
      <c r="H5">
        <v>246134</v>
      </c>
      <c r="I5">
        <v>208868</v>
      </c>
      <c r="J5">
        <v>291775</v>
      </c>
      <c r="K5">
        <v>231922</v>
      </c>
      <c r="L5">
        <v>262009</v>
      </c>
    </row>
    <row r="6" spans="1:12" x14ac:dyDescent="0.35">
      <c r="A6">
        <v>2024</v>
      </c>
      <c r="B6">
        <v>1</v>
      </c>
      <c r="C6" t="s">
        <v>42</v>
      </c>
      <c r="D6" t="s">
        <v>248</v>
      </c>
      <c r="E6" t="s">
        <v>249</v>
      </c>
      <c r="F6">
        <v>102</v>
      </c>
      <c r="G6">
        <v>283340</v>
      </c>
      <c r="H6">
        <v>277564</v>
      </c>
      <c r="I6">
        <v>262564</v>
      </c>
      <c r="J6">
        <v>386295</v>
      </c>
      <c r="K6">
        <v>270064</v>
      </c>
      <c r="L6">
        <v>290986</v>
      </c>
    </row>
    <row r="7" spans="1:12" x14ac:dyDescent="0.35">
      <c r="A7">
        <v>2024</v>
      </c>
      <c r="B7">
        <v>2</v>
      </c>
      <c r="C7" t="s">
        <v>63</v>
      </c>
      <c r="D7" t="s">
        <v>246</v>
      </c>
      <c r="E7" t="s">
        <v>247</v>
      </c>
      <c r="F7">
        <v>120</v>
      </c>
      <c r="G7">
        <v>252123</v>
      </c>
      <c r="H7">
        <v>248109</v>
      </c>
      <c r="I7">
        <v>208868</v>
      </c>
      <c r="J7">
        <v>320481</v>
      </c>
      <c r="K7">
        <v>231922</v>
      </c>
      <c r="L7">
        <v>264927</v>
      </c>
    </row>
    <row r="8" spans="1:12" x14ac:dyDescent="0.35">
      <c r="A8">
        <v>2024</v>
      </c>
      <c r="B8">
        <v>2</v>
      </c>
      <c r="C8" t="s">
        <v>63</v>
      </c>
      <c r="D8" t="s">
        <v>248</v>
      </c>
      <c r="E8" t="s">
        <v>249</v>
      </c>
      <c r="F8">
        <v>104</v>
      </c>
      <c r="G8">
        <v>283919</v>
      </c>
      <c r="H8">
        <v>278814</v>
      </c>
      <c r="I8">
        <v>262564</v>
      </c>
      <c r="J8">
        <v>386295</v>
      </c>
      <c r="K8">
        <v>270064</v>
      </c>
      <c r="L8">
        <v>290986</v>
      </c>
    </row>
    <row r="9" spans="1:12" x14ac:dyDescent="0.35">
      <c r="A9">
        <v>2024</v>
      </c>
      <c r="B9">
        <v>3</v>
      </c>
      <c r="C9" t="s">
        <v>66</v>
      </c>
      <c r="D9" t="s">
        <v>246</v>
      </c>
      <c r="E9" t="s">
        <v>247</v>
      </c>
      <c r="F9">
        <v>116</v>
      </c>
      <c r="G9">
        <v>248751</v>
      </c>
      <c r="H9">
        <v>246134</v>
      </c>
      <c r="I9">
        <v>208868</v>
      </c>
      <c r="J9">
        <v>291775</v>
      </c>
      <c r="K9">
        <v>231922</v>
      </c>
      <c r="L9">
        <v>262009</v>
      </c>
    </row>
    <row r="10" spans="1:12" x14ac:dyDescent="0.35">
      <c r="A10">
        <v>2024</v>
      </c>
      <c r="B10">
        <v>3</v>
      </c>
      <c r="C10" t="s">
        <v>66</v>
      </c>
      <c r="D10" t="s">
        <v>248</v>
      </c>
      <c r="E10" t="s">
        <v>249</v>
      </c>
      <c r="F10">
        <v>109</v>
      </c>
      <c r="G10">
        <v>283080</v>
      </c>
      <c r="H10">
        <v>277564</v>
      </c>
      <c r="I10">
        <v>262564</v>
      </c>
      <c r="J10">
        <v>386295</v>
      </c>
      <c r="K10">
        <v>270064</v>
      </c>
      <c r="L10">
        <v>290986</v>
      </c>
    </row>
    <row r="11" spans="1:12" x14ac:dyDescent="0.35">
      <c r="A11">
        <v>2024</v>
      </c>
      <c r="B11">
        <v>4</v>
      </c>
      <c r="C11" t="s">
        <v>67</v>
      </c>
      <c r="D11" t="s">
        <v>246</v>
      </c>
      <c r="E11" t="s">
        <v>247</v>
      </c>
      <c r="F11">
        <v>115</v>
      </c>
      <c r="G11">
        <v>248846</v>
      </c>
      <c r="H11">
        <v>246134</v>
      </c>
      <c r="I11">
        <v>208868</v>
      </c>
      <c r="J11">
        <v>291775</v>
      </c>
      <c r="K11">
        <v>231922</v>
      </c>
      <c r="L11">
        <v>262009</v>
      </c>
    </row>
    <row r="12" spans="1:12" x14ac:dyDescent="0.35">
      <c r="A12">
        <v>2024</v>
      </c>
      <c r="B12">
        <v>4</v>
      </c>
      <c r="C12" t="s">
        <v>67</v>
      </c>
      <c r="D12" t="s">
        <v>248</v>
      </c>
      <c r="E12" t="s">
        <v>249</v>
      </c>
      <c r="F12">
        <v>111</v>
      </c>
      <c r="G12">
        <v>284231</v>
      </c>
      <c r="H12">
        <v>277564</v>
      </c>
      <c r="I12">
        <v>262564</v>
      </c>
      <c r="J12">
        <v>386295</v>
      </c>
      <c r="K12">
        <v>270064</v>
      </c>
      <c r="L12">
        <v>298252</v>
      </c>
    </row>
    <row r="13" spans="1:12" x14ac:dyDescent="0.35">
      <c r="A13">
        <v>2024</v>
      </c>
      <c r="B13">
        <v>5</v>
      </c>
      <c r="C13" t="s">
        <v>68</v>
      </c>
      <c r="D13" t="s">
        <v>246</v>
      </c>
      <c r="E13" t="s">
        <v>247</v>
      </c>
      <c r="F13">
        <v>113</v>
      </c>
      <c r="G13">
        <v>248617</v>
      </c>
      <c r="H13">
        <v>245347</v>
      </c>
      <c r="I13">
        <v>208868</v>
      </c>
      <c r="J13">
        <v>291775</v>
      </c>
      <c r="K13">
        <v>231922</v>
      </c>
      <c r="L13">
        <v>262009</v>
      </c>
    </row>
    <row r="14" spans="1:12" x14ac:dyDescent="0.35">
      <c r="A14">
        <v>2024</v>
      </c>
      <c r="B14">
        <v>5</v>
      </c>
      <c r="C14" t="s">
        <v>68</v>
      </c>
      <c r="D14" t="s">
        <v>248</v>
      </c>
      <c r="E14" t="s">
        <v>249</v>
      </c>
      <c r="F14">
        <v>113</v>
      </c>
      <c r="G14">
        <v>291464</v>
      </c>
      <c r="H14">
        <v>290986</v>
      </c>
      <c r="I14">
        <v>262564</v>
      </c>
      <c r="J14">
        <v>386295</v>
      </c>
      <c r="K14">
        <v>275986</v>
      </c>
      <c r="L14">
        <v>301724</v>
      </c>
    </row>
    <row r="15" spans="1:12" x14ac:dyDescent="0.35">
      <c r="A15">
        <v>2024</v>
      </c>
      <c r="B15">
        <v>6</v>
      </c>
      <c r="C15" t="s">
        <v>69</v>
      </c>
      <c r="D15" t="s">
        <v>246</v>
      </c>
      <c r="E15" t="s">
        <v>247</v>
      </c>
      <c r="F15">
        <v>113</v>
      </c>
      <c r="G15">
        <v>248646</v>
      </c>
      <c r="H15">
        <v>245347</v>
      </c>
      <c r="I15">
        <v>208868</v>
      </c>
      <c r="J15">
        <v>291775</v>
      </c>
      <c r="K15">
        <v>231922</v>
      </c>
      <c r="L15">
        <v>262009</v>
      </c>
    </row>
    <row r="16" spans="1:12" x14ac:dyDescent="0.35">
      <c r="A16">
        <v>2024</v>
      </c>
      <c r="B16">
        <v>6</v>
      </c>
      <c r="C16" t="s">
        <v>69</v>
      </c>
      <c r="D16" t="s">
        <v>248</v>
      </c>
      <c r="E16" t="s">
        <v>249</v>
      </c>
      <c r="F16">
        <v>114</v>
      </c>
      <c r="G16">
        <v>291244</v>
      </c>
      <c r="H16">
        <v>288369</v>
      </c>
      <c r="I16">
        <v>262564</v>
      </c>
      <c r="J16">
        <v>386295</v>
      </c>
      <c r="K16">
        <v>275986</v>
      </c>
      <c r="L16">
        <v>299325</v>
      </c>
    </row>
    <row r="17" spans="1:12" x14ac:dyDescent="0.35">
      <c r="A17">
        <v>2024</v>
      </c>
      <c r="B17">
        <v>7</v>
      </c>
      <c r="C17" t="s">
        <v>70</v>
      </c>
      <c r="D17" t="s">
        <v>246</v>
      </c>
      <c r="E17" t="s">
        <v>247</v>
      </c>
      <c r="F17">
        <v>113</v>
      </c>
      <c r="G17">
        <v>248646</v>
      </c>
      <c r="H17">
        <v>245347</v>
      </c>
      <c r="I17">
        <v>208868</v>
      </c>
      <c r="J17">
        <v>291775</v>
      </c>
      <c r="K17">
        <v>231922</v>
      </c>
      <c r="L17">
        <v>262009</v>
      </c>
    </row>
    <row r="18" spans="1:12" x14ac:dyDescent="0.35">
      <c r="A18">
        <v>2024</v>
      </c>
      <c r="B18">
        <v>7</v>
      </c>
      <c r="C18" t="s">
        <v>70</v>
      </c>
      <c r="D18" t="s">
        <v>248</v>
      </c>
      <c r="E18" t="s">
        <v>249</v>
      </c>
      <c r="F18">
        <v>117</v>
      </c>
      <c r="G18">
        <v>290667</v>
      </c>
      <c r="H18">
        <v>285986</v>
      </c>
      <c r="I18">
        <v>262564</v>
      </c>
      <c r="J18">
        <v>386295</v>
      </c>
      <c r="K18">
        <v>275986</v>
      </c>
      <c r="L18">
        <v>298486</v>
      </c>
    </row>
    <row r="19" spans="1:12" x14ac:dyDescent="0.35">
      <c r="A19">
        <v>2024</v>
      </c>
      <c r="B19">
        <v>8</v>
      </c>
      <c r="C19" t="s">
        <v>71</v>
      </c>
      <c r="D19" t="s">
        <v>246</v>
      </c>
      <c r="E19" t="s">
        <v>247</v>
      </c>
      <c r="F19">
        <v>113</v>
      </c>
      <c r="G19">
        <v>248973</v>
      </c>
      <c r="H19">
        <v>246134</v>
      </c>
      <c r="I19">
        <v>208868</v>
      </c>
      <c r="J19">
        <v>291775</v>
      </c>
      <c r="K19">
        <v>231922</v>
      </c>
      <c r="L19">
        <v>262009</v>
      </c>
    </row>
    <row r="20" spans="1:12" x14ac:dyDescent="0.35">
      <c r="A20">
        <v>2024</v>
      </c>
      <c r="B20">
        <v>8</v>
      </c>
      <c r="C20" t="s">
        <v>71</v>
      </c>
      <c r="D20" t="s">
        <v>248</v>
      </c>
      <c r="E20" t="s">
        <v>249</v>
      </c>
      <c r="F20">
        <v>117</v>
      </c>
      <c r="G20">
        <v>294250</v>
      </c>
      <c r="H20">
        <v>290752</v>
      </c>
      <c r="I20">
        <v>262564</v>
      </c>
      <c r="J20">
        <v>464341</v>
      </c>
      <c r="K20">
        <v>275986</v>
      </c>
      <c r="L20">
        <v>301280</v>
      </c>
    </row>
    <row r="21" spans="1:12" x14ac:dyDescent="0.35">
      <c r="A21">
        <v>2024</v>
      </c>
      <c r="B21">
        <v>9</v>
      </c>
      <c r="C21" t="s">
        <v>72</v>
      </c>
      <c r="D21" t="s">
        <v>246</v>
      </c>
      <c r="E21" t="s">
        <v>247</v>
      </c>
      <c r="F21">
        <v>113</v>
      </c>
      <c r="G21">
        <v>249825</v>
      </c>
      <c r="H21">
        <v>249927</v>
      </c>
      <c r="I21">
        <v>208868</v>
      </c>
      <c r="J21">
        <v>292009</v>
      </c>
      <c r="K21">
        <v>231922</v>
      </c>
      <c r="L21">
        <v>262009</v>
      </c>
    </row>
    <row r="22" spans="1:12" x14ac:dyDescent="0.35">
      <c r="A22">
        <v>2024</v>
      </c>
      <c r="B22">
        <v>9</v>
      </c>
      <c r="C22" t="s">
        <v>72</v>
      </c>
      <c r="D22" t="s">
        <v>248</v>
      </c>
      <c r="E22" t="s">
        <v>249</v>
      </c>
      <c r="F22">
        <v>119</v>
      </c>
      <c r="G22">
        <v>291661</v>
      </c>
      <c r="H22">
        <v>290752</v>
      </c>
      <c r="I22">
        <v>262564</v>
      </c>
      <c r="J22">
        <v>386295</v>
      </c>
      <c r="K22">
        <v>275986</v>
      </c>
      <c r="L22">
        <v>298486</v>
      </c>
    </row>
    <row r="23" spans="1:12" x14ac:dyDescent="0.35">
      <c r="A23">
        <v>2024</v>
      </c>
      <c r="B23">
        <v>10</v>
      </c>
      <c r="C23" t="s">
        <v>73</v>
      </c>
      <c r="D23" t="s">
        <v>246</v>
      </c>
      <c r="E23" t="s">
        <v>247</v>
      </c>
      <c r="F23">
        <v>113</v>
      </c>
      <c r="G23">
        <v>249944</v>
      </c>
      <c r="H23">
        <v>249927</v>
      </c>
      <c r="I23">
        <v>208868</v>
      </c>
      <c r="J23">
        <v>292009</v>
      </c>
      <c r="K23">
        <v>231922</v>
      </c>
      <c r="L23">
        <v>262009</v>
      </c>
    </row>
    <row r="24" spans="1:12" x14ac:dyDescent="0.35">
      <c r="A24">
        <v>2024</v>
      </c>
      <c r="B24">
        <v>10</v>
      </c>
      <c r="C24" t="s">
        <v>73</v>
      </c>
      <c r="D24" t="s">
        <v>248</v>
      </c>
      <c r="E24" t="s">
        <v>249</v>
      </c>
      <c r="F24">
        <v>120</v>
      </c>
      <c r="G24">
        <v>291962</v>
      </c>
      <c r="H24">
        <v>290752</v>
      </c>
      <c r="I24">
        <v>262564</v>
      </c>
      <c r="J24">
        <v>386295</v>
      </c>
      <c r="K24">
        <v>275986</v>
      </c>
      <c r="L24">
        <v>298486</v>
      </c>
    </row>
    <row r="25" spans="1:12" x14ac:dyDescent="0.35">
      <c r="A25">
        <v>2024</v>
      </c>
      <c r="B25">
        <v>11</v>
      </c>
      <c r="C25" t="s">
        <v>74</v>
      </c>
      <c r="D25" t="s">
        <v>246</v>
      </c>
      <c r="E25" t="s">
        <v>247</v>
      </c>
      <c r="F25">
        <v>112</v>
      </c>
      <c r="G25">
        <v>249750</v>
      </c>
      <c r="H25">
        <v>249927</v>
      </c>
      <c r="I25">
        <v>208868</v>
      </c>
      <c r="J25">
        <v>292009</v>
      </c>
      <c r="K25">
        <v>231922</v>
      </c>
      <c r="L25">
        <v>262009</v>
      </c>
    </row>
    <row r="26" spans="1:12" x14ac:dyDescent="0.35">
      <c r="A26">
        <v>2024</v>
      </c>
      <c r="B26">
        <v>11</v>
      </c>
      <c r="C26" t="s">
        <v>74</v>
      </c>
      <c r="D26" t="s">
        <v>248</v>
      </c>
      <c r="E26" t="s">
        <v>249</v>
      </c>
      <c r="F26">
        <v>123</v>
      </c>
      <c r="G26">
        <v>291744</v>
      </c>
      <c r="H26">
        <v>290752</v>
      </c>
      <c r="I26">
        <v>262564</v>
      </c>
      <c r="J26">
        <v>386295</v>
      </c>
      <c r="K26">
        <v>275986</v>
      </c>
      <c r="L26">
        <v>298486</v>
      </c>
    </row>
    <row r="27" spans="1:12" x14ac:dyDescent="0.35">
      <c r="A27">
        <v>2024</v>
      </c>
      <c r="B27">
        <v>12</v>
      </c>
      <c r="C27" t="s">
        <v>75</v>
      </c>
      <c r="D27" t="s">
        <v>246</v>
      </c>
      <c r="E27" t="s">
        <v>247</v>
      </c>
      <c r="F27">
        <v>112</v>
      </c>
      <c r="G27">
        <v>249750</v>
      </c>
      <c r="H27">
        <v>249927</v>
      </c>
      <c r="I27">
        <v>208868</v>
      </c>
      <c r="J27">
        <v>292009</v>
      </c>
      <c r="K27">
        <v>231922</v>
      </c>
      <c r="L27">
        <v>262009</v>
      </c>
    </row>
    <row r="28" spans="1:12" x14ac:dyDescent="0.35">
      <c r="A28">
        <v>2024</v>
      </c>
      <c r="B28">
        <v>12</v>
      </c>
      <c r="C28" t="s">
        <v>75</v>
      </c>
      <c r="D28" t="s">
        <v>248</v>
      </c>
      <c r="E28" t="s">
        <v>249</v>
      </c>
      <c r="F28">
        <v>124</v>
      </c>
      <c r="G28">
        <v>291569</v>
      </c>
      <c r="H28">
        <v>290752</v>
      </c>
      <c r="I28">
        <v>262564</v>
      </c>
      <c r="J28">
        <v>386295</v>
      </c>
      <c r="K28">
        <v>275986</v>
      </c>
      <c r="L28">
        <v>298486</v>
      </c>
    </row>
    <row r="29" spans="1:12" x14ac:dyDescent="0.35">
      <c r="A29">
        <v>2025</v>
      </c>
      <c r="B29">
        <v>1</v>
      </c>
      <c r="C29" t="s">
        <v>42</v>
      </c>
      <c r="D29" t="s">
        <v>246</v>
      </c>
      <c r="E29" t="s">
        <v>247</v>
      </c>
      <c r="F29">
        <v>111</v>
      </c>
      <c r="G29">
        <v>250129</v>
      </c>
      <c r="H29">
        <v>249927</v>
      </c>
      <c r="I29">
        <v>208868</v>
      </c>
      <c r="J29">
        <v>292009</v>
      </c>
      <c r="K29">
        <v>231922</v>
      </c>
      <c r="L29">
        <v>262009</v>
      </c>
    </row>
    <row r="30" spans="1:12" x14ac:dyDescent="0.35">
      <c r="A30">
        <v>2025</v>
      </c>
      <c r="B30">
        <v>1</v>
      </c>
      <c r="C30" t="s">
        <v>42</v>
      </c>
      <c r="D30" t="s">
        <v>248</v>
      </c>
      <c r="E30" t="s">
        <v>249</v>
      </c>
      <c r="F30">
        <v>124</v>
      </c>
      <c r="G30">
        <v>292540</v>
      </c>
      <c r="H30">
        <v>290752</v>
      </c>
      <c r="I30">
        <v>262564</v>
      </c>
      <c r="J30">
        <v>412277</v>
      </c>
      <c r="K30">
        <v>275986</v>
      </c>
      <c r="L30">
        <v>302682</v>
      </c>
    </row>
    <row r="31" spans="1:12" x14ac:dyDescent="0.35">
      <c r="A31">
        <v>2025</v>
      </c>
      <c r="B31">
        <v>2</v>
      </c>
      <c r="C31" t="s">
        <v>63</v>
      </c>
      <c r="D31" t="s">
        <v>246</v>
      </c>
      <c r="E31" t="s">
        <v>247</v>
      </c>
      <c r="F31">
        <v>111</v>
      </c>
      <c r="G31">
        <v>249893</v>
      </c>
      <c r="H31">
        <v>249927</v>
      </c>
      <c r="I31">
        <v>208868</v>
      </c>
      <c r="J31">
        <v>292009</v>
      </c>
      <c r="K31">
        <v>233634</v>
      </c>
      <c r="L31">
        <v>262009</v>
      </c>
    </row>
    <row r="32" spans="1:12" x14ac:dyDescent="0.35">
      <c r="A32">
        <v>2025</v>
      </c>
      <c r="B32">
        <v>2</v>
      </c>
      <c r="C32" t="s">
        <v>63</v>
      </c>
      <c r="D32" t="s">
        <v>248</v>
      </c>
      <c r="E32" t="s">
        <v>249</v>
      </c>
      <c r="F32">
        <v>138</v>
      </c>
      <c r="G32">
        <v>289313</v>
      </c>
      <c r="H32">
        <v>285752</v>
      </c>
      <c r="I32">
        <v>262564</v>
      </c>
      <c r="J32">
        <v>399719</v>
      </c>
      <c r="K32">
        <v>275986</v>
      </c>
      <c r="L32">
        <v>298486</v>
      </c>
    </row>
    <row r="33" spans="1:12" x14ac:dyDescent="0.35">
      <c r="A33">
        <v>2025</v>
      </c>
      <c r="B33">
        <v>3</v>
      </c>
      <c r="C33" t="s">
        <v>66</v>
      </c>
      <c r="D33" t="s">
        <v>246</v>
      </c>
      <c r="E33" t="s">
        <v>247</v>
      </c>
      <c r="F33">
        <v>112</v>
      </c>
      <c r="G33">
        <v>249476</v>
      </c>
      <c r="H33">
        <v>246134</v>
      </c>
      <c r="I33">
        <v>208868</v>
      </c>
      <c r="J33">
        <v>292009</v>
      </c>
      <c r="K33">
        <v>231922</v>
      </c>
      <c r="L33">
        <v>261825</v>
      </c>
    </row>
    <row r="34" spans="1:12" x14ac:dyDescent="0.35">
      <c r="A34">
        <v>2025</v>
      </c>
      <c r="B34">
        <v>3</v>
      </c>
      <c r="C34" t="s">
        <v>66</v>
      </c>
      <c r="D34" t="s">
        <v>248</v>
      </c>
      <c r="E34" t="s">
        <v>249</v>
      </c>
      <c r="F34">
        <v>159</v>
      </c>
      <c r="G34">
        <v>286542</v>
      </c>
      <c r="H34">
        <v>283486</v>
      </c>
      <c r="I34">
        <v>262564</v>
      </c>
      <c r="J34">
        <v>399719</v>
      </c>
      <c r="K34">
        <v>270986</v>
      </c>
      <c r="L34">
        <v>298486</v>
      </c>
    </row>
    <row r="35" spans="1:12" x14ac:dyDescent="0.35">
      <c r="A35">
        <v>2025</v>
      </c>
      <c r="B35">
        <v>4</v>
      </c>
      <c r="C35" t="s">
        <v>67</v>
      </c>
      <c r="D35" t="s">
        <v>246</v>
      </c>
      <c r="E35" t="s">
        <v>247</v>
      </c>
      <c r="F35">
        <v>111</v>
      </c>
      <c r="G35">
        <v>249893</v>
      </c>
      <c r="H35">
        <v>249927</v>
      </c>
      <c r="I35">
        <v>208868</v>
      </c>
      <c r="J35">
        <v>292009</v>
      </c>
      <c r="K35">
        <v>233634</v>
      </c>
      <c r="L35">
        <v>262009</v>
      </c>
    </row>
    <row r="36" spans="1:12" x14ac:dyDescent="0.35">
      <c r="A36">
        <v>2025</v>
      </c>
      <c r="B36">
        <v>4</v>
      </c>
      <c r="C36" t="s">
        <v>67</v>
      </c>
      <c r="D36" t="s">
        <v>248</v>
      </c>
      <c r="E36" t="s">
        <v>249</v>
      </c>
      <c r="F36">
        <v>138</v>
      </c>
      <c r="G36">
        <v>289313</v>
      </c>
      <c r="H36">
        <v>285752</v>
      </c>
      <c r="I36">
        <v>262564</v>
      </c>
      <c r="J36">
        <v>399719</v>
      </c>
      <c r="K36">
        <v>275986</v>
      </c>
      <c r="L36">
        <v>298486</v>
      </c>
    </row>
    <row r="37" spans="1:12" x14ac:dyDescent="0.35">
      <c r="A37">
        <v>2025</v>
      </c>
      <c r="B37">
        <v>5</v>
      </c>
      <c r="C37" t="s">
        <v>68</v>
      </c>
      <c r="D37" t="s">
        <v>246</v>
      </c>
      <c r="E37" t="s">
        <v>247</v>
      </c>
      <c r="F37">
        <v>112</v>
      </c>
      <c r="G37">
        <v>249610</v>
      </c>
      <c r="H37">
        <v>246134</v>
      </c>
      <c r="I37">
        <v>208868</v>
      </c>
      <c r="J37">
        <v>292009</v>
      </c>
      <c r="K37">
        <v>231922</v>
      </c>
      <c r="L37">
        <v>261825</v>
      </c>
    </row>
    <row r="38" spans="1:12" x14ac:dyDescent="0.35">
      <c r="A38">
        <v>2025</v>
      </c>
      <c r="B38">
        <v>5</v>
      </c>
      <c r="C38" t="s">
        <v>68</v>
      </c>
      <c r="D38" t="s">
        <v>248</v>
      </c>
      <c r="E38" t="s">
        <v>249</v>
      </c>
      <c r="F38">
        <v>179</v>
      </c>
      <c r="G38">
        <v>286253</v>
      </c>
      <c r="H38">
        <v>283486</v>
      </c>
      <c r="I38">
        <v>231690</v>
      </c>
      <c r="J38">
        <v>399719</v>
      </c>
      <c r="K38">
        <v>270986</v>
      </c>
      <c r="L38">
        <v>298486</v>
      </c>
    </row>
    <row r="39" spans="1:12" x14ac:dyDescent="0.35">
      <c r="A39">
        <v>2025</v>
      </c>
      <c r="B39">
        <v>6</v>
      </c>
      <c r="C39" t="s">
        <v>69</v>
      </c>
      <c r="D39" t="s">
        <v>246</v>
      </c>
      <c r="E39" t="s">
        <v>247</v>
      </c>
      <c r="F39">
        <v>112</v>
      </c>
      <c r="G39">
        <v>250266</v>
      </c>
      <c r="H39">
        <v>249927</v>
      </c>
      <c r="I39">
        <v>208868</v>
      </c>
      <c r="J39">
        <v>292009</v>
      </c>
      <c r="K39">
        <v>237846</v>
      </c>
      <c r="L39">
        <v>261825</v>
      </c>
    </row>
    <row r="40" spans="1:12" x14ac:dyDescent="0.35">
      <c r="A40">
        <v>2025</v>
      </c>
      <c r="B40">
        <v>6</v>
      </c>
      <c r="C40" t="s">
        <v>69</v>
      </c>
      <c r="D40" t="s">
        <v>248</v>
      </c>
      <c r="E40" t="s">
        <v>249</v>
      </c>
      <c r="F40">
        <v>181</v>
      </c>
      <c r="G40">
        <v>286769</v>
      </c>
      <c r="H40">
        <v>283486</v>
      </c>
      <c r="I40">
        <v>231690</v>
      </c>
      <c r="J40">
        <v>399719</v>
      </c>
      <c r="K40">
        <v>270986</v>
      </c>
      <c r="L40">
        <v>298486</v>
      </c>
    </row>
    <row r="41" spans="1:12" x14ac:dyDescent="0.35">
      <c r="A41">
        <v>2025</v>
      </c>
      <c r="B41">
        <v>7</v>
      </c>
      <c r="C41" t="s">
        <v>70</v>
      </c>
      <c r="D41" t="s">
        <v>246</v>
      </c>
      <c r="E41" t="s">
        <v>247</v>
      </c>
      <c r="F41">
        <v>113</v>
      </c>
      <c r="G41">
        <v>249911</v>
      </c>
      <c r="H41">
        <v>249140</v>
      </c>
      <c r="I41">
        <v>208868</v>
      </c>
      <c r="J41">
        <v>292009</v>
      </c>
      <c r="K41">
        <v>237846</v>
      </c>
      <c r="L41">
        <v>261825</v>
      </c>
    </row>
    <row r="42" spans="1:12" x14ac:dyDescent="0.35">
      <c r="A42">
        <v>2025</v>
      </c>
      <c r="B42">
        <v>7</v>
      </c>
      <c r="C42" t="s">
        <v>70</v>
      </c>
      <c r="D42" t="s">
        <v>248</v>
      </c>
      <c r="E42" t="s">
        <v>249</v>
      </c>
      <c r="F42">
        <v>182</v>
      </c>
      <c r="G42">
        <v>287353</v>
      </c>
      <c r="H42">
        <v>283486</v>
      </c>
      <c r="I42">
        <v>231690</v>
      </c>
      <c r="J42">
        <v>399719</v>
      </c>
      <c r="K42">
        <v>272564</v>
      </c>
      <c r="L42">
        <v>298486</v>
      </c>
    </row>
    <row r="43" spans="1:12" x14ac:dyDescent="0.35">
      <c r="A43">
        <v>2025</v>
      </c>
      <c r="B43">
        <v>8</v>
      </c>
      <c r="C43" t="s">
        <v>71</v>
      </c>
      <c r="D43" t="s">
        <v>246</v>
      </c>
      <c r="E43" t="s">
        <v>247</v>
      </c>
      <c r="F43">
        <v>113</v>
      </c>
      <c r="G43">
        <v>249965</v>
      </c>
      <c r="H43">
        <v>249140</v>
      </c>
      <c r="I43">
        <v>208868</v>
      </c>
      <c r="J43">
        <v>292009</v>
      </c>
      <c r="K43">
        <v>237846</v>
      </c>
      <c r="L43">
        <v>262009</v>
      </c>
    </row>
    <row r="44" spans="1:12" x14ac:dyDescent="0.35">
      <c r="A44">
        <v>2025</v>
      </c>
      <c r="B44">
        <v>8</v>
      </c>
      <c r="C44" t="s">
        <v>71</v>
      </c>
      <c r="D44" t="s">
        <v>248</v>
      </c>
      <c r="E44" t="s">
        <v>249</v>
      </c>
      <c r="F44">
        <v>187</v>
      </c>
      <c r="G44">
        <v>287329</v>
      </c>
      <c r="H44">
        <v>285064</v>
      </c>
      <c r="I44">
        <v>231690</v>
      </c>
      <c r="J44">
        <v>399719</v>
      </c>
      <c r="K44">
        <v>275064</v>
      </c>
      <c r="L44">
        <v>298486</v>
      </c>
    </row>
    <row r="45" spans="1:12" x14ac:dyDescent="0.35">
      <c r="A45">
        <v>2025</v>
      </c>
      <c r="B45">
        <v>9</v>
      </c>
      <c r="C45" t="s">
        <v>72</v>
      </c>
      <c r="D45" t="s">
        <v>246</v>
      </c>
      <c r="E45" t="s">
        <v>247</v>
      </c>
      <c r="F45">
        <v>100</v>
      </c>
      <c r="G45">
        <v>247993</v>
      </c>
      <c r="H45">
        <v>245346</v>
      </c>
      <c r="I45">
        <v>208868</v>
      </c>
      <c r="J45">
        <v>292009</v>
      </c>
      <c r="K45">
        <v>233634</v>
      </c>
      <c r="L45">
        <v>257427</v>
      </c>
    </row>
    <row r="46" spans="1:12" x14ac:dyDescent="0.35">
      <c r="A46">
        <v>2025</v>
      </c>
      <c r="B46">
        <v>9</v>
      </c>
      <c r="C46" t="s">
        <v>72</v>
      </c>
      <c r="D46" t="s">
        <v>248</v>
      </c>
      <c r="E46" t="s">
        <v>249</v>
      </c>
      <c r="F46">
        <v>186</v>
      </c>
      <c r="G46">
        <v>287207</v>
      </c>
      <c r="H46">
        <v>283486</v>
      </c>
      <c r="I46">
        <v>231690</v>
      </c>
      <c r="J46">
        <v>399719</v>
      </c>
      <c r="K46">
        <v>275064</v>
      </c>
      <c r="L46">
        <v>298486</v>
      </c>
    </row>
    <row r="47" spans="1:12" x14ac:dyDescent="0.35">
      <c r="A47">
        <v>2025</v>
      </c>
      <c r="B47">
        <v>10</v>
      </c>
      <c r="C47" t="s">
        <v>73</v>
      </c>
      <c r="D47" t="s">
        <v>246</v>
      </c>
      <c r="E47" t="s">
        <v>247</v>
      </c>
      <c r="F47">
        <v>100</v>
      </c>
      <c r="G47">
        <v>248080</v>
      </c>
      <c r="H47">
        <v>245740</v>
      </c>
      <c r="I47">
        <v>208868</v>
      </c>
      <c r="J47">
        <v>292009</v>
      </c>
      <c r="K47">
        <v>233634</v>
      </c>
      <c r="L47">
        <v>257427</v>
      </c>
    </row>
    <row r="48" spans="1:12" x14ac:dyDescent="0.35">
      <c r="A48">
        <v>2025</v>
      </c>
      <c r="B48">
        <v>10</v>
      </c>
      <c r="C48" t="s">
        <v>73</v>
      </c>
      <c r="D48" t="s">
        <v>248</v>
      </c>
      <c r="E48" t="s">
        <v>249</v>
      </c>
      <c r="F48">
        <v>185</v>
      </c>
      <c r="G48">
        <v>288295</v>
      </c>
      <c r="H48">
        <v>285064</v>
      </c>
      <c r="I48">
        <v>231690</v>
      </c>
      <c r="J48">
        <v>399719</v>
      </c>
      <c r="K48">
        <v>275986</v>
      </c>
      <c r="L48">
        <v>298486</v>
      </c>
    </row>
    <row r="49" spans="1:12" x14ac:dyDescent="0.35">
      <c r="A49">
        <v>2025</v>
      </c>
      <c r="B49">
        <v>11</v>
      </c>
      <c r="C49" t="s">
        <v>74</v>
      </c>
      <c r="D49" t="s">
        <v>246</v>
      </c>
      <c r="E49" t="s">
        <v>247</v>
      </c>
      <c r="F49">
        <v>100</v>
      </c>
      <c r="G49">
        <v>248072</v>
      </c>
      <c r="H49">
        <v>245740</v>
      </c>
      <c r="I49">
        <v>208868</v>
      </c>
      <c r="J49">
        <v>292009</v>
      </c>
      <c r="K49">
        <v>235346</v>
      </c>
      <c r="L49">
        <v>257427</v>
      </c>
    </row>
    <row r="50" spans="1:12" x14ac:dyDescent="0.35">
      <c r="A50">
        <v>2025</v>
      </c>
      <c r="B50">
        <v>11</v>
      </c>
      <c r="C50" t="s">
        <v>74</v>
      </c>
      <c r="D50" t="s">
        <v>248</v>
      </c>
      <c r="E50" t="s">
        <v>249</v>
      </c>
      <c r="F50">
        <v>185</v>
      </c>
      <c r="G50">
        <v>288645</v>
      </c>
      <c r="H50">
        <v>285752</v>
      </c>
      <c r="I50">
        <v>231690</v>
      </c>
      <c r="J50">
        <v>399719</v>
      </c>
      <c r="K50">
        <v>275986</v>
      </c>
      <c r="L50">
        <v>298486</v>
      </c>
    </row>
    <row r="51" spans="1:12" x14ac:dyDescent="0.35">
      <c r="A51">
        <v>2025</v>
      </c>
      <c r="B51">
        <v>12</v>
      </c>
      <c r="C51" t="s">
        <v>75</v>
      </c>
      <c r="D51" t="s">
        <v>246</v>
      </c>
      <c r="E51" t="s">
        <v>247</v>
      </c>
      <c r="F51">
        <v>98</v>
      </c>
      <c r="G51">
        <v>247964</v>
      </c>
      <c r="H51">
        <v>246134</v>
      </c>
      <c r="I51">
        <v>208868</v>
      </c>
      <c r="J51">
        <v>292009</v>
      </c>
      <c r="K51">
        <v>237846</v>
      </c>
      <c r="L51">
        <v>257427</v>
      </c>
    </row>
    <row r="52" spans="1:12" x14ac:dyDescent="0.35">
      <c r="A52">
        <v>2025</v>
      </c>
      <c r="B52">
        <v>12</v>
      </c>
      <c r="C52" t="s">
        <v>75</v>
      </c>
      <c r="D52" t="s">
        <v>248</v>
      </c>
      <c r="E52" t="s">
        <v>249</v>
      </c>
      <c r="F52">
        <v>187</v>
      </c>
      <c r="G52">
        <v>288691</v>
      </c>
      <c r="H52">
        <v>285752</v>
      </c>
      <c r="I52">
        <v>231690</v>
      </c>
      <c r="J52">
        <v>399719</v>
      </c>
      <c r="K52">
        <v>275986</v>
      </c>
      <c r="L52">
        <v>298486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40" customWidth="1"/>
    <col min="3" max="8" width="15" customWidth="1"/>
  </cols>
  <sheetData>
    <row r="1" spans="1:12" ht="28" customHeight="1" x14ac:dyDescent="0.35">
      <c r="A1" s="6" t="s">
        <v>250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251</v>
      </c>
      <c r="E5" t="s">
        <v>252</v>
      </c>
      <c r="F5">
        <v>1112</v>
      </c>
      <c r="G5">
        <v>259356</v>
      </c>
      <c r="H5">
        <v>260716</v>
      </c>
      <c r="I5">
        <v>201418</v>
      </c>
      <c r="J5">
        <v>290297</v>
      </c>
      <c r="K5">
        <v>245716</v>
      </c>
      <c r="L5">
        <v>274509</v>
      </c>
    </row>
    <row r="6" spans="1:12" x14ac:dyDescent="0.35">
      <c r="A6">
        <v>2024</v>
      </c>
      <c r="B6">
        <v>2</v>
      </c>
      <c r="C6" t="s">
        <v>63</v>
      </c>
      <c r="D6" t="s">
        <v>251</v>
      </c>
      <c r="E6" t="s">
        <v>252</v>
      </c>
      <c r="F6">
        <v>1095</v>
      </c>
      <c r="G6">
        <v>259796</v>
      </c>
      <c r="H6">
        <v>261824</v>
      </c>
      <c r="I6">
        <v>201418</v>
      </c>
      <c r="J6">
        <v>290063</v>
      </c>
      <c r="K6">
        <v>247661</v>
      </c>
      <c r="L6">
        <v>274509</v>
      </c>
    </row>
    <row r="7" spans="1:12" x14ac:dyDescent="0.35">
      <c r="A7">
        <v>2024</v>
      </c>
      <c r="B7">
        <v>3</v>
      </c>
      <c r="C7" t="s">
        <v>66</v>
      </c>
      <c r="D7" t="s">
        <v>251</v>
      </c>
      <c r="E7" t="s">
        <v>252</v>
      </c>
      <c r="F7">
        <v>1100</v>
      </c>
      <c r="G7">
        <v>259753</v>
      </c>
      <c r="H7">
        <v>261824</v>
      </c>
      <c r="I7">
        <v>201418</v>
      </c>
      <c r="J7">
        <v>290297</v>
      </c>
      <c r="K7">
        <v>247661</v>
      </c>
      <c r="L7">
        <v>275297</v>
      </c>
    </row>
    <row r="8" spans="1:12" x14ac:dyDescent="0.35">
      <c r="A8">
        <v>2024</v>
      </c>
      <c r="B8">
        <v>4</v>
      </c>
      <c r="C8" t="s">
        <v>67</v>
      </c>
      <c r="D8" t="s">
        <v>251</v>
      </c>
      <c r="E8" t="s">
        <v>252</v>
      </c>
      <c r="F8">
        <v>1093</v>
      </c>
      <c r="G8">
        <v>259661</v>
      </c>
      <c r="H8">
        <v>261824</v>
      </c>
      <c r="I8">
        <v>201418</v>
      </c>
      <c r="J8">
        <v>290297</v>
      </c>
      <c r="K8">
        <v>245716</v>
      </c>
      <c r="L8">
        <v>275297</v>
      </c>
    </row>
    <row r="9" spans="1:12" x14ac:dyDescent="0.35">
      <c r="A9">
        <v>2024</v>
      </c>
      <c r="B9">
        <v>5</v>
      </c>
      <c r="C9" t="s">
        <v>68</v>
      </c>
      <c r="D9" t="s">
        <v>251</v>
      </c>
      <c r="E9" t="s">
        <v>252</v>
      </c>
      <c r="F9">
        <v>1076</v>
      </c>
      <c r="G9">
        <v>259532</v>
      </c>
      <c r="H9">
        <v>261824</v>
      </c>
      <c r="I9">
        <v>201418</v>
      </c>
      <c r="J9">
        <v>290297</v>
      </c>
      <c r="K9">
        <v>245716</v>
      </c>
      <c r="L9">
        <v>275297</v>
      </c>
    </row>
    <row r="10" spans="1:12" x14ac:dyDescent="0.35">
      <c r="A10">
        <v>2024</v>
      </c>
      <c r="B10">
        <v>6</v>
      </c>
      <c r="C10" t="s">
        <v>69</v>
      </c>
      <c r="D10" t="s">
        <v>251</v>
      </c>
      <c r="E10" t="s">
        <v>252</v>
      </c>
      <c r="F10">
        <v>1072</v>
      </c>
      <c r="G10">
        <v>259471</v>
      </c>
      <c r="H10">
        <v>261824</v>
      </c>
      <c r="I10">
        <v>201418</v>
      </c>
      <c r="J10">
        <v>290297</v>
      </c>
      <c r="K10">
        <v>245716</v>
      </c>
      <c r="L10">
        <v>274324</v>
      </c>
    </row>
    <row r="11" spans="1:12" x14ac:dyDescent="0.35">
      <c r="A11">
        <v>2024</v>
      </c>
      <c r="B11">
        <v>7</v>
      </c>
      <c r="C11" t="s">
        <v>70</v>
      </c>
      <c r="D11" t="s">
        <v>251</v>
      </c>
      <c r="E11" t="s">
        <v>252</v>
      </c>
      <c r="F11">
        <v>1092</v>
      </c>
      <c r="G11">
        <v>259810</v>
      </c>
      <c r="H11">
        <v>261824</v>
      </c>
      <c r="I11">
        <v>201418</v>
      </c>
      <c r="J11">
        <v>290297</v>
      </c>
      <c r="K11">
        <v>247661</v>
      </c>
      <c r="L11">
        <v>274509</v>
      </c>
    </row>
    <row r="12" spans="1:12" x14ac:dyDescent="0.35">
      <c r="A12">
        <v>2024</v>
      </c>
      <c r="B12">
        <v>8</v>
      </c>
      <c r="C12" t="s">
        <v>71</v>
      </c>
      <c r="D12" t="s">
        <v>251</v>
      </c>
      <c r="E12" t="s">
        <v>252</v>
      </c>
      <c r="F12">
        <v>1076</v>
      </c>
      <c r="G12">
        <v>259543</v>
      </c>
      <c r="H12">
        <v>261824</v>
      </c>
      <c r="I12">
        <v>201418</v>
      </c>
      <c r="J12">
        <v>290297</v>
      </c>
      <c r="K12">
        <v>245716</v>
      </c>
      <c r="L12">
        <v>274324</v>
      </c>
    </row>
    <row r="13" spans="1:12" x14ac:dyDescent="0.35">
      <c r="A13">
        <v>2024</v>
      </c>
      <c r="B13">
        <v>9</v>
      </c>
      <c r="C13" t="s">
        <v>72</v>
      </c>
      <c r="D13" t="s">
        <v>251</v>
      </c>
      <c r="E13" t="s">
        <v>252</v>
      </c>
      <c r="F13">
        <v>1091</v>
      </c>
      <c r="G13">
        <v>260092</v>
      </c>
      <c r="H13">
        <v>261824</v>
      </c>
      <c r="I13">
        <v>201418</v>
      </c>
      <c r="J13">
        <v>290297</v>
      </c>
      <c r="K13">
        <v>247661</v>
      </c>
      <c r="L13">
        <v>275161</v>
      </c>
    </row>
    <row r="14" spans="1:12" x14ac:dyDescent="0.35">
      <c r="A14">
        <v>2024</v>
      </c>
      <c r="B14">
        <v>10</v>
      </c>
      <c r="C14" t="s">
        <v>73</v>
      </c>
      <c r="D14" t="s">
        <v>251</v>
      </c>
      <c r="E14" t="s">
        <v>252</v>
      </c>
      <c r="F14">
        <v>1089</v>
      </c>
      <c r="G14">
        <v>260379</v>
      </c>
      <c r="H14">
        <v>261825</v>
      </c>
      <c r="I14">
        <v>201418</v>
      </c>
      <c r="J14">
        <v>290297</v>
      </c>
      <c r="K14">
        <v>248031</v>
      </c>
      <c r="L14">
        <v>275297</v>
      </c>
    </row>
    <row r="15" spans="1:12" x14ac:dyDescent="0.35">
      <c r="A15">
        <v>2024</v>
      </c>
      <c r="B15">
        <v>11</v>
      </c>
      <c r="C15" t="s">
        <v>74</v>
      </c>
      <c r="D15" t="s">
        <v>251</v>
      </c>
      <c r="E15" t="s">
        <v>252</v>
      </c>
      <c r="F15">
        <v>1089</v>
      </c>
      <c r="G15">
        <v>260397</v>
      </c>
      <c r="H15">
        <v>262009</v>
      </c>
      <c r="I15">
        <v>201418</v>
      </c>
      <c r="J15">
        <v>290297</v>
      </c>
      <c r="K15">
        <v>247797</v>
      </c>
      <c r="L15">
        <v>275297</v>
      </c>
    </row>
    <row r="16" spans="1:12" x14ac:dyDescent="0.35">
      <c r="A16">
        <v>2024</v>
      </c>
      <c r="B16">
        <v>12</v>
      </c>
      <c r="C16" t="s">
        <v>75</v>
      </c>
      <c r="D16" t="s">
        <v>251</v>
      </c>
      <c r="E16" t="s">
        <v>252</v>
      </c>
      <c r="F16">
        <v>1088</v>
      </c>
      <c r="G16">
        <v>260370</v>
      </c>
      <c r="H16">
        <v>262286</v>
      </c>
      <c r="I16">
        <v>201418</v>
      </c>
      <c r="J16">
        <v>290297</v>
      </c>
      <c r="K16">
        <v>247797</v>
      </c>
      <c r="L16">
        <v>275297</v>
      </c>
    </row>
    <row r="17" spans="1:12" x14ac:dyDescent="0.35">
      <c r="A17">
        <v>2025</v>
      </c>
      <c r="B17">
        <v>1</v>
      </c>
      <c r="C17" t="s">
        <v>42</v>
      </c>
      <c r="D17" t="s">
        <v>251</v>
      </c>
      <c r="E17" t="s">
        <v>252</v>
      </c>
      <c r="F17">
        <v>1034</v>
      </c>
      <c r="G17">
        <v>262539</v>
      </c>
      <c r="H17">
        <v>264174</v>
      </c>
      <c r="I17">
        <v>201418</v>
      </c>
      <c r="J17">
        <v>290297</v>
      </c>
      <c r="K17">
        <v>251071</v>
      </c>
      <c r="L17">
        <v>276241</v>
      </c>
    </row>
    <row r="18" spans="1:12" x14ac:dyDescent="0.35">
      <c r="A18">
        <v>2025</v>
      </c>
      <c r="B18">
        <v>2</v>
      </c>
      <c r="C18" t="s">
        <v>63</v>
      </c>
      <c r="D18" t="s">
        <v>251</v>
      </c>
      <c r="E18" t="s">
        <v>252</v>
      </c>
      <c r="F18">
        <v>1008</v>
      </c>
      <c r="G18">
        <v>263682</v>
      </c>
      <c r="H18">
        <v>265297</v>
      </c>
      <c r="I18">
        <v>201418</v>
      </c>
      <c r="J18">
        <v>290297</v>
      </c>
      <c r="K18">
        <v>252797</v>
      </c>
      <c r="L18">
        <v>277009</v>
      </c>
    </row>
    <row r="19" spans="1:12" x14ac:dyDescent="0.35">
      <c r="A19">
        <v>2025</v>
      </c>
      <c r="B19">
        <v>3</v>
      </c>
      <c r="C19" t="s">
        <v>66</v>
      </c>
      <c r="D19" t="s">
        <v>251</v>
      </c>
      <c r="E19" t="s">
        <v>252</v>
      </c>
      <c r="F19">
        <v>1011</v>
      </c>
      <c r="G19">
        <v>263269</v>
      </c>
      <c r="H19">
        <v>264509</v>
      </c>
      <c r="I19">
        <v>201418</v>
      </c>
      <c r="J19">
        <v>290297</v>
      </c>
      <c r="K19">
        <v>252661</v>
      </c>
      <c r="L19">
        <v>277009</v>
      </c>
    </row>
    <row r="20" spans="1:12" x14ac:dyDescent="0.35">
      <c r="A20">
        <v>2025</v>
      </c>
      <c r="B20">
        <v>4</v>
      </c>
      <c r="C20" t="s">
        <v>67</v>
      </c>
      <c r="D20" t="s">
        <v>251</v>
      </c>
      <c r="E20" t="s">
        <v>252</v>
      </c>
      <c r="F20">
        <v>1003</v>
      </c>
      <c r="G20">
        <v>263669</v>
      </c>
      <c r="H20">
        <v>265297</v>
      </c>
      <c r="I20">
        <v>201418</v>
      </c>
      <c r="J20">
        <v>290297</v>
      </c>
      <c r="K20">
        <v>252797</v>
      </c>
      <c r="L20">
        <v>277009</v>
      </c>
    </row>
    <row r="21" spans="1:12" x14ac:dyDescent="0.35">
      <c r="A21">
        <v>2025</v>
      </c>
      <c r="B21">
        <v>5</v>
      </c>
      <c r="C21" t="s">
        <v>68</v>
      </c>
      <c r="D21" t="s">
        <v>251</v>
      </c>
      <c r="E21" t="s">
        <v>252</v>
      </c>
      <c r="F21">
        <v>1010</v>
      </c>
      <c r="G21">
        <v>263223</v>
      </c>
      <c r="H21">
        <v>264509</v>
      </c>
      <c r="I21">
        <v>201418</v>
      </c>
      <c r="J21">
        <v>290297</v>
      </c>
      <c r="K21">
        <v>252661</v>
      </c>
      <c r="L21">
        <v>276824</v>
      </c>
    </row>
    <row r="22" spans="1:12" x14ac:dyDescent="0.35">
      <c r="A22">
        <v>2025</v>
      </c>
      <c r="B22">
        <v>6</v>
      </c>
      <c r="C22" t="s">
        <v>69</v>
      </c>
      <c r="D22" t="s">
        <v>251</v>
      </c>
      <c r="E22" t="s">
        <v>252</v>
      </c>
      <c r="F22">
        <v>2936</v>
      </c>
      <c r="G22">
        <v>248311</v>
      </c>
      <c r="H22">
        <v>247661</v>
      </c>
      <c r="I22">
        <v>201418</v>
      </c>
      <c r="J22">
        <v>290297</v>
      </c>
      <c r="K22">
        <v>230395</v>
      </c>
      <c r="L22">
        <v>265161</v>
      </c>
    </row>
    <row r="23" spans="1:12" x14ac:dyDescent="0.35">
      <c r="A23">
        <v>2025</v>
      </c>
      <c r="B23">
        <v>7</v>
      </c>
      <c r="C23" t="s">
        <v>70</v>
      </c>
      <c r="D23" t="s">
        <v>251</v>
      </c>
      <c r="E23" t="s">
        <v>252</v>
      </c>
      <c r="F23">
        <v>2924</v>
      </c>
      <c r="G23">
        <v>248443</v>
      </c>
      <c r="H23">
        <v>247661</v>
      </c>
      <c r="I23">
        <v>201418</v>
      </c>
      <c r="J23">
        <v>290297</v>
      </c>
      <c r="K23">
        <v>230395</v>
      </c>
      <c r="L23">
        <v>265163</v>
      </c>
    </row>
    <row r="24" spans="1:12" x14ac:dyDescent="0.35">
      <c r="A24">
        <v>2025</v>
      </c>
      <c r="B24">
        <v>8</v>
      </c>
      <c r="C24" t="s">
        <v>71</v>
      </c>
      <c r="D24" t="s">
        <v>251</v>
      </c>
      <c r="E24" t="s">
        <v>252</v>
      </c>
      <c r="F24">
        <v>2919</v>
      </c>
      <c r="G24">
        <v>248917</v>
      </c>
      <c r="H24">
        <v>248031</v>
      </c>
      <c r="I24">
        <v>201418</v>
      </c>
      <c r="J24">
        <v>290297</v>
      </c>
      <c r="K24">
        <v>230395</v>
      </c>
      <c r="L24">
        <v>265531</v>
      </c>
    </row>
    <row r="25" spans="1:12" x14ac:dyDescent="0.35">
      <c r="A25">
        <v>2025</v>
      </c>
      <c r="B25">
        <v>9</v>
      </c>
      <c r="C25" t="s">
        <v>72</v>
      </c>
      <c r="D25" t="s">
        <v>251</v>
      </c>
      <c r="E25" t="s">
        <v>252</v>
      </c>
      <c r="F25">
        <v>2920</v>
      </c>
      <c r="G25">
        <v>248824</v>
      </c>
      <c r="H25">
        <v>248031</v>
      </c>
      <c r="I25">
        <v>201418</v>
      </c>
      <c r="J25">
        <v>290297</v>
      </c>
      <c r="K25">
        <v>230395</v>
      </c>
      <c r="L25">
        <v>265531</v>
      </c>
    </row>
    <row r="26" spans="1:12" x14ac:dyDescent="0.35">
      <c r="A26">
        <v>2025</v>
      </c>
      <c r="B26">
        <v>10</v>
      </c>
      <c r="C26" t="s">
        <v>73</v>
      </c>
      <c r="D26" t="s">
        <v>251</v>
      </c>
      <c r="E26" t="s">
        <v>252</v>
      </c>
      <c r="F26">
        <v>2900</v>
      </c>
      <c r="G26">
        <v>248806</v>
      </c>
      <c r="H26">
        <v>248031</v>
      </c>
      <c r="I26">
        <v>201418</v>
      </c>
      <c r="J26">
        <v>290297</v>
      </c>
      <c r="K26">
        <v>230395</v>
      </c>
      <c r="L26">
        <v>265297</v>
      </c>
    </row>
    <row r="27" spans="1:12" x14ac:dyDescent="0.35">
      <c r="A27">
        <v>2025</v>
      </c>
      <c r="B27">
        <v>11</v>
      </c>
      <c r="C27" t="s">
        <v>74</v>
      </c>
      <c r="D27" t="s">
        <v>251</v>
      </c>
      <c r="E27" t="s">
        <v>252</v>
      </c>
      <c r="F27">
        <v>2875</v>
      </c>
      <c r="G27">
        <v>248785</v>
      </c>
      <c r="H27">
        <v>247797</v>
      </c>
      <c r="I27">
        <v>191418</v>
      </c>
      <c r="J27">
        <v>290297</v>
      </c>
      <c r="K27">
        <v>230395</v>
      </c>
      <c r="L27">
        <v>265297</v>
      </c>
    </row>
    <row r="28" spans="1:12" x14ac:dyDescent="0.35">
      <c r="A28">
        <v>2025</v>
      </c>
      <c r="B28">
        <v>12</v>
      </c>
      <c r="C28" t="s">
        <v>75</v>
      </c>
      <c r="D28" t="s">
        <v>251</v>
      </c>
      <c r="E28" t="s">
        <v>252</v>
      </c>
      <c r="F28">
        <v>2858</v>
      </c>
      <c r="G28">
        <v>248942</v>
      </c>
      <c r="H28">
        <v>248031</v>
      </c>
      <c r="I28">
        <v>191418</v>
      </c>
      <c r="J28">
        <v>290297</v>
      </c>
      <c r="K28">
        <v>230395</v>
      </c>
      <c r="L28">
        <v>265531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253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255</v>
      </c>
      <c r="E5">
        <v>39166</v>
      </c>
      <c r="F5">
        <v>481451</v>
      </c>
      <c r="G5">
        <v>456838</v>
      </c>
      <c r="H5">
        <v>297834</v>
      </c>
      <c r="I5">
        <v>796187</v>
      </c>
      <c r="J5">
        <v>413883</v>
      </c>
      <c r="K5">
        <v>555015</v>
      </c>
    </row>
    <row r="6" spans="1:11" x14ac:dyDescent="0.35">
      <c r="A6">
        <v>2024</v>
      </c>
      <c r="B6">
        <v>2</v>
      </c>
      <c r="C6" t="s">
        <v>63</v>
      </c>
      <c r="D6" t="s">
        <v>255</v>
      </c>
      <c r="E6">
        <v>40121</v>
      </c>
      <c r="F6">
        <v>489845</v>
      </c>
      <c r="G6">
        <v>463632</v>
      </c>
      <c r="H6">
        <v>297836</v>
      </c>
      <c r="I6">
        <v>798031</v>
      </c>
      <c r="J6">
        <v>416936</v>
      </c>
      <c r="K6">
        <v>564967</v>
      </c>
    </row>
    <row r="7" spans="1:11" x14ac:dyDescent="0.35">
      <c r="A7">
        <v>2024</v>
      </c>
      <c r="B7">
        <v>3</v>
      </c>
      <c r="C7" t="s">
        <v>66</v>
      </c>
      <c r="D7" t="s">
        <v>255</v>
      </c>
      <c r="E7">
        <v>41029</v>
      </c>
      <c r="F7">
        <v>485310</v>
      </c>
      <c r="G7">
        <v>459338</v>
      </c>
      <c r="H7">
        <v>297836</v>
      </c>
      <c r="I7">
        <v>798106</v>
      </c>
      <c r="J7">
        <v>413883</v>
      </c>
      <c r="K7">
        <v>560570</v>
      </c>
    </row>
    <row r="8" spans="1:11" x14ac:dyDescent="0.35">
      <c r="A8">
        <v>2024</v>
      </c>
      <c r="B8">
        <v>4</v>
      </c>
      <c r="C8" t="s">
        <v>67</v>
      </c>
      <c r="D8" t="s">
        <v>255</v>
      </c>
      <c r="E8">
        <v>41545</v>
      </c>
      <c r="F8">
        <v>482362</v>
      </c>
      <c r="G8">
        <v>457995</v>
      </c>
      <c r="H8">
        <v>297834</v>
      </c>
      <c r="I8">
        <v>796187</v>
      </c>
      <c r="J8">
        <v>412822</v>
      </c>
      <c r="K8">
        <v>556222</v>
      </c>
    </row>
    <row r="9" spans="1:11" x14ac:dyDescent="0.35">
      <c r="A9">
        <v>2024</v>
      </c>
      <c r="B9">
        <v>5</v>
      </c>
      <c r="C9" t="s">
        <v>68</v>
      </c>
      <c r="D9" t="s">
        <v>255</v>
      </c>
      <c r="E9">
        <v>41940</v>
      </c>
      <c r="F9">
        <v>480086</v>
      </c>
      <c r="G9">
        <v>456838</v>
      </c>
      <c r="H9">
        <v>297836</v>
      </c>
      <c r="I9">
        <v>796187</v>
      </c>
      <c r="J9">
        <v>408883</v>
      </c>
      <c r="K9">
        <v>553304</v>
      </c>
    </row>
    <row r="10" spans="1:11" x14ac:dyDescent="0.35">
      <c r="A10">
        <v>2024</v>
      </c>
      <c r="B10">
        <v>6</v>
      </c>
      <c r="C10" t="s">
        <v>69</v>
      </c>
      <c r="D10" t="s">
        <v>255</v>
      </c>
      <c r="E10">
        <v>42099</v>
      </c>
      <c r="F10">
        <v>479310</v>
      </c>
      <c r="G10">
        <v>455544</v>
      </c>
      <c r="H10">
        <v>297836</v>
      </c>
      <c r="I10">
        <v>799008</v>
      </c>
      <c r="J10">
        <v>408883</v>
      </c>
      <c r="K10">
        <v>551347</v>
      </c>
    </row>
    <row r="11" spans="1:11" x14ac:dyDescent="0.35">
      <c r="A11">
        <v>2024</v>
      </c>
      <c r="B11">
        <v>7</v>
      </c>
      <c r="C11" t="s">
        <v>70</v>
      </c>
      <c r="D11" t="s">
        <v>255</v>
      </c>
      <c r="E11">
        <v>43463</v>
      </c>
      <c r="F11">
        <v>478416</v>
      </c>
      <c r="G11">
        <v>454338</v>
      </c>
      <c r="H11">
        <v>297836</v>
      </c>
      <c r="I11">
        <v>797766</v>
      </c>
      <c r="J11">
        <v>406383</v>
      </c>
      <c r="K11">
        <v>553722</v>
      </c>
    </row>
    <row r="12" spans="1:11" x14ac:dyDescent="0.35">
      <c r="A12">
        <v>2024</v>
      </c>
      <c r="B12">
        <v>8</v>
      </c>
      <c r="C12" t="s">
        <v>71</v>
      </c>
      <c r="D12" t="s">
        <v>255</v>
      </c>
      <c r="E12">
        <v>44060</v>
      </c>
      <c r="F12">
        <v>478974</v>
      </c>
      <c r="G12">
        <v>451838</v>
      </c>
      <c r="H12">
        <v>297836</v>
      </c>
      <c r="I12">
        <v>797766</v>
      </c>
      <c r="J12">
        <v>406383</v>
      </c>
      <c r="K12">
        <v>553722</v>
      </c>
    </row>
    <row r="13" spans="1:11" x14ac:dyDescent="0.35">
      <c r="A13">
        <v>2024</v>
      </c>
      <c r="B13">
        <v>9</v>
      </c>
      <c r="C13" t="s">
        <v>72</v>
      </c>
      <c r="D13" t="s">
        <v>255</v>
      </c>
      <c r="E13">
        <v>44346</v>
      </c>
      <c r="F13">
        <v>478220</v>
      </c>
      <c r="G13">
        <v>451838</v>
      </c>
      <c r="H13">
        <v>297834</v>
      </c>
      <c r="I13">
        <v>797766</v>
      </c>
      <c r="J13">
        <v>406383</v>
      </c>
      <c r="K13">
        <v>551222</v>
      </c>
    </row>
    <row r="14" spans="1:11" x14ac:dyDescent="0.35">
      <c r="A14">
        <v>2024</v>
      </c>
      <c r="B14">
        <v>10</v>
      </c>
      <c r="C14" t="s">
        <v>73</v>
      </c>
      <c r="D14" t="s">
        <v>255</v>
      </c>
      <c r="E14">
        <v>44791</v>
      </c>
      <c r="F14">
        <v>478111</v>
      </c>
      <c r="G14">
        <v>450495</v>
      </c>
      <c r="H14">
        <v>297836</v>
      </c>
      <c r="I14">
        <v>796187</v>
      </c>
      <c r="J14">
        <v>406383</v>
      </c>
      <c r="K14">
        <v>548722</v>
      </c>
    </row>
    <row r="15" spans="1:11" x14ac:dyDescent="0.35">
      <c r="A15">
        <v>2024</v>
      </c>
      <c r="B15">
        <v>11</v>
      </c>
      <c r="C15" t="s">
        <v>74</v>
      </c>
      <c r="D15" t="s">
        <v>255</v>
      </c>
      <c r="E15">
        <v>45224</v>
      </c>
      <c r="F15">
        <v>479122</v>
      </c>
      <c r="G15">
        <v>451838</v>
      </c>
      <c r="H15">
        <v>297836</v>
      </c>
      <c r="I15">
        <v>797766</v>
      </c>
      <c r="J15">
        <v>416333</v>
      </c>
      <c r="K15">
        <v>548722</v>
      </c>
    </row>
    <row r="16" spans="1:11" x14ac:dyDescent="0.35">
      <c r="A16">
        <v>2024</v>
      </c>
      <c r="B16">
        <v>12</v>
      </c>
      <c r="C16" t="s">
        <v>75</v>
      </c>
      <c r="D16" t="s">
        <v>255</v>
      </c>
      <c r="E16">
        <v>45207</v>
      </c>
      <c r="F16">
        <v>478447</v>
      </c>
      <c r="G16">
        <v>451838</v>
      </c>
      <c r="H16">
        <v>297836</v>
      </c>
      <c r="I16">
        <v>796187</v>
      </c>
      <c r="J16">
        <v>416333</v>
      </c>
      <c r="K16">
        <v>548403</v>
      </c>
    </row>
    <row r="17" spans="1:11" x14ac:dyDescent="0.35">
      <c r="A17">
        <v>2025</v>
      </c>
      <c r="B17">
        <v>1</v>
      </c>
      <c r="C17" t="s">
        <v>42</v>
      </c>
      <c r="D17" t="s">
        <v>255</v>
      </c>
      <c r="E17">
        <v>44258</v>
      </c>
      <c r="F17">
        <v>481907</v>
      </c>
      <c r="G17">
        <v>459338</v>
      </c>
      <c r="H17">
        <v>297836</v>
      </c>
      <c r="I17">
        <v>797766</v>
      </c>
      <c r="J17">
        <v>421333</v>
      </c>
      <c r="K17">
        <v>548304</v>
      </c>
    </row>
    <row r="18" spans="1:11" x14ac:dyDescent="0.35">
      <c r="A18">
        <v>2025</v>
      </c>
      <c r="B18">
        <v>2</v>
      </c>
      <c r="C18" t="s">
        <v>63</v>
      </c>
      <c r="D18" t="s">
        <v>255</v>
      </c>
      <c r="E18">
        <v>44558</v>
      </c>
      <c r="F18">
        <v>484598</v>
      </c>
      <c r="G18">
        <v>459338</v>
      </c>
      <c r="H18">
        <v>297836</v>
      </c>
      <c r="I18">
        <v>798872</v>
      </c>
      <c r="J18">
        <v>416936</v>
      </c>
      <c r="K18">
        <v>551222</v>
      </c>
    </row>
    <row r="19" spans="1:11" x14ac:dyDescent="0.35">
      <c r="A19">
        <v>2025</v>
      </c>
      <c r="B19">
        <v>3</v>
      </c>
      <c r="C19" t="s">
        <v>66</v>
      </c>
      <c r="D19" t="s">
        <v>255</v>
      </c>
      <c r="E19">
        <v>45358</v>
      </c>
      <c r="F19">
        <v>479451</v>
      </c>
      <c r="G19">
        <v>455495</v>
      </c>
      <c r="H19">
        <v>297836</v>
      </c>
      <c r="I19">
        <v>796187</v>
      </c>
      <c r="J19">
        <v>416333</v>
      </c>
      <c r="K19">
        <v>545804</v>
      </c>
    </row>
    <row r="20" spans="1:11" x14ac:dyDescent="0.35">
      <c r="A20">
        <v>2025</v>
      </c>
      <c r="B20">
        <v>4</v>
      </c>
      <c r="C20" t="s">
        <v>67</v>
      </c>
      <c r="D20" t="s">
        <v>255</v>
      </c>
      <c r="E20">
        <v>44546</v>
      </c>
      <c r="F20">
        <v>484639</v>
      </c>
      <c r="G20">
        <v>459338</v>
      </c>
      <c r="H20">
        <v>297836</v>
      </c>
      <c r="I20">
        <v>798872</v>
      </c>
      <c r="J20">
        <v>416936</v>
      </c>
      <c r="K20">
        <v>551222</v>
      </c>
    </row>
    <row r="21" spans="1:11" x14ac:dyDescent="0.35">
      <c r="A21">
        <v>2025</v>
      </c>
      <c r="B21">
        <v>5</v>
      </c>
      <c r="C21" t="s">
        <v>68</v>
      </c>
      <c r="D21" t="s">
        <v>255</v>
      </c>
      <c r="E21">
        <v>46494</v>
      </c>
      <c r="F21">
        <v>511374</v>
      </c>
      <c r="G21">
        <v>512848</v>
      </c>
      <c r="H21">
        <v>297836</v>
      </c>
      <c r="I21">
        <v>798313</v>
      </c>
      <c r="J21">
        <v>421985</v>
      </c>
      <c r="K21">
        <v>596617</v>
      </c>
    </row>
    <row r="22" spans="1:11" x14ac:dyDescent="0.35">
      <c r="A22">
        <v>2025</v>
      </c>
      <c r="B22">
        <v>6</v>
      </c>
      <c r="C22" t="s">
        <v>69</v>
      </c>
      <c r="D22" t="s">
        <v>255</v>
      </c>
      <c r="E22">
        <v>46834</v>
      </c>
      <c r="F22">
        <v>476931</v>
      </c>
      <c r="G22">
        <v>451838</v>
      </c>
      <c r="H22">
        <v>297836</v>
      </c>
      <c r="I22">
        <v>796187</v>
      </c>
      <c r="J22">
        <v>416333</v>
      </c>
      <c r="K22">
        <v>541222</v>
      </c>
    </row>
    <row r="23" spans="1:11" x14ac:dyDescent="0.35">
      <c r="A23">
        <v>2025</v>
      </c>
      <c r="B23">
        <v>7</v>
      </c>
      <c r="C23" t="s">
        <v>70</v>
      </c>
      <c r="D23" t="s">
        <v>255</v>
      </c>
      <c r="E23">
        <v>47338</v>
      </c>
      <c r="F23">
        <v>477320</v>
      </c>
      <c r="G23">
        <v>451838</v>
      </c>
      <c r="H23">
        <v>297836</v>
      </c>
      <c r="I23">
        <v>798791</v>
      </c>
      <c r="J23">
        <v>416333</v>
      </c>
      <c r="K23">
        <v>541222</v>
      </c>
    </row>
    <row r="24" spans="1:11" x14ac:dyDescent="0.35">
      <c r="A24">
        <v>2025</v>
      </c>
      <c r="B24">
        <v>8</v>
      </c>
      <c r="C24" t="s">
        <v>71</v>
      </c>
      <c r="D24" t="s">
        <v>255</v>
      </c>
      <c r="E24">
        <v>48088</v>
      </c>
      <c r="F24">
        <v>477452</v>
      </c>
      <c r="G24">
        <v>451838</v>
      </c>
      <c r="H24">
        <v>297836</v>
      </c>
      <c r="I24">
        <v>798308</v>
      </c>
      <c r="J24">
        <v>416333</v>
      </c>
      <c r="K24">
        <v>541222</v>
      </c>
    </row>
    <row r="25" spans="1:11" x14ac:dyDescent="0.35">
      <c r="A25">
        <v>2025</v>
      </c>
      <c r="B25">
        <v>9</v>
      </c>
      <c r="C25" t="s">
        <v>72</v>
      </c>
      <c r="D25" t="s">
        <v>255</v>
      </c>
      <c r="E25">
        <v>48343</v>
      </c>
      <c r="F25">
        <v>476220</v>
      </c>
      <c r="G25">
        <v>451838</v>
      </c>
      <c r="H25">
        <v>297836</v>
      </c>
      <c r="I25">
        <v>797748</v>
      </c>
      <c r="J25">
        <v>416333</v>
      </c>
      <c r="K25">
        <v>538722</v>
      </c>
    </row>
    <row r="26" spans="1:11" x14ac:dyDescent="0.35">
      <c r="A26">
        <v>2025</v>
      </c>
      <c r="B26">
        <v>10</v>
      </c>
      <c r="C26" t="s">
        <v>73</v>
      </c>
      <c r="D26" t="s">
        <v>255</v>
      </c>
      <c r="E26">
        <v>48538</v>
      </c>
      <c r="F26">
        <v>476514</v>
      </c>
      <c r="G26">
        <v>451838</v>
      </c>
      <c r="H26">
        <v>297836</v>
      </c>
      <c r="I26">
        <v>797766</v>
      </c>
      <c r="J26">
        <v>416333</v>
      </c>
      <c r="K26">
        <v>536222</v>
      </c>
    </row>
    <row r="27" spans="1:11" x14ac:dyDescent="0.35">
      <c r="A27">
        <v>2025</v>
      </c>
      <c r="B27">
        <v>11</v>
      </c>
      <c r="C27" t="s">
        <v>74</v>
      </c>
      <c r="D27" t="s">
        <v>255</v>
      </c>
      <c r="E27">
        <v>48662</v>
      </c>
      <c r="F27">
        <v>477083</v>
      </c>
      <c r="G27">
        <v>453833</v>
      </c>
      <c r="H27">
        <v>297836</v>
      </c>
      <c r="I27">
        <v>797766</v>
      </c>
      <c r="J27">
        <v>416333</v>
      </c>
      <c r="K27">
        <v>538722</v>
      </c>
    </row>
    <row r="28" spans="1:11" x14ac:dyDescent="0.35">
      <c r="A28">
        <v>2025</v>
      </c>
      <c r="B28">
        <v>12</v>
      </c>
      <c r="C28" t="s">
        <v>75</v>
      </c>
      <c r="D28" t="s">
        <v>255</v>
      </c>
      <c r="E28">
        <v>48723</v>
      </c>
      <c r="F28">
        <v>477331</v>
      </c>
      <c r="G28">
        <v>453882</v>
      </c>
      <c r="H28">
        <v>297834</v>
      </c>
      <c r="I28">
        <v>796187</v>
      </c>
      <c r="J28">
        <v>416333</v>
      </c>
      <c r="K28">
        <v>536222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256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257</v>
      </c>
      <c r="E5">
        <v>29746</v>
      </c>
      <c r="F5">
        <v>562434</v>
      </c>
      <c r="G5">
        <v>545163</v>
      </c>
      <c r="H5">
        <v>325286</v>
      </c>
      <c r="I5">
        <v>1068184</v>
      </c>
      <c r="J5">
        <v>462441</v>
      </c>
      <c r="K5">
        <v>645792</v>
      </c>
    </row>
    <row r="6" spans="1:11" x14ac:dyDescent="0.35">
      <c r="A6">
        <v>2024</v>
      </c>
      <c r="B6">
        <v>2</v>
      </c>
      <c r="C6" t="s">
        <v>63</v>
      </c>
      <c r="D6" t="s">
        <v>257</v>
      </c>
      <c r="E6">
        <v>30274</v>
      </c>
      <c r="F6">
        <v>568143</v>
      </c>
      <c r="G6">
        <v>546641</v>
      </c>
      <c r="H6">
        <v>325286</v>
      </c>
      <c r="I6">
        <v>1090651</v>
      </c>
      <c r="J6">
        <v>463550</v>
      </c>
      <c r="K6">
        <v>673566</v>
      </c>
    </row>
    <row r="7" spans="1:11" x14ac:dyDescent="0.35">
      <c r="A7">
        <v>2024</v>
      </c>
      <c r="B7">
        <v>3</v>
      </c>
      <c r="C7" t="s">
        <v>66</v>
      </c>
      <c r="D7" t="s">
        <v>257</v>
      </c>
      <c r="E7">
        <v>30755</v>
      </c>
      <c r="F7">
        <v>562444</v>
      </c>
      <c r="G7">
        <v>544141</v>
      </c>
      <c r="H7">
        <v>325286</v>
      </c>
      <c r="I7">
        <v>1099983</v>
      </c>
      <c r="J7">
        <v>458551</v>
      </c>
      <c r="K7">
        <v>648292</v>
      </c>
    </row>
    <row r="8" spans="1:11" x14ac:dyDescent="0.35">
      <c r="A8">
        <v>2024</v>
      </c>
      <c r="B8">
        <v>4</v>
      </c>
      <c r="C8" t="s">
        <v>67</v>
      </c>
      <c r="D8" t="s">
        <v>257</v>
      </c>
      <c r="E8">
        <v>31152</v>
      </c>
      <c r="F8">
        <v>560493</v>
      </c>
      <c r="G8">
        <v>541641</v>
      </c>
      <c r="H8">
        <v>325286</v>
      </c>
      <c r="I8">
        <v>1074108</v>
      </c>
      <c r="J8">
        <v>457847</v>
      </c>
      <c r="K8">
        <v>645792</v>
      </c>
    </row>
    <row r="9" spans="1:11" x14ac:dyDescent="0.35">
      <c r="A9">
        <v>2024</v>
      </c>
      <c r="B9">
        <v>5</v>
      </c>
      <c r="C9" t="s">
        <v>68</v>
      </c>
      <c r="D9" t="s">
        <v>257</v>
      </c>
      <c r="E9">
        <v>31087</v>
      </c>
      <c r="F9">
        <v>558689</v>
      </c>
      <c r="G9">
        <v>539141</v>
      </c>
      <c r="H9">
        <v>325286</v>
      </c>
      <c r="I9">
        <v>1074108</v>
      </c>
      <c r="J9">
        <v>457073</v>
      </c>
      <c r="K9">
        <v>645792</v>
      </c>
    </row>
    <row r="10" spans="1:11" x14ac:dyDescent="0.35">
      <c r="A10">
        <v>2024</v>
      </c>
      <c r="B10">
        <v>6</v>
      </c>
      <c r="C10" t="s">
        <v>69</v>
      </c>
      <c r="D10" t="s">
        <v>257</v>
      </c>
      <c r="E10">
        <v>31230</v>
      </c>
      <c r="F10">
        <v>558964</v>
      </c>
      <c r="G10">
        <v>539141</v>
      </c>
      <c r="H10">
        <v>325286</v>
      </c>
      <c r="I10">
        <v>1080320</v>
      </c>
      <c r="J10">
        <v>457073</v>
      </c>
      <c r="K10">
        <v>645792</v>
      </c>
    </row>
    <row r="11" spans="1:11" x14ac:dyDescent="0.35">
      <c r="A11">
        <v>2024</v>
      </c>
      <c r="B11">
        <v>7</v>
      </c>
      <c r="C11" t="s">
        <v>70</v>
      </c>
      <c r="D11" t="s">
        <v>257</v>
      </c>
      <c r="E11">
        <v>31994</v>
      </c>
      <c r="F11">
        <v>558942</v>
      </c>
      <c r="G11">
        <v>539105</v>
      </c>
      <c r="H11">
        <v>325286</v>
      </c>
      <c r="I11">
        <v>1074108</v>
      </c>
      <c r="J11">
        <v>454485</v>
      </c>
      <c r="K11">
        <v>645792</v>
      </c>
    </row>
    <row r="12" spans="1:11" x14ac:dyDescent="0.35">
      <c r="A12">
        <v>2024</v>
      </c>
      <c r="B12">
        <v>8</v>
      </c>
      <c r="C12" t="s">
        <v>71</v>
      </c>
      <c r="D12" t="s">
        <v>257</v>
      </c>
      <c r="E12">
        <v>32494</v>
      </c>
      <c r="F12">
        <v>561347</v>
      </c>
      <c r="G12">
        <v>539141</v>
      </c>
      <c r="H12">
        <v>325286</v>
      </c>
      <c r="I12">
        <v>1100803</v>
      </c>
      <c r="J12">
        <v>454573</v>
      </c>
      <c r="K12">
        <v>648292</v>
      </c>
    </row>
    <row r="13" spans="1:11" x14ac:dyDescent="0.35">
      <c r="A13">
        <v>2024</v>
      </c>
      <c r="B13">
        <v>9</v>
      </c>
      <c r="C13" t="s">
        <v>72</v>
      </c>
      <c r="D13" t="s">
        <v>257</v>
      </c>
      <c r="E13">
        <v>32784</v>
      </c>
      <c r="F13">
        <v>559891</v>
      </c>
      <c r="G13">
        <v>539141</v>
      </c>
      <c r="H13">
        <v>325286</v>
      </c>
      <c r="I13">
        <v>1074108</v>
      </c>
      <c r="J13">
        <v>453044</v>
      </c>
      <c r="K13">
        <v>650792</v>
      </c>
    </row>
    <row r="14" spans="1:11" x14ac:dyDescent="0.35">
      <c r="A14">
        <v>2024</v>
      </c>
      <c r="B14">
        <v>10</v>
      </c>
      <c r="C14" t="s">
        <v>73</v>
      </c>
      <c r="D14" t="s">
        <v>257</v>
      </c>
      <c r="E14">
        <v>33035</v>
      </c>
      <c r="F14">
        <v>559331</v>
      </c>
      <c r="G14">
        <v>539141</v>
      </c>
      <c r="H14">
        <v>325286</v>
      </c>
      <c r="I14">
        <v>1076888</v>
      </c>
      <c r="J14">
        <v>452073</v>
      </c>
      <c r="K14">
        <v>650792</v>
      </c>
    </row>
    <row r="15" spans="1:11" x14ac:dyDescent="0.35">
      <c r="A15">
        <v>2024</v>
      </c>
      <c r="B15">
        <v>11</v>
      </c>
      <c r="C15" t="s">
        <v>74</v>
      </c>
      <c r="D15" t="s">
        <v>257</v>
      </c>
      <c r="E15">
        <v>33088</v>
      </c>
      <c r="F15">
        <v>560935</v>
      </c>
      <c r="G15">
        <v>539141</v>
      </c>
      <c r="H15">
        <v>325286</v>
      </c>
      <c r="I15">
        <v>1074108</v>
      </c>
      <c r="J15">
        <v>463550</v>
      </c>
      <c r="K15">
        <v>650792</v>
      </c>
    </row>
    <row r="16" spans="1:11" x14ac:dyDescent="0.35">
      <c r="A16">
        <v>2024</v>
      </c>
      <c r="B16">
        <v>12</v>
      </c>
      <c r="C16" t="s">
        <v>75</v>
      </c>
      <c r="D16" t="s">
        <v>257</v>
      </c>
      <c r="E16">
        <v>33119</v>
      </c>
      <c r="F16">
        <v>560687</v>
      </c>
      <c r="G16">
        <v>539141</v>
      </c>
      <c r="H16">
        <v>325286</v>
      </c>
      <c r="I16">
        <v>1074108</v>
      </c>
      <c r="J16">
        <v>463550</v>
      </c>
      <c r="K16">
        <v>648477</v>
      </c>
    </row>
    <row r="17" spans="1:11" x14ac:dyDescent="0.35">
      <c r="A17">
        <v>2025</v>
      </c>
      <c r="B17">
        <v>1</v>
      </c>
      <c r="C17" t="s">
        <v>42</v>
      </c>
      <c r="D17" t="s">
        <v>257</v>
      </c>
      <c r="E17">
        <v>32968</v>
      </c>
      <c r="F17">
        <v>565778</v>
      </c>
      <c r="G17">
        <v>543403</v>
      </c>
      <c r="H17">
        <v>325286</v>
      </c>
      <c r="I17">
        <v>1074108</v>
      </c>
      <c r="J17">
        <v>472441</v>
      </c>
      <c r="K17">
        <v>652455</v>
      </c>
    </row>
    <row r="18" spans="1:11" x14ac:dyDescent="0.35">
      <c r="A18">
        <v>2025</v>
      </c>
      <c r="B18">
        <v>2</v>
      </c>
      <c r="C18" t="s">
        <v>63</v>
      </c>
      <c r="D18" t="s">
        <v>257</v>
      </c>
      <c r="E18">
        <v>33349</v>
      </c>
      <c r="F18">
        <v>573066</v>
      </c>
      <c r="G18">
        <v>572515</v>
      </c>
      <c r="H18">
        <v>325286</v>
      </c>
      <c r="I18">
        <v>1082572</v>
      </c>
      <c r="J18">
        <v>466050</v>
      </c>
      <c r="K18">
        <v>664536</v>
      </c>
    </row>
    <row r="19" spans="1:11" x14ac:dyDescent="0.35">
      <c r="A19">
        <v>2025</v>
      </c>
      <c r="B19">
        <v>3</v>
      </c>
      <c r="C19" t="s">
        <v>66</v>
      </c>
      <c r="D19" t="s">
        <v>257</v>
      </c>
      <c r="E19">
        <v>34033</v>
      </c>
      <c r="F19">
        <v>566303</v>
      </c>
      <c r="G19">
        <v>557515</v>
      </c>
      <c r="H19">
        <v>325286</v>
      </c>
      <c r="I19">
        <v>1088321</v>
      </c>
      <c r="J19">
        <v>463550</v>
      </c>
      <c r="K19">
        <v>654400</v>
      </c>
    </row>
    <row r="20" spans="1:11" x14ac:dyDescent="0.35">
      <c r="A20">
        <v>2025</v>
      </c>
      <c r="B20">
        <v>4</v>
      </c>
      <c r="C20" t="s">
        <v>67</v>
      </c>
      <c r="D20" t="s">
        <v>257</v>
      </c>
      <c r="E20">
        <v>33325</v>
      </c>
      <c r="F20">
        <v>573121</v>
      </c>
      <c r="G20">
        <v>572515</v>
      </c>
      <c r="H20">
        <v>325286</v>
      </c>
      <c r="I20">
        <v>1082572</v>
      </c>
      <c r="J20">
        <v>466050</v>
      </c>
      <c r="K20">
        <v>664764</v>
      </c>
    </row>
    <row r="21" spans="1:11" x14ac:dyDescent="0.35">
      <c r="A21">
        <v>2025</v>
      </c>
      <c r="B21">
        <v>5</v>
      </c>
      <c r="C21" t="s">
        <v>68</v>
      </c>
      <c r="D21" t="s">
        <v>257</v>
      </c>
      <c r="E21">
        <v>34569</v>
      </c>
      <c r="F21">
        <v>603614</v>
      </c>
      <c r="G21">
        <v>618067</v>
      </c>
      <c r="H21">
        <v>325286</v>
      </c>
      <c r="I21">
        <v>1081608</v>
      </c>
      <c r="J21">
        <v>476050</v>
      </c>
      <c r="K21">
        <v>716355</v>
      </c>
    </row>
    <row r="22" spans="1:11" x14ac:dyDescent="0.35">
      <c r="A22">
        <v>2025</v>
      </c>
      <c r="B22">
        <v>6</v>
      </c>
      <c r="C22" t="s">
        <v>69</v>
      </c>
      <c r="D22" t="s">
        <v>257</v>
      </c>
      <c r="E22">
        <v>34887</v>
      </c>
      <c r="F22">
        <v>564803</v>
      </c>
      <c r="G22">
        <v>552515</v>
      </c>
      <c r="H22">
        <v>325286</v>
      </c>
      <c r="I22">
        <v>1081608</v>
      </c>
      <c r="J22">
        <v>463550</v>
      </c>
      <c r="K22">
        <v>654955</v>
      </c>
    </row>
    <row r="23" spans="1:11" x14ac:dyDescent="0.35">
      <c r="A23">
        <v>2025</v>
      </c>
      <c r="B23">
        <v>7</v>
      </c>
      <c r="C23" t="s">
        <v>70</v>
      </c>
      <c r="D23" t="s">
        <v>257</v>
      </c>
      <c r="E23">
        <v>35095</v>
      </c>
      <c r="F23">
        <v>565652</v>
      </c>
      <c r="G23">
        <v>553722</v>
      </c>
      <c r="H23">
        <v>325286</v>
      </c>
      <c r="I23">
        <v>1081608</v>
      </c>
      <c r="J23">
        <v>463550</v>
      </c>
      <c r="K23">
        <v>654955</v>
      </c>
    </row>
    <row r="24" spans="1:11" x14ac:dyDescent="0.35">
      <c r="A24">
        <v>2025</v>
      </c>
      <c r="B24">
        <v>8</v>
      </c>
      <c r="C24" t="s">
        <v>71</v>
      </c>
      <c r="D24" t="s">
        <v>257</v>
      </c>
      <c r="E24">
        <v>35334</v>
      </c>
      <c r="F24">
        <v>566379</v>
      </c>
      <c r="G24">
        <v>554141</v>
      </c>
      <c r="H24">
        <v>325286</v>
      </c>
      <c r="I24">
        <v>1083146</v>
      </c>
      <c r="J24">
        <v>466050</v>
      </c>
      <c r="K24">
        <v>657455</v>
      </c>
    </row>
    <row r="25" spans="1:11" x14ac:dyDescent="0.35">
      <c r="A25">
        <v>2025</v>
      </c>
      <c r="B25">
        <v>9</v>
      </c>
      <c r="C25" t="s">
        <v>72</v>
      </c>
      <c r="D25" t="s">
        <v>257</v>
      </c>
      <c r="E25">
        <v>35513</v>
      </c>
      <c r="F25">
        <v>566491</v>
      </c>
      <c r="G25">
        <v>555804</v>
      </c>
      <c r="H25">
        <v>325286</v>
      </c>
      <c r="I25">
        <v>1098725</v>
      </c>
      <c r="J25">
        <v>466050</v>
      </c>
      <c r="K25">
        <v>655792</v>
      </c>
    </row>
    <row r="26" spans="1:11" x14ac:dyDescent="0.35">
      <c r="A26">
        <v>2025</v>
      </c>
      <c r="B26">
        <v>10</v>
      </c>
      <c r="C26" t="s">
        <v>73</v>
      </c>
      <c r="D26" t="s">
        <v>257</v>
      </c>
      <c r="E26">
        <v>35586</v>
      </c>
      <c r="F26">
        <v>566991</v>
      </c>
      <c r="G26">
        <v>555804</v>
      </c>
      <c r="H26">
        <v>325286</v>
      </c>
      <c r="I26">
        <v>1075645</v>
      </c>
      <c r="J26">
        <v>466050</v>
      </c>
      <c r="K26">
        <v>658292</v>
      </c>
    </row>
    <row r="27" spans="1:11" x14ac:dyDescent="0.35">
      <c r="A27">
        <v>2025</v>
      </c>
      <c r="B27">
        <v>11</v>
      </c>
      <c r="C27" t="s">
        <v>74</v>
      </c>
      <c r="D27" t="s">
        <v>257</v>
      </c>
      <c r="E27">
        <v>35569</v>
      </c>
      <c r="F27">
        <v>567133</v>
      </c>
      <c r="G27">
        <v>554141</v>
      </c>
      <c r="H27">
        <v>325286</v>
      </c>
      <c r="I27">
        <v>1074108</v>
      </c>
      <c r="J27">
        <v>466050</v>
      </c>
      <c r="K27">
        <v>655792</v>
      </c>
    </row>
    <row r="28" spans="1:11" x14ac:dyDescent="0.35">
      <c r="A28">
        <v>2025</v>
      </c>
      <c r="B28">
        <v>12</v>
      </c>
      <c r="C28" t="s">
        <v>75</v>
      </c>
      <c r="D28" t="s">
        <v>257</v>
      </c>
      <c r="E28">
        <v>35682</v>
      </c>
      <c r="F28">
        <v>570036</v>
      </c>
      <c r="G28">
        <v>554141</v>
      </c>
      <c r="H28">
        <v>325286</v>
      </c>
      <c r="I28">
        <v>1074108</v>
      </c>
      <c r="J28">
        <v>466050</v>
      </c>
      <c r="K28">
        <v>673564</v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258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259</v>
      </c>
      <c r="E5">
        <v>15938</v>
      </c>
      <c r="F5">
        <v>732851</v>
      </c>
      <c r="G5">
        <v>701433</v>
      </c>
      <c r="H5">
        <v>382502</v>
      </c>
      <c r="I5">
        <v>1144330</v>
      </c>
      <c r="J5">
        <v>662737</v>
      </c>
      <c r="K5">
        <v>828219</v>
      </c>
    </row>
    <row r="6" spans="1:11" x14ac:dyDescent="0.35">
      <c r="A6">
        <v>2024</v>
      </c>
      <c r="B6">
        <v>2</v>
      </c>
      <c r="C6" t="s">
        <v>63</v>
      </c>
      <c r="D6" t="s">
        <v>259</v>
      </c>
      <c r="E6">
        <v>16062</v>
      </c>
      <c r="F6">
        <v>746043</v>
      </c>
      <c r="G6">
        <v>722173</v>
      </c>
      <c r="H6">
        <v>382502</v>
      </c>
      <c r="I6">
        <v>1144279</v>
      </c>
      <c r="J6">
        <v>680558</v>
      </c>
      <c r="K6">
        <v>837702</v>
      </c>
    </row>
    <row r="7" spans="1:11" x14ac:dyDescent="0.35">
      <c r="A7">
        <v>2024</v>
      </c>
      <c r="B7">
        <v>3</v>
      </c>
      <c r="C7" t="s">
        <v>66</v>
      </c>
      <c r="D7" t="s">
        <v>259</v>
      </c>
      <c r="E7">
        <v>16179</v>
      </c>
      <c r="F7">
        <v>736968</v>
      </c>
      <c r="G7">
        <v>703933</v>
      </c>
      <c r="H7">
        <v>382502</v>
      </c>
      <c r="I7">
        <v>1144330</v>
      </c>
      <c r="J7">
        <v>672455</v>
      </c>
      <c r="K7">
        <v>830719</v>
      </c>
    </row>
    <row r="8" spans="1:11" x14ac:dyDescent="0.35">
      <c r="A8">
        <v>2024</v>
      </c>
      <c r="B8">
        <v>4</v>
      </c>
      <c r="C8" t="s">
        <v>67</v>
      </c>
      <c r="D8" t="s">
        <v>259</v>
      </c>
      <c r="E8">
        <v>16381</v>
      </c>
      <c r="F8">
        <v>735098</v>
      </c>
      <c r="G8">
        <v>702455</v>
      </c>
      <c r="H8">
        <v>382502</v>
      </c>
      <c r="I8">
        <v>1144330</v>
      </c>
      <c r="J8">
        <v>669955</v>
      </c>
      <c r="K8">
        <v>828221</v>
      </c>
    </row>
    <row r="9" spans="1:11" x14ac:dyDescent="0.35">
      <c r="A9">
        <v>2024</v>
      </c>
      <c r="B9">
        <v>5</v>
      </c>
      <c r="C9" t="s">
        <v>68</v>
      </c>
      <c r="D9" t="s">
        <v>259</v>
      </c>
      <c r="E9">
        <v>16329</v>
      </c>
      <c r="F9">
        <v>734812</v>
      </c>
      <c r="G9">
        <v>701433</v>
      </c>
      <c r="H9">
        <v>382502</v>
      </c>
      <c r="I9">
        <v>1144330</v>
      </c>
      <c r="J9">
        <v>669955</v>
      </c>
      <c r="K9">
        <v>828219</v>
      </c>
    </row>
    <row r="10" spans="1:11" x14ac:dyDescent="0.35">
      <c r="A10">
        <v>2024</v>
      </c>
      <c r="B10">
        <v>6</v>
      </c>
      <c r="C10" t="s">
        <v>69</v>
      </c>
      <c r="D10" t="s">
        <v>259</v>
      </c>
      <c r="E10">
        <v>16427</v>
      </c>
      <c r="F10">
        <v>734016</v>
      </c>
      <c r="G10">
        <v>701433</v>
      </c>
      <c r="H10">
        <v>382502</v>
      </c>
      <c r="I10">
        <v>1144330</v>
      </c>
      <c r="J10">
        <v>668058</v>
      </c>
      <c r="K10">
        <v>828219</v>
      </c>
    </row>
    <row r="11" spans="1:11" x14ac:dyDescent="0.35">
      <c r="A11">
        <v>2024</v>
      </c>
      <c r="B11">
        <v>7</v>
      </c>
      <c r="C11" t="s">
        <v>70</v>
      </c>
      <c r="D11" t="s">
        <v>259</v>
      </c>
      <c r="E11">
        <v>16608</v>
      </c>
      <c r="F11">
        <v>735175</v>
      </c>
      <c r="G11">
        <v>701433</v>
      </c>
      <c r="H11">
        <v>382502</v>
      </c>
      <c r="I11">
        <v>1144330</v>
      </c>
      <c r="J11">
        <v>669955</v>
      </c>
      <c r="K11">
        <v>828219</v>
      </c>
    </row>
    <row r="12" spans="1:11" x14ac:dyDescent="0.35">
      <c r="A12">
        <v>2024</v>
      </c>
      <c r="B12">
        <v>8</v>
      </c>
      <c r="C12" t="s">
        <v>71</v>
      </c>
      <c r="D12" t="s">
        <v>259</v>
      </c>
      <c r="E12">
        <v>16648</v>
      </c>
      <c r="F12">
        <v>738134</v>
      </c>
      <c r="G12">
        <v>701433</v>
      </c>
      <c r="H12">
        <v>382502</v>
      </c>
      <c r="I12">
        <v>1161483</v>
      </c>
      <c r="J12">
        <v>669955</v>
      </c>
      <c r="K12">
        <v>830719</v>
      </c>
    </row>
    <row r="13" spans="1:11" x14ac:dyDescent="0.35">
      <c r="A13">
        <v>2024</v>
      </c>
      <c r="B13">
        <v>9</v>
      </c>
      <c r="C13" t="s">
        <v>72</v>
      </c>
      <c r="D13" t="s">
        <v>259</v>
      </c>
      <c r="E13">
        <v>16740</v>
      </c>
      <c r="F13">
        <v>735690</v>
      </c>
      <c r="G13">
        <v>701433</v>
      </c>
      <c r="H13">
        <v>382502</v>
      </c>
      <c r="I13">
        <v>1144330</v>
      </c>
      <c r="J13">
        <v>669955</v>
      </c>
      <c r="K13">
        <v>828221</v>
      </c>
    </row>
    <row r="14" spans="1:11" x14ac:dyDescent="0.35">
      <c r="A14">
        <v>2024</v>
      </c>
      <c r="B14">
        <v>10</v>
      </c>
      <c r="C14" t="s">
        <v>73</v>
      </c>
      <c r="D14" t="s">
        <v>259</v>
      </c>
      <c r="E14">
        <v>16775</v>
      </c>
      <c r="F14">
        <v>735022</v>
      </c>
      <c r="G14">
        <v>699955</v>
      </c>
      <c r="H14">
        <v>382502</v>
      </c>
      <c r="I14">
        <v>1144330</v>
      </c>
      <c r="J14">
        <v>668058</v>
      </c>
      <c r="K14">
        <v>828219</v>
      </c>
    </row>
    <row r="15" spans="1:11" x14ac:dyDescent="0.35">
      <c r="A15">
        <v>2024</v>
      </c>
      <c r="B15">
        <v>11</v>
      </c>
      <c r="C15" t="s">
        <v>74</v>
      </c>
      <c r="D15" t="s">
        <v>259</v>
      </c>
      <c r="E15">
        <v>16798</v>
      </c>
      <c r="F15">
        <v>734946</v>
      </c>
      <c r="G15">
        <v>699955</v>
      </c>
      <c r="H15">
        <v>382502</v>
      </c>
      <c r="I15">
        <v>1144330</v>
      </c>
      <c r="J15">
        <v>668058</v>
      </c>
      <c r="K15">
        <v>828219</v>
      </c>
    </row>
    <row r="16" spans="1:11" x14ac:dyDescent="0.35">
      <c r="A16">
        <v>2024</v>
      </c>
      <c r="B16">
        <v>12</v>
      </c>
      <c r="C16" t="s">
        <v>75</v>
      </c>
      <c r="D16" t="s">
        <v>259</v>
      </c>
      <c r="E16">
        <v>16818</v>
      </c>
      <c r="F16">
        <v>734374</v>
      </c>
      <c r="G16">
        <v>699955</v>
      </c>
      <c r="H16">
        <v>382502</v>
      </c>
      <c r="I16">
        <v>1144330</v>
      </c>
      <c r="J16">
        <v>667456</v>
      </c>
      <c r="K16">
        <v>828219</v>
      </c>
    </row>
    <row r="17" spans="1:11" x14ac:dyDescent="0.35">
      <c r="A17">
        <v>2025</v>
      </c>
      <c r="B17">
        <v>1</v>
      </c>
      <c r="C17" t="s">
        <v>42</v>
      </c>
      <c r="D17" t="s">
        <v>259</v>
      </c>
      <c r="E17">
        <v>16216</v>
      </c>
      <c r="F17">
        <v>734389</v>
      </c>
      <c r="G17">
        <v>699955</v>
      </c>
      <c r="H17">
        <v>382502</v>
      </c>
      <c r="I17">
        <v>1144330</v>
      </c>
      <c r="J17">
        <v>669955</v>
      </c>
      <c r="K17">
        <v>825855</v>
      </c>
    </row>
    <row r="18" spans="1:11" x14ac:dyDescent="0.35">
      <c r="A18">
        <v>2025</v>
      </c>
      <c r="B18">
        <v>2</v>
      </c>
      <c r="C18" t="s">
        <v>63</v>
      </c>
      <c r="D18" t="s">
        <v>259</v>
      </c>
      <c r="E18">
        <v>16098</v>
      </c>
      <c r="F18">
        <v>752536</v>
      </c>
      <c r="G18">
        <v>723472</v>
      </c>
      <c r="H18">
        <v>382502</v>
      </c>
      <c r="I18">
        <v>1162297</v>
      </c>
      <c r="J18">
        <v>675140</v>
      </c>
      <c r="K18">
        <v>852702</v>
      </c>
    </row>
    <row r="19" spans="1:11" x14ac:dyDescent="0.35">
      <c r="A19">
        <v>2025</v>
      </c>
      <c r="B19">
        <v>3</v>
      </c>
      <c r="C19" t="s">
        <v>66</v>
      </c>
      <c r="D19" t="s">
        <v>259</v>
      </c>
      <c r="E19">
        <v>16020</v>
      </c>
      <c r="F19">
        <v>743985</v>
      </c>
      <c r="G19">
        <v>708933</v>
      </c>
      <c r="H19">
        <v>382502</v>
      </c>
      <c r="I19">
        <v>1144330</v>
      </c>
      <c r="J19">
        <v>672455</v>
      </c>
      <c r="K19">
        <v>847702</v>
      </c>
    </row>
    <row r="20" spans="1:11" x14ac:dyDescent="0.35">
      <c r="A20">
        <v>2025</v>
      </c>
      <c r="B20">
        <v>4</v>
      </c>
      <c r="C20" t="s">
        <v>67</v>
      </c>
      <c r="D20" t="s">
        <v>259</v>
      </c>
      <c r="E20">
        <v>15788</v>
      </c>
      <c r="F20">
        <v>751149</v>
      </c>
      <c r="G20">
        <v>719650</v>
      </c>
      <c r="H20">
        <v>382502</v>
      </c>
      <c r="I20">
        <v>1162297</v>
      </c>
      <c r="J20">
        <v>674955</v>
      </c>
      <c r="K20">
        <v>852702</v>
      </c>
    </row>
    <row r="21" spans="1:11" x14ac:dyDescent="0.35">
      <c r="A21">
        <v>2025</v>
      </c>
      <c r="B21">
        <v>5</v>
      </c>
      <c r="C21" t="s">
        <v>68</v>
      </c>
      <c r="D21" t="s">
        <v>259</v>
      </c>
      <c r="E21">
        <v>15651</v>
      </c>
      <c r="F21">
        <v>758929</v>
      </c>
      <c r="G21">
        <v>739719</v>
      </c>
      <c r="H21">
        <v>382502</v>
      </c>
      <c r="I21">
        <v>1161732</v>
      </c>
      <c r="J21">
        <v>678058</v>
      </c>
      <c r="K21">
        <v>857093</v>
      </c>
    </row>
    <row r="22" spans="1:11" x14ac:dyDescent="0.35">
      <c r="A22">
        <v>2025</v>
      </c>
      <c r="B22">
        <v>6</v>
      </c>
      <c r="C22" t="s">
        <v>69</v>
      </c>
      <c r="D22" t="s">
        <v>259</v>
      </c>
      <c r="E22">
        <v>16114</v>
      </c>
      <c r="F22">
        <v>743018</v>
      </c>
      <c r="G22">
        <v>708933</v>
      </c>
      <c r="H22">
        <v>382502</v>
      </c>
      <c r="I22">
        <v>1144330</v>
      </c>
      <c r="J22">
        <v>672455</v>
      </c>
      <c r="K22">
        <v>847702</v>
      </c>
    </row>
    <row r="23" spans="1:11" x14ac:dyDescent="0.35">
      <c r="A23">
        <v>2025</v>
      </c>
      <c r="B23">
        <v>7</v>
      </c>
      <c r="C23" t="s">
        <v>70</v>
      </c>
      <c r="D23" t="s">
        <v>259</v>
      </c>
      <c r="E23">
        <v>16137</v>
      </c>
      <c r="F23">
        <v>743051</v>
      </c>
      <c r="G23">
        <v>709955</v>
      </c>
      <c r="H23">
        <v>382502</v>
      </c>
      <c r="I23">
        <v>1144330</v>
      </c>
      <c r="J23">
        <v>672455</v>
      </c>
      <c r="K23">
        <v>845855</v>
      </c>
    </row>
    <row r="24" spans="1:11" x14ac:dyDescent="0.35">
      <c r="A24">
        <v>2025</v>
      </c>
      <c r="B24">
        <v>8</v>
      </c>
      <c r="C24" t="s">
        <v>71</v>
      </c>
      <c r="D24" t="s">
        <v>259</v>
      </c>
      <c r="E24">
        <v>16185</v>
      </c>
      <c r="F24">
        <v>742826</v>
      </c>
      <c r="G24">
        <v>708933</v>
      </c>
      <c r="H24">
        <v>382502</v>
      </c>
      <c r="I24">
        <v>1144330</v>
      </c>
      <c r="J24">
        <v>672455</v>
      </c>
      <c r="K24">
        <v>840855</v>
      </c>
    </row>
    <row r="25" spans="1:11" x14ac:dyDescent="0.35">
      <c r="A25">
        <v>2025</v>
      </c>
      <c r="B25">
        <v>9</v>
      </c>
      <c r="C25" t="s">
        <v>72</v>
      </c>
      <c r="D25" t="s">
        <v>259</v>
      </c>
      <c r="E25">
        <v>16235</v>
      </c>
      <c r="F25">
        <v>742569</v>
      </c>
      <c r="G25">
        <v>708933</v>
      </c>
      <c r="H25">
        <v>397268</v>
      </c>
      <c r="I25">
        <v>1144330</v>
      </c>
      <c r="J25">
        <v>672455</v>
      </c>
      <c r="K25">
        <v>840855</v>
      </c>
    </row>
    <row r="26" spans="1:11" x14ac:dyDescent="0.35">
      <c r="A26">
        <v>2025</v>
      </c>
      <c r="B26">
        <v>10</v>
      </c>
      <c r="C26" t="s">
        <v>73</v>
      </c>
      <c r="D26" t="s">
        <v>259</v>
      </c>
      <c r="E26">
        <v>16176</v>
      </c>
      <c r="F26">
        <v>743490</v>
      </c>
      <c r="G26">
        <v>708933</v>
      </c>
      <c r="H26">
        <v>422774</v>
      </c>
      <c r="I26">
        <v>1144330</v>
      </c>
      <c r="J26">
        <v>672455</v>
      </c>
      <c r="K26">
        <v>845855</v>
      </c>
    </row>
    <row r="27" spans="1:11" x14ac:dyDescent="0.35">
      <c r="A27">
        <v>2025</v>
      </c>
      <c r="B27">
        <v>11</v>
      </c>
      <c r="C27" t="s">
        <v>74</v>
      </c>
      <c r="D27" t="s">
        <v>259</v>
      </c>
      <c r="E27">
        <v>16205</v>
      </c>
      <c r="F27">
        <v>743593</v>
      </c>
      <c r="G27">
        <v>708933</v>
      </c>
      <c r="H27">
        <v>422774</v>
      </c>
      <c r="I27">
        <v>1144330</v>
      </c>
      <c r="J27">
        <v>672455</v>
      </c>
      <c r="K27">
        <v>847702</v>
      </c>
    </row>
    <row r="28" spans="1:11" x14ac:dyDescent="0.35">
      <c r="A28">
        <v>2025</v>
      </c>
      <c r="B28">
        <v>12</v>
      </c>
      <c r="C28" t="s">
        <v>75</v>
      </c>
      <c r="D28" t="s">
        <v>259</v>
      </c>
      <c r="E28">
        <v>16237</v>
      </c>
      <c r="F28">
        <v>746920</v>
      </c>
      <c r="G28">
        <v>718933</v>
      </c>
      <c r="H28">
        <v>422774</v>
      </c>
      <c r="I28">
        <v>1144330</v>
      </c>
      <c r="J28">
        <v>679955</v>
      </c>
      <c r="K28">
        <v>847702</v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260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261</v>
      </c>
      <c r="E5">
        <v>2270</v>
      </c>
      <c r="F5">
        <v>908890</v>
      </c>
      <c r="G5">
        <v>882003</v>
      </c>
      <c r="H5">
        <v>452677</v>
      </c>
      <c r="I5">
        <v>1362670</v>
      </c>
      <c r="J5">
        <v>731199</v>
      </c>
      <c r="K5">
        <v>1131131</v>
      </c>
    </row>
    <row r="6" spans="1:11" x14ac:dyDescent="0.35">
      <c r="A6">
        <v>2024</v>
      </c>
      <c r="B6">
        <v>2</v>
      </c>
      <c r="C6" t="s">
        <v>63</v>
      </c>
      <c r="D6" t="s">
        <v>261</v>
      </c>
      <c r="E6">
        <v>2270</v>
      </c>
      <c r="F6">
        <v>918681</v>
      </c>
      <c r="G6">
        <v>902000</v>
      </c>
      <c r="H6">
        <v>452677</v>
      </c>
      <c r="I6">
        <v>1362670</v>
      </c>
      <c r="J6">
        <v>731336</v>
      </c>
      <c r="K6">
        <v>1141965</v>
      </c>
    </row>
    <row r="7" spans="1:11" x14ac:dyDescent="0.35">
      <c r="A7">
        <v>2024</v>
      </c>
      <c r="B7">
        <v>3</v>
      </c>
      <c r="C7" t="s">
        <v>66</v>
      </c>
      <c r="D7" t="s">
        <v>261</v>
      </c>
      <c r="E7">
        <v>2196</v>
      </c>
      <c r="F7">
        <v>906041</v>
      </c>
      <c r="G7">
        <v>897000</v>
      </c>
      <c r="H7">
        <v>452677</v>
      </c>
      <c r="I7">
        <v>1362669</v>
      </c>
      <c r="J7">
        <v>728835</v>
      </c>
      <c r="K7">
        <v>1129465</v>
      </c>
    </row>
    <row r="8" spans="1:11" x14ac:dyDescent="0.35">
      <c r="A8">
        <v>2024</v>
      </c>
      <c r="B8">
        <v>4</v>
      </c>
      <c r="C8" t="s">
        <v>67</v>
      </c>
      <c r="D8" t="s">
        <v>261</v>
      </c>
      <c r="E8">
        <v>2206</v>
      </c>
      <c r="F8">
        <v>905719</v>
      </c>
      <c r="G8">
        <v>897000</v>
      </c>
      <c r="H8">
        <v>452677</v>
      </c>
      <c r="I8">
        <v>1362670</v>
      </c>
      <c r="J8">
        <v>728835</v>
      </c>
      <c r="K8">
        <v>1129465</v>
      </c>
    </row>
    <row r="9" spans="1:11" x14ac:dyDescent="0.35">
      <c r="A9">
        <v>2024</v>
      </c>
      <c r="B9">
        <v>5</v>
      </c>
      <c r="C9" t="s">
        <v>68</v>
      </c>
      <c r="D9" t="s">
        <v>261</v>
      </c>
      <c r="E9">
        <v>2198</v>
      </c>
      <c r="F9">
        <v>903526</v>
      </c>
      <c r="G9">
        <v>897000</v>
      </c>
      <c r="H9">
        <v>452677</v>
      </c>
      <c r="I9">
        <v>1362670</v>
      </c>
      <c r="J9">
        <v>728835</v>
      </c>
      <c r="K9">
        <v>1127201</v>
      </c>
    </row>
    <row r="10" spans="1:11" x14ac:dyDescent="0.35">
      <c r="A10">
        <v>2024</v>
      </c>
      <c r="B10">
        <v>6</v>
      </c>
      <c r="C10" t="s">
        <v>69</v>
      </c>
      <c r="D10" t="s">
        <v>261</v>
      </c>
      <c r="E10">
        <v>2180</v>
      </c>
      <c r="F10">
        <v>899646</v>
      </c>
      <c r="G10">
        <v>897000</v>
      </c>
      <c r="H10">
        <v>452677</v>
      </c>
      <c r="I10">
        <v>1362670</v>
      </c>
      <c r="J10">
        <v>723835</v>
      </c>
      <c r="K10">
        <v>1122201</v>
      </c>
    </row>
    <row r="11" spans="1:11" x14ac:dyDescent="0.35">
      <c r="A11">
        <v>2024</v>
      </c>
      <c r="B11">
        <v>7</v>
      </c>
      <c r="C11" t="s">
        <v>70</v>
      </c>
      <c r="D11" t="s">
        <v>261</v>
      </c>
      <c r="E11">
        <v>2400</v>
      </c>
      <c r="F11">
        <v>923974</v>
      </c>
      <c r="G11">
        <v>902000</v>
      </c>
      <c r="H11">
        <v>452677</v>
      </c>
      <c r="I11">
        <v>1394777</v>
      </c>
      <c r="J11">
        <v>736335</v>
      </c>
      <c r="K11">
        <v>1138628</v>
      </c>
    </row>
    <row r="12" spans="1:11" x14ac:dyDescent="0.35">
      <c r="A12">
        <v>2024</v>
      </c>
      <c r="B12">
        <v>8</v>
      </c>
      <c r="C12" t="s">
        <v>71</v>
      </c>
      <c r="D12" t="s">
        <v>261</v>
      </c>
      <c r="E12">
        <v>2415</v>
      </c>
      <c r="F12">
        <v>940126</v>
      </c>
      <c r="G12">
        <v>902000</v>
      </c>
      <c r="H12">
        <v>452677</v>
      </c>
      <c r="I12">
        <v>1424543</v>
      </c>
      <c r="J12">
        <v>738835</v>
      </c>
      <c r="K12">
        <v>1151128</v>
      </c>
    </row>
    <row r="13" spans="1:11" x14ac:dyDescent="0.35">
      <c r="A13">
        <v>2024</v>
      </c>
      <c r="B13">
        <v>9</v>
      </c>
      <c r="C13" t="s">
        <v>72</v>
      </c>
      <c r="D13" t="s">
        <v>261</v>
      </c>
      <c r="E13">
        <v>2414</v>
      </c>
      <c r="F13">
        <v>927912</v>
      </c>
      <c r="G13">
        <v>902000</v>
      </c>
      <c r="H13">
        <v>452677</v>
      </c>
      <c r="I13">
        <v>1362670</v>
      </c>
      <c r="J13">
        <v>740497</v>
      </c>
      <c r="K13">
        <v>1143628</v>
      </c>
    </row>
    <row r="14" spans="1:11" x14ac:dyDescent="0.35">
      <c r="A14">
        <v>2024</v>
      </c>
      <c r="B14">
        <v>10</v>
      </c>
      <c r="C14" t="s">
        <v>73</v>
      </c>
      <c r="D14" t="s">
        <v>261</v>
      </c>
      <c r="E14">
        <v>2460</v>
      </c>
      <c r="F14">
        <v>927004</v>
      </c>
      <c r="G14">
        <v>902000</v>
      </c>
      <c r="H14">
        <v>476050</v>
      </c>
      <c r="I14">
        <v>1362670</v>
      </c>
      <c r="J14">
        <v>742997</v>
      </c>
      <c r="K14">
        <v>1141968</v>
      </c>
    </row>
    <row r="15" spans="1:11" x14ac:dyDescent="0.35">
      <c r="A15">
        <v>2024</v>
      </c>
      <c r="B15">
        <v>11</v>
      </c>
      <c r="C15" t="s">
        <v>74</v>
      </c>
      <c r="D15" t="s">
        <v>261</v>
      </c>
      <c r="E15">
        <v>2522</v>
      </c>
      <c r="F15">
        <v>921026</v>
      </c>
      <c r="G15">
        <v>902000</v>
      </c>
      <c r="H15">
        <v>450544</v>
      </c>
      <c r="I15">
        <v>1362670</v>
      </c>
      <c r="J15">
        <v>732999</v>
      </c>
      <c r="K15">
        <v>1141965</v>
      </c>
    </row>
    <row r="16" spans="1:11" x14ac:dyDescent="0.35">
      <c r="A16">
        <v>2024</v>
      </c>
      <c r="B16">
        <v>12</v>
      </c>
      <c r="C16" t="s">
        <v>75</v>
      </c>
      <c r="D16" t="s">
        <v>261</v>
      </c>
      <c r="E16">
        <v>2523</v>
      </c>
      <c r="F16">
        <v>920282</v>
      </c>
      <c r="G16">
        <v>902000</v>
      </c>
      <c r="H16">
        <v>450544</v>
      </c>
      <c r="I16">
        <v>1362670</v>
      </c>
      <c r="J16">
        <v>732999</v>
      </c>
      <c r="K16">
        <v>1136965</v>
      </c>
    </row>
    <row r="17" spans="1:11" x14ac:dyDescent="0.35">
      <c r="A17">
        <v>2025</v>
      </c>
      <c r="B17">
        <v>1</v>
      </c>
      <c r="C17" t="s">
        <v>42</v>
      </c>
      <c r="D17" t="s">
        <v>261</v>
      </c>
      <c r="E17">
        <v>2440</v>
      </c>
      <c r="F17">
        <v>930723</v>
      </c>
      <c r="G17">
        <v>907000</v>
      </c>
      <c r="H17">
        <v>476050</v>
      </c>
      <c r="I17">
        <v>1362670</v>
      </c>
      <c r="J17">
        <v>731335</v>
      </c>
      <c r="K17">
        <v>1136965</v>
      </c>
    </row>
    <row r="18" spans="1:11" x14ac:dyDescent="0.35">
      <c r="A18">
        <v>2025</v>
      </c>
      <c r="B18">
        <v>2</v>
      </c>
      <c r="C18" t="s">
        <v>63</v>
      </c>
      <c r="D18" t="s">
        <v>261</v>
      </c>
      <c r="E18">
        <v>2610</v>
      </c>
      <c r="F18">
        <v>929893</v>
      </c>
      <c r="G18">
        <v>930190</v>
      </c>
      <c r="H18">
        <v>450544</v>
      </c>
      <c r="I18">
        <v>1415417</v>
      </c>
      <c r="J18">
        <v>713965</v>
      </c>
      <c r="K18">
        <v>1144465</v>
      </c>
    </row>
    <row r="19" spans="1:11" x14ac:dyDescent="0.35">
      <c r="A19">
        <v>2025</v>
      </c>
      <c r="B19">
        <v>3</v>
      </c>
      <c r="C19" t="s">
        <v>66</v>
      </c>
      <c r="D19" t="s">
        <v>261</v>
      </c>
      <c r="E19">
        <v>2553</v>
      </c>
      <c r="F19">
        <v>904518</v>
      </c>
      <c r="G19">
        <v>902000</v>
      </c>
      <c r="H19">
        <v>450544</v>
      </c>
      <c r="I19">
        <v>1380169</v>
      </c>
      <c r="J19">
        <v>693379</v>
      </c>
      <c r="K19">
        <v>1143628</v>
      </c>
    </row>
    <row r="20" spans="1:11" x14ac:dyDescent="0.35">
      <c r="A20">
        <v>2025</v>
      </c>
      <c r="B20">
        <v>4</v>
      </c>
      <c r="C20" t="s">
        <v>67</v>
      </c>
      <c r="D20" t="s">
        <v>261</v>
      </c>
      <c r="E20">
        <v>2607</v>
      </c>
      <c r="F20">
        <v>929750</v>
      </c>
      <c r="G20">
        <v>930190</v>
      </c>
      <c r="H20">
        <v>450544</v>
      </c>
      <c r="I20">
        <v>1415417</v>
      </c>
      <c r="J20">
        <v>713965</v>
      </c>
      <c r="K20">
        <v>1144465</v>
      </c>
    </row>
    <row r="21" spans="1:11" x14ac:dyDescent="0.35">
      <c r="A21">
        <v>2025</v>
      </c>
      <c r="B21">
        <v>5</v>
      </c>
      <c r="C21" t="s">
        <v>68</v>
      </c>
      <c r="D21" t="s">
        <v>261</v>
      </c>
      <c r="E21">
        <v>3002</v>
      </c>
      <c r="F21">
        <v>904371</v>
      </c>
      <c r="G21">
        <v>892000</v>
      </c>
      <c r="H21">
        <v>450544</v>
      </c>
      <c r="I21">
        <v>1380169</v>
      </c>
      <c r="J21">
        <v>696851</v>
      </c>
      <c r="K21">
        <v>1143628</v>
      </c>
    </row>
    <row r="22" spans="1:11" x14ac:dyDescent="0.35">
      <c r="A22">
        <v>2025</v>
      </c>
      <c r="B22">
        <v>6</v>
      </c>
      <c r="C22" t="s">
        <v>69</v>
      </c>
      <c r="D22" t="s">
        <v>261</v>
      </c>
      <c r="E22">
        <v>3053</v>
      </c>
      <c r="F22">
        <v>898827</v>
      </c>
      <c r="G22">
        <v>888811</v>
      </c>
      <c r="H22">
        <v>450544</v>
      </c>
      <c r="I22">
        <v>1387035</v>
      </c>
      <c r="J22">
        <v>693379</v>
      </c>
      <c r="K22">
        <v>1141965</v>
      </c>
    </row>
    <row r="23" spans="1:11" x14ac:dyDescent="0.35">
      <c r="A23">
        <v>2025</v>
      </c>
      <c r="B23">
        <v>7</v>
      </c>
      <c r="C23" t="s">
        <v>70</v>
      </c>
      <c r="D23" t="s">
        <v>261</v>
      </c>
      <c r="E23">
        <v>3119</v>
      </c>
      <c r="F23">
        <v>896677</v>
      </c>
      <c r="G23">
        <v>888811</v>
      </c>
      <c r="H23">
        <v>450544</v>
      </c>
      <c r="I23">
        <v>1380169</v>
      </c>
      <c r="J23">
        <v>691851</v>
      </c>
      <c r="K23">
        <v>1136965</v>
      </c>
    </row>
    <row r="24" spans="1:11" x14ac:dyDescent="0.35">
      <c r="A24">
        <v>2025</v>
      </c>
      <c r="B24">
        <v>8</v>
      </c>
      <c r="C24" t="s">
        <v>71</v>
      </c>
      <c r="D24" t="s">
        <v>261</v>
      </c>
      <c r="E24">
        <v>3233</v>
      </c>
      <c r="F24">
        <v>898884</v>
      </c>
      <c r="G24">
        <v>888811</v>
      </c>
      <c r="H24">
        <v>450544</v>
      </c>
      <c r="I24">
        <v>1380169</v>
      </c>
      <c r="J24">
        <v>696851</v>
      </c>
      <c r="K24">
        <v>1134465</v>
      </c>
    </row>
    <row r="25" spans="1:11" x14ac:dyDescent="0.35">
      <c r="A25">
        <v>2025</v>
      </c>
      <c r="B25">
        <v>9</v>
      </c>
      <c r="C25" t="s">
        <v>72</v>
      </c>
      <c r="D25" t="s">
        <v>261</v>
      </c>
      <c r="E25">
        <v>3264</v>
      </c>
      <c r="F25">
        <v>897444</v>
      </c>
      <c r="G25">
        <v>886311</v>
      </c>
      <c r="H25">
        <v>465544</v>
      </c>
      <c r="I25">
        <v>1380169</v>
      </c>
      <c r="J25">
        <v>696851</v>
      </c>
      <c r="K25">
        <v>1129701</v>
      </c>
    </row>
    <row r="26" spans="1:11" x14ac:dyDescent="0.35">
      <c r="A26">
        <v>2025</v>
      </c>
      <c r="B26">
        <v>10</v>
      </c>
      <c r="C26" t="s">
        <v>73</v>
      </c>
      <c r="D26" t="s">
        <v>261</v>
      </c>
      <c r="E26">
        <v>3309</v>
      </c>
      <c r="F26">
        <v>899794</v>
      </c>
      <c r="G26">
        <v>886311</v>
      </c>
      <c r="H26">
        <v>465544</v>
      </c>
      <c r="I26">
        <v>1423599</v>
      </c>
      <c r="J26">
        <v>696851</v>
      </c>
      <c r="K26">
        <v>1134465</v>
      </c>
    </row>
    <row r="27" spans="1:11" x14ac:dyDescent="0.35">
      <c r="A27">
        <v>2025</v>
      </c>
      <c r="B27">
        <v>11</v>
      </c>
      <c r="C27" t="s">
        <v>74</v>
      </c>
      <c r="D27" t="s">
        <v>261</v>
      </c>
      <c r="E27">
        <v>3350</v>
      </c>
      <c r="F27">
        <v>897346</v>
      </c>
      <c r="G27">
        <v>883811</v>
      </c>
      <c r="H27">
        <v>465544</v>
      </c>
      <c r="I27">
        <v>1412920</v>
      </c>
      <c r="J27">
        <v>696851</v>
      </c>
      <c r="K27">
        <v>1129701</v>
      </c>
    </row>
    <row r="28" spans="1:11" x14ac:dyDescent="0.35">
      <c r="A28">
        <v>2025</v>
      </c>
      <c r="B28">
        <v>12</v>
      </c>
      <c r="C28" t="s">
        <v>75</v>
      </c>
      <c r="D28" t="s">
        <v>261</v>
      </c>
      <c r="E28">
        <v>3427</v>
      </c>
      <c r="F28">
        <v>893286</v>
      </c>
      <c r="G28">
        <v>881311</v>
      </c>
      <c r="H28">
        <v>465544</v>
      </c>
      <c r="I28">
        <v>1380169</v>
      </c>
      <c r="J28">
        <v>696851</v>
      </c>
      <c r="K28">
        <v>1129465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262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263</v>
      </c>
      <c r="E5">
        <v>1822</v>
      </c>
      <c r="F5">
        <v>973483</v>
      </c>
      <c r="G5">
        <v>971201</v>
      </c>
      <c r="H5">
        <v>616213</v>
      </c>
      <c r="I5">
        <v>1436081</v>
      </c>
      <c r="J5">
        <v>788836</v>
      </c>
      <c r="K5">
        <v>1067225</v>
      </c>
    </row>
    <row r="6" spans="1:11" x14ac:dyDescent="0.35">
      <c r="A6">
        <v>2024</v>
      </c>
      <c r="B6">
        <v>2</v>
      </c>
      <c r="C6" t="s">
        <v>63</v>
      </c>
      <c r="D6" t="s">
        <v>263</v>
      </c>
      <c r="E6">
        <v>1889</v>
      </c>
      <c r="F6">
        <v>964650</v>
      </c>
      <c r="G6">
        <v>967099</v>
      </c>
      <c r="H6">
        <v>620090</v>
      </c>
      <c r="I6">
        <v>1433582</v>
      </c>
      <c r="J6">
        <v>788836</v>
      </c>
      <c r="K6">
        <v>1059725</v>
      </c>
    </row>
    <row r="7" spans="1:11" x14ac:dyDescent="0.35">
      <c r="A7">
        <v>2024</v>
      </c>
      <c r="B7">
        <v>3</v>
      </c>
      <c r="C7" t="s">
        <v>66</v>
      </c>
      <c r="D7" t="s">
        <v>263</v>
      </c>
      <c r="E7">
        <v>1987</v>
      </c>
      <c r="F7">
        <v>982888</v>
      </c>
      <c r="G7">
        <v>971465</v>
      </c>
      <c r="H7">
        <v>620090</v>
      </c>
      <c r="I7">
        <v>1436081</v>
      </c>
      <c r="J7">
        <v>853014</v>
      </c>
      <c r="K7">
        <v>1074725</v>
      </c>
    </row>
    <row r="8" spans="1:11" x14ac:dyDescent="0.35">
      <c r="A8">
        <v>2024</v>
      </c>
      <c r="B8">
        <v>4</v>
      </c>
      <c r="C8" t="s">
        <v>67</v>
      </c>
      <c r="D8" t="s">
        <v>263</v>
      </c>
      <c r="E8">
        <v>1857</v>
      </c>
      <c r="F8">
        <v>957258</v>
      </c>
      <c r="G8">
        <v>961201</v>
      </c>
      <c r="H8">
        <v>620090</v>
      </c>
      <c r="I8">
        <v>1436081</v>
      </c>
      <c r="J8">
        <v>788035</v>
      </c>
      <c r="K8">
        <v>1059725</v>
      </c>
    </row>
    <row r="9" spans="1:11" x14ac:dyDescent="0.35">
      <c r="A9">
        <v>2024</v>
      </c>
      <c r="B9">
        <v>5</v>
      </c>
      <c r="C9" t="s">
        <v>68</v>
      </c>
      <c r="D9" t="s">
        <v>263</v>
      </c>
      <c r="E9">
        <v>1875</v>
      </c>
      <c r="F9">
        <v>968974</v>
      </c>
      <c r="G9">
        <v>967101</v>
      </c>
      <c r="H9">
        <v>620090</v>
      </c>
      <c r="I9">
        <v>1436081</v>
      </c>
      <c r="J9">
        <v>788836</v>
      </c>
      <c r="K9">
        <v>1067225</v>
      </c>
    </row>
    <row r="10" spans="1:11" x14ac:dyDescent="0.35">
      <c r="A10">
        <v>2024</v>
      </c>
      <c r="B10">
        <v>6</v>
      </c>
      <c r="C10" t="s">
        <v>69</v>
      </c>
      <c r="D10" t="s">
        <v>263</v>
      </c>
      <c r="E10">
        <v>1919</v>
      </c>
      <c r="F10">
        <v>965629</v>
      </c>
      <c r="G10">
        <v>967101</v>
      </c>
      <c r="H10">
        <v>620090</v>
      </c>
      <c r="I10">
        <v>1436081</v>
      </c>
      <c r="J10">
        <v>772099</v>
      </c>
      <c r="K10">
        <v>1067225</v>
      </c>
    </row>
    <row r="11" spans="1:11" x14ac:dyDescent="0.35">
      <c r="A11">
        <v>2024</v>
      </c>
      <c r="B11">
        <v>7</v>
      </c>
      <c r="C11" t="s">
        <v>70</v>
      </c>
      <c r="D11" t="s">
        <v>263</v>
      </c>
      <c r="E11">
        <v>1959</v>
      </c>
      <c r="F11">
        <v>972046</v>
      </c>
      <c r="G11">
        <v>967101</v>
      </c>
      <c r="H11">
        <v>620090</v>
      </c>
      <c r="I11">
        <v>1436081</v>
      </c>
      <c r="J11">
        <v>786851</v>
      </c>
      <c r="K11">
        <v>1074725</v>
      </c>
    </row>
    <row r="12" spans="1:11" x14ac:dyDescent="0.35">
      <c r="A12">
        <v>2024</v>
      </c>
      <c r="B12">
        <v>8</v>
      </c>
      <c r="C12" t="s">
        <v>71</v>
      </c>
      <c r="D12" t="s">
        <v>263</v>
      </c>
      <c r="E12">
        <v>1968</v>
      </c>
      <c r="F12">
        <v>976059</v>
      </c>
      <c r="G12">
        <v>967101</v>
      </c>
      <c r="H12">
        <v>630977</v>
      </c>
      <c r="I12">
        <v>1514138</v>
      </c>
      <c r="J12">
        <v>779599</v>
      </c>
      <c r="K12">
        <v>1082225</v>
      </c>
    </row>
    <row r="13" spans="1:11" x14ac:dyDescent="0.35">
      <c r="A13">
        <v>2024</v>
      </c>
      <c r="B13">
        <v>9</v>
      </c>
      <c r="C13" t="s">
        <v>72</v>
      </c>
      <c r="D13" t="s">
        <v>263</v>
      </c>
      <c r="E13">
        <v>1979</v>
      </c>
      <c r="F13">
        <v>974459</v>
      </c>
      <c r="G13">
        <v>967101</v>
      </c>
      <c r="H13">
        <v>630977</v>
      </c>
      <c r="I13">
        <v>1436081</v>
      </c>
      <c r="J13">
        <v>772099</v>
      </c>
      <c r="K13">
        <v>1116708</v>
      </c>
    </row>
    <row r="14" spans="1:11" x14ac:dyDescent="0.35">
      <c r="A14">
        <v>2024</v>
      </c>
      <c r="B14">
        <v>10</v>
      </c>
      <c r="C14" t="s">
        <v>73</v>
      </c>
      <c r="D14" t="s">
        <v>263</v>
      </c>
      <c r="E14">
        <v>2019</v>
      </c>
      <c r="F14">
        <v>972233</v>
      </c>
      <c r="G14">
        <v>967101</v>
      </c>
      <c r="H14">
        <v>623713</v>
      </c>
      <c r="I14">
        <v>1476407</v>
      </c>
      <c r="J14">
        <v>764599</v>
      </c>
      <c r="K14">
        <v>1082225</v>
      </c>
    </row>
    <row r="15" spans="1:11" x14ac:dyDescent="0.35">
      <c r="A15">
        <v>2024</v>
      </c>
      <c r="B15">
        <v>11</v>
      </c>
      <c r="C15" t="s">
        <v>74</v>
      </c>
      <c r="D15" t="s">
        <v>263</v>
      </c>
      <c r="E15">
        <v>2036</v>
      </c>
      <c r="F15">
        <v>968929</v>
      </c>
      <c r="G15">
        <v>961201</v>
      </c>
      <c r="H15">
        <v>623713</v>
      </c>
      <c r="I15">
        <v>1436081</v>
      </c>
      <c r="J15">
        <v>763600</v>
      </c>
      <c r="K15">
        <v>1074725</v>
      </c>
    </row>
    <row r="16" spans="1:11" x14ac:dyDescent="0.35">
      <c r="A16">
        <v>2024</v>
      </c>
      <c r="B16">
        <v>12</v>
      </c>
      <c r="C16" t="s">
        <v>75</v>
      </c>
      <c r="D16" t="s">
        <v>263</v>
      </c>
      <c r="E16">
        <v>2040</v>
      </c>
      <c r="F16">
        <v>970110</v>
      </c>
      <c r="G16">
        <v>961201</v>
      </c>
      <c r="H16">
        <v>623713</v>
      </c>
      <c r="I16">
        <v>1436081</v>
      </c>
      <c r="J16">
        <v>764353</v>
      </c>
      <c r="K16">
        <v>1074725</v>
      </c>
    </row>
    <row r="17" spans="1:11" x14ac:dyDescent="0.35">
      <c r="A17">
        <v>2025</v>
      </c>
      <c r="B17">
        <v>1</v>
      </c>
      <c r="C17" t="s">
        <v>42</v>
      </c>
      <c r="D17" t="s">
        <v>263</v>
      </c>
      <c r="E17">
        <v>1848</v>
      </c>
      <c r="F17">
        <v>969379</v>
      </c>
      <c r="G17">
        <v>961201</v>
      </c>
      <c r="H17">
        <v>630977</v>
      </c>
      <c r="I17">
        <v>1436081</v>
      </c>
      <c r="J17">
        <v>764353</v>
      </c>
      <c r="K17">
        <v>1116708</v>
      </c>
    </row>
    <row r="18" spans="1:11" x14ac:dyDescent="0.35">
      <c r="A18">
        <v>2025</v>
      </c>
      <c r="B18">
        <v>2</v>
      </c>
      <c r="C18" t="s">
        <v>63</v>
      </c>
      <c r="D18" t="s">
        <v>263</v>
      </c>
      <c r="E18">
        <v>1991</v>
      </c>
      <c r="F18">
        <v>1004775</v>
      </c>
      <c r="G18">
        <v>1011389</v>
      </c>
      <c r="H18">
        <v>623713</v>
      </c>
      <c r="I18">
        <v>1528451</v>
      </c>
      <c r="J18">
        <v>772099</v>
      </c>
      <c r="K18">
        <v>1196241</v>
      </c>
    </row>
    <row r="19" spans="1:11" x14ac:dyDescent="0.35">
      <c r="A19">
        <v>2025</v>
      </c>
      <c r="B19">
        <v>3</v>
      </c>
      <c r="C19" t="s">
        <v>66</v>
      </c>
      <c r="D19" t="s">
        <v>263</v>
      </c>
      <c r="E19">
        <v>1941</v>
      </c>
      <c r="F19">
        <v>957116</v>
      </c>
      <c r="G19">
        <v>941239</v>
      </c>
      <c r="H19">
        <v>623713</v>
      </c>
      <c r="I19">
        <v>1508539</v>
      </c>
      <c r="J19">
        <v>757099</v>
      </c>
      <c r="K19">
        <v>1059725</v>
      </c>
    </row>
    <row r="20" spans="1:11" x14ac:dyDescent="0.35">
      <c r="A20">
        <v>2025</v>
      </c>
      <c r="B20">
        <v>4</v>
      </c>
      <c r="C20" t="s">
        <v>67</v>
      </c>
      <c r="D20" t="s">
        <v>263</v>
      </c>
      <c r="E20">
        <v>2005</v>
      </c>
      <c r="F20">
        <v>1005495</v>
      </c>
      <c r="G20">
        <v>1011389</v>
      </c>
      <c r="H20">
        <v>623713</v>
      </c>
      <c r="I20">
        <v>1528451</v>
      </c>
      <c r="J20">
        <v>771189</v>
      </c>
      <c r="K20">
        <v>1196241</v>
      </c>
    </row>
    <row r="21" spans="1:11" x14ac:dyDescent="0.35">
      <c r="A21">
        <v>2025</v>
      </c>
      <c r="B21">
        <v>5</v>
      </c>
      <c r="C21" t="s">
        <v>68</v>
      </c>
      <c r="D21" t="s">
        <v>263</v>
      </c>
      <c r="E21">
        <v>2138</v>
      </c>
      <c r="F21">
        <v>967978</v>
      </c>
      <c r="G21">
        <v>936348</v>
      </c>
      <c r="H21">
        <v>623713</v>
      </c>
      <c r="I21">
        <v>1457068</v>
      </c>
      <c r="J21">
        <v>757099</v>
      </c>
      <c r="K21">
        <v>1074725</v>
      </c>
    </row>
    <row r="22" spans="1:11" x14ac:dyDescent="0.35">
      <c r="A22">
        <v>2025</v>
      </c>
      <c r="B22">
        <v>6</v>
      </c>
      <c r="C22" t="s">
        <v>69</v>
      </c>
      <c r="D22" t="s">
        <v>263</v>
      </c>
      <c r="E22">
        <v>2150</v>
      </c>
      <c r="F22">
        <v>965027</v>
      </c>
      <c r="G22">
        <v>928872</v>
      </c>
      <c r="H22">
        <v>623713</v>
      </c>
      <c r="I22">
        <v>1451081</v>
      </c>
      <c r="J22">
        <v>757099</v>
      </c>
      <c r="K22">
        <v>1067225</v>
      </c>
    </row>
    <row r="23" spans="1:11" x14ac:dyDescent="0.35">
      <c r="A23">
        <v>2025</v>
      </c>
      <c r="B23">
        <v>7</v>
      </c>
      <c r="C23" t="s">
        <v>70</v>
      </c>
      <c r="D23" t="s">
        <v>263</v>
      </c>
      <c r="E23">
        <v>2183</v>
      </c>
      <c r="F23">
        <v>965795</v>
      </c>
      <c r="G23">
        <v>927618</v>
      </c>
      <c r="H23">
        <v>623713</v>
      </c>
      <c r="I23">
        <v>1523585</v>
      </c>
      <c r="J23">
        <v>757099</v>
      </c>
      <c r="K23">
        <v>1074725</v>
      </c>
    </row>
    <row r="24" spans="1:11" x14ac:dyDescent="0.35">
      <c r="A24">
        <v>2025</v>
      </c>
      <c r="B24">
        <v>8</v>
      </c>
      <c r="C24" t="s">
        <v>71</v>
      </c>
      <c r="D24" t="s">
        <v>263</v>
      </c>
      <c r="E24">
        <v>2204</v>
      </c>
      <c r="F24">
        <v>966686</v>
      </c>
      <c r="G24">
        <v>928848</v>
      </c>
      <c r="H24">
        <v>623713</v>
      </c>
      <c r="I24">
        <v>1529212</v>
      </c>
      <c r="J24">
        <v>757099</v>
      </c>
      <c r="K24">
        <v>1074725</v>
      </c>
    </row>
    <row r="25" spans="1:11" x14ac:dyDescent="0.35">
      <c r="A25">
        <v>2025</v>
      </c>
      <c r="B25">
        <v>9</v>
      </c>
      <c r="C25" t="s">
        <v>72</v>
      </c>
      <c r="D25" t="s">
        <v>263</v>
      </c>
      <c r="E25">
        <v>2241</v>
      </c>
      <c r="F25">
        <v>967705</v>
      </c>
      <c r="G25">
        <v>928897</v>
      </c>
      <c r="H25">
        <v>616213</v>
      </c>
      <c r="I25">
        <v>1451081</v>
      </c>
      <c r="J25">
        <v>757099</v>
      </c>
      <c r="K25">
        <v>1099723</v>
      </c>
    </row>
    <row r="26" spans="1:11" x14ac:dyDescent="0.35">
      <c r="A26">
        <v>2025</v>
      </c>
      <c r="B26">
        <v>10</v>
      </c>
      <c r="C26" t="s">
        <v>73</v>
      </c>
      <c r="D26" t="s">
        <v>263</v>
      </c>
      <c r="E26">
        <v>2242</v>
      </c>
      <c r="F26">
        <v>967646</v>
      </c>
      <c r="G26">
        <v>928848</v>
      </c>
      <c r="H26">
        <v>616213</v>
      </c>
      <c r="I26">
        <v>1459353</v>
      </c>
      <c r="J26">
        <v>757099</v>
      </c>
      <c r="K26">
        <v>1082225</v>
      </c>
    </row>
    <row r="27" spans="1:11" x14ac:dyDescent="0.35">
      <c r="A27">
        <v>2025</v>
      </c>
      <c r="B27">
        <v>11</v>
      </c>
      <c r="C27" t="s">
        <v>74</v>
      </c>
      <c r="D27" t="s">
        <v>263</v>
      </c>
      <c r="E27">
        <v>2304</v>
      </c>
      <c r="F27">
        <v>983829</v>
      </c>
      <c r="G27">
        <v>941238</v>
      </c>
      <c r="H27">
        <v>616213</v>
      </c>
      <c r="I27">
        <v>1506425</v>
      </c>
      <c r="J27">
        <v>764709</v>
      </c>
      <c r="K27">
        <v>1196241</v>
      </c>
    </row>
    <row r="28" spans="1:11" x14ac:dyDescent="0.35">
      <c r="A28">
        <v>2025</v>
      </c>
      <c r="B28">
        <v>12</v>
      </c>
      <c r="C28" t="s">
        <v>75</v>
      </c>
      <c r="D28" t="s">
        <v>263</v>
      </c>
      <c r="E28">
        <v>2302</v>
      </c>
      <c r="F28">
        <v>970228</v>
      </c>
      <c r="G28">
        <v>933739</v>
      </c>
      <c r="H28">
        <v>616213</v>
      </c>
      <c r="I28">
        <v>1451081</v>
      </c>
      <c r="J28">
        <v>764599</v>
      </c>
      <c r="K28">
        <v>1099723</v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265</v>
      </c>
      <c r="E5">
        <v>2500</v>
      </c>
      <c r="F5">
        <v>257173</v>
      </c>
      <c r="G5">
        <v>247243</v>
      </c>
      <c r="H5">
        <v>229743</v>
      </c>
      <c r="I5">
        <v>353758</v>
      </c>
      <c r="J5">
        <v>239743</v>
      </c>
      <c r="K5">
        <v>269743</v>
      </c>
    </row>
    <row r="6" spans="1:11" x14ac:dyDescent="0.35">
      <c r="A6">
        <v>2024</v>
      </c>
      <c r="B6">
        <v>2</v>
      </c>
      <c r="C6" t="s">
        <v>63</v>
      </c>
      <c r="D6" t="s">
        <v>265</v>
      </c>
      <c r="E6">
        <v>2581</v>
      </c>
      <c r="F6">
        <v>257666</v>
      </c>
      <c r="G6">
        <v>247243</v>
      </c>
      <c r="H6">
        <v>229743</v>
      </c>
      <c r="I6">
        <v>353758</v>
      </c>
      <c r="J6">
        <v>239190</v>
      </c>
      <c r="K6">
        <v>271959</v>
      </c>
    </row>
    <row r="7" spans="1:11" x14ac:dyDescent="0.35">
      <c r="A7">
        <v>2024</v>
      </c>
      <c r="B7">
        <v>3</v>
      </c>
      <c r="C7" t="s">
        <v>66</v>
      </c>
      <c r="D7" t="s">
        <v>265</v>
      </c>
      <c r="E7">
        <v>2727</v>
      </c>
      <c r="F7">
        <v>255922</v>
      </c>
      <c r="G7">
        <v>247243</v>
      </c>
      <c r="H7">
        <v>229743</v>
      </c>
      <c r="I7">
        <v>353758</v>
      </c>
      <c r="J7">
        <v>234743</v>
      </c>
      <c r="K7">
        <v>268672</v>
      </c>
    </row>
    <row r="8" spans="1:11" x14ac:dyDescent="0.35">
      <c r="A8">
        <v>2024</v>
      </c>
      <c r="B8">
        <v>4</v>
      </c>
      <c r="C8" t="s">
        <v>67</v>
      </c>
      <c r="D8" t="s">
        <v>265</v>
      </c>
      <c r="E8">
        <v>2770</v>
      </c>
      <c r="F8">
        <v>256833</v>
      </c>
      <c r="G8">
        <v>247797</v>
      </c>
      <c r="H8">
        <v>229743</v>
      </c>
      <c r="I8">
        <v>353938</v>
      </c>
      <c r="J8">
        <v>237797</v>
      </c>
      <c r="K8">
        <v>268383</v>
      </c>
    </row>
    <row r="9" spans="1:11" x14ac:dyDescent="0.35">
      <c r="A9">
        <v>2024</v>
      </c>
      <c r="B9">
        <v>5</v>
      </c>
      <c r="C9" t="s">
        <v>68</v>
      </c>
      <c r="D9" t="s">
        <v>265</v>
      </c>
      <c r="E9">
        <v>2807</v>
      </c>
      <c r="F9">
        <v>256614</v>
      </c>
      <c r="G9">
        <v>247797</v>
      </c>
      <c r="H9">
        <v>229743</v>
      </c>
      <c r="I9">
        <v>352343</v>
      </c>
      <c r="J9">
        <v>239190</v>
      </c>
      <c r="K9">
        <v>266824</v>
      </c>
    </row>
    <row r="10" spans="1:11" x14ac:dyDescent="0.35">
      <c r="A10">
        <v>2024</v>
      </c>
      <c r="B10">
        <v>6</v>
      </c>
      <c r="C10" t="s">
        <v>69</v>
      </c>
      <c r="D10" t="s">
        <v>265</v>
      </c>
      <c r="E10">
        <v>2874</v>
      </c>
      <c r="F10">
        <v>256845</v>
      </c>
      <c r="G10">
        <v>247797</v>
      </c>
      <c r="H10">
        <v>229743</v>
      </c>
      <c r="I10">
        <v>354944</v>
      </c>
      <c r="J10">
        <v>239743</v>
      </c>
      <c r="K10">
        <v>266590</v>
      </c>
    </row>
    <row r="11" spans="1:11" x14ac:dyDescent="0.35">
      <c r="A11">
        <v>2024</v>
      </c>
      <c r="B11">
        <v>7</v>
      </c>
      <c r="C11" t="s">
        <v>70</v>
      </c>
      <c r="D11" t="s">
        <v>265</v>
      </c>
      <c r="E11">
        <v>2931</v>
      </c>
      <c r="F11">
        <v>256975</v>
      </c>
      <c r="G11">
        <v>247797</v>
      </c>
      <c r="H11">
        <v>229743</v>
      </c>
      <c r="I11">
        <v>351628</v>
      </c>
      <c r="J11">
        <v>239743</v>
      </c>
      <c r="K11">
        <v>266590</v>
      </c>
    </row>
    <row r="12" spans="1:11" x14ac:dyDescent="0.35">
      <c r="A12">
        <v>2024</v>
      </c>
      <c r="B12">
        <v>8</v>
      </c>
      <c r="C12" t="s">
        <v>71</v>
      </c>
      <c r="D12" t="s">
        <v>265</v>
      </c>
      <c r="E12">
        <v>2984</v>
      </c>
      <c r="F12">
        <v>257927</v>
      </c>
      <c r="G12">
        <v>247797</v>
      </c>
      <c r="H12">
        <v>229743</v>
      </c>
      <c r="I12">
        <v>353643</v>
      </c>
      <c r="J12">
        <v>239743</v>
      </c>
      <c r="K12">
        <v>266824</v>
      </c>
    </row>
    <row r="13" spans="1:11" x14ac:dyDescent="0.35">
      <c r="A13">
        <v>2024</v>
      </c>
      <c r="B13">
        <v>9</v>
      </c>
      <c r="C13" t="s">
        <v>72</v>
      </c>
      <c r="D13" t="s">
        <v>265</v>
      </c>
      <c r="E13">
        <v>3077</v>
      </c>
      <c r="F13">
        <v>256377</v>
      </c>
      <c r="G13">
        <v>247797</v>
      </c>
      <c r="H13">
        <v>229743</v>
      </c>
      <c r="I13">
        <v>351628</v>
      </c>
      <c r="J13">
        <v>239190</v>
      </c>
      <c r="K13">
        <v>264743</v>
      </c>
    </row>
    <row r="14" spans="1:11" x14ac:dyDescent="0.35">
      <c r="A14">
        <v>2024</v>
      </c>
      <c r="B14">
        <v>10</v>
      </c>
      <c r="C14" t="s">
        <v>73</v>
      </c>
      <c r="D14" t="s">
        <v>265</v>
      </c>
      <c r="E14">
        <v>3094</v>
      </c>
      <c r="F14">
        <v>255877</v>
      </c>
      <c r="G14">
        <v>247797</v>
      </c>
      <c r="H14">
        <v>229743</v>
      </c>
      <c r="I14">
        <v>348389</v>
      </c>
      <c r="J14">
        <v>239190</v>
      </c>
      <c r="K14">
        <v>262797</v>
      </c>
    </row>
    <row r="15" spans="1:11" x14ac:dyDescent="0.35">
      <c r="A15">
        <v>2024</v>
      </c>
      <c r="B15">
        <v>11</v>
      </c>
      <c r="C15" t="s">
        <v>74</v>
      </c>
      <c r="D15" t="s">
        <v>265</v>
      </c>
      <c r="E15">
        <v>3095</v>
      </c>
      <c r="F15">
        <v>255961</v>
      </c>
      <c r="G15">
        <v>247797</v>
      </c>
      <c r="H15">
        <v>229743</v>
      </c>
      <c r="I15">
        <v>348758</v>
      </c>
      <c r="J15">
        <v>239190</v>
      </c>
      <c r="K15">
        <v>262797</v>
      </c>
    </row>
    <row r="16" spans="1:11" x14ac:dyDescent="0.35">
      <c r="A16">
        <v>2024</v>
      </c>
      <c r="B16">
        <v>12</v>
      </c>
      <c r="C16" t="s">
        <v>75</v>
      </c>
      <c r="D16" t="s">
        <v>265</v>
      </c>
      <c r="E16">
        <v>3103</v>
      </c>
      <c r="F16">
        <v>255892</v>
      </c>
      <c r="G16">
        <v>247797</v>
      </c>
      <c r="H16">
        <v>229743</v>
      </c>
      <c r="I16">
        <v>348758</v>
      </c>
      <c r="J16">
        <v>239190</v>
      </c>
      <c r="K16">
        <v>262797</v>
      </c>
    </row>
    <row r="17" spans="1:11" x14ac:dyDescent="0.35">
      <c r="A17">
        <v>2025</v>
      </c>
      <c r="B17">
        <v>1</v>
      </c>
      <c r="C17" t="s">
        <v>42</v>
      </c>
      <c r="D17" t="s">
        <v>265</v>
      </c>
      <c r="E17">
        <v>3125</v>
      </c>
      <c r="F17">
        <v>256435</v>
      </c>
      <c r="G17">
        <v>247797</v>
      </c>
      <c r="H17">
        <v>229743</v>
      </c>
      <c r="I17">
        <v>354128</v>
      </c>
      <c r="J17">
        <v>239743</v>
      </c>
      <c r="K17">
        <v>262797</v>
      </c>
    </row>
    <row r="18" spans="1:11" x14ac:dyDescent="0.35">
      <c r="A18">
        <v>2025</v>
      </c>
      <c r="B18">
        <v>2</v>
      </c>
      <c r="C18" t="s">
        <v>63</v>
      </c>
      <c r="D18" t="s">
        <v>265</v>
      </c>
      <c r="E18">
        <v>3257</v>
      </c>
      <c r="F18">
        <v>256102</v>
      </c>
      <c r="G18">
        <v>247797</v>
      </c>
      <c r="H18">
        <v>229743</v>
      </c>
      <c r="I18">
        <v>354128</v>
      </c>
      <c r="J18">
        <v>239743</v>
      </c>
      <c r="K18">
        <v>262797</v>
      </c>
    </row>
    <row r="19" spans="1:11" x14ac:dyDescent="0.35">
      <c r="A19">
        <v>2025</v>
      </c>
      <c r="B19">
        <v>3</v>
      </c>
      <c r="C19" t="s">
        <v>66</v>
      </c>
      <c r="D19" t="s">
        <v>265</v>
      </c>
      <c r="E19">
        <v>3347</v>
      </c>
      <c r="F19">
        <v>255540</v>
      </c>
      <c r="G19">
        <v>247243</v>
      </c>
      <c r="H19">
        <v>229743</v>
      </c>
      <c r="I19">
        <v>354128</v>
      </c>
      <c r="J19">
        <v>239743</v>
      </c>
      <c r="K19">
        <v>262797</v>
      </c>
    </row>
    <row r="20" spans="1:11" x14ac:dyDescent="0.35">
      <c r="A20">
        <v>2025</v>
      </c>
      <c r="B20">
        <v>4</v>
      </c>
      <c r="C20" t="s">
        <v>67</v>
      </c>
      <c r="D20" t="s">
        <v>265</v>
      </c>
      <c r="E20">
        <v>3257</v>
      </c>
      <c r="F20">
        <v>256102</v>
      </c>
      <c r="G20">
        <v>247797</v>
      </c>
      <c r="H20">
        <v>229743</v>
      </c>
      <c r="I20">
        <v>354128</v>
      </c>
      <c r="J20">
        <v>239743</v>
      </c>
      <c r="K20">
        <v>262797</v>
      </c>
    </row>
    <row r="21" spans="1:11" x14ac:dyDescent="0.35">
      <c r="A21">
        <v>2025</v>
      </c>
      <c r="B21">
        <v>5</v>
      </c>
      <c r="C21" t="s">
        <v>68</v>
      </c>
      <c r="D21" t="s">
        <v>265</v>
      </c>
      <c r="E21">
        <v>3491</v>
      </c>
      <c r="F21">
        <v>255008</v>
      </c>
      <c r="G21">
        <v>247243</v>
      </c>
      <c r="H21">
        <v>229743</v>
      </c>
      <c r="I21">
        <v>354128</v>
      </c>
      <c r="J21">
        <v>239743</v>
      </c>
      <c r="K21">
        <v>262797</v>
      </c>
    </row>
    <row r="22" spans="1:11" x14ac:dyDescent="0.35">
      <c r="A22">
        <v>2025</v>
      </c>
      <c r="B22">
        <v>6</v>
      </c>
      <c r="C22" t="s">
        <v>69</v>
      </c>
      <c r="D22" t="s">
        <v>265</v>
      </c>
      <c r="E22">
        <v>3617</v>
      </c>
      <c r="F22">
        <v>256914</v>
      </c>
      <c r="G22">
        <v>247797</v>
      </c>
      <c r="H22">
        <v>229743</v>
      </c>
      <c r="I22">
        <v>354128</v>
      </c>
      <c r="J22">
        <v>239743</v>
      </c>
      <c r="K22">
        <v>265297</v>
      </c>
    </row>
    <row r="23" spans="1:11" x14ac:dyDescent="0.35">
      <c r="A23">
        <v>2025</v>
      </c>
      <c r="B23">
        <v>7</v>
      </c>
      <c r="C23" t="s">
        <v>70</v>
      </c>
      <c r="D23" t="s">
        <v>265</v>
      </c>
      <c r="E23">
        <v>3645</v>
      </c>
      <c r="F23">
        <v>256786</v>
      </c>
      <c r="G23">
        <v>247797</v>
      </c>
      <c r="H23">
        <v>229743</v>
      </c>
      <c r="I23">
        <v>354128</v>
      </c>
      <c r="J23">
        <v>239743</v>
      </c>
      <c r="K23">
        <v>264743</v>
      </c>
    </row>
    <row r="24" spans="1:11" x14ac:dyDescent="0.35">
      <c r="A24">
        <v>2025</v>
      </c>
      <c r="B24">
        <v>8</v>
      </c>
      <c r="C24" t="s">
        <v>71</v>
      </c>
      <c r="D24" t="s">
        <v>265</v>
      </c>
      <c r="E24">
        <v>3686</v>
      </c>
      <c r="F24">
        <v>257461</v>
      </c>
      <c r="G24">
        <v>247797</v>
      </c>
      <c r="H24">
        <v>229743</v>
      </c>
      <c r="I24">
        <v>354128</v>
      </c>
      <c r="J24">
        <v>239743</v>
      </c>
      <c r="K24">
        <v>264743</v>
      </c>
    </row>
    <row r="25" spans="1:11" x14ac:dyDescent="0.35">
      <c r="A25">
        <v>2025</v>
      </c>
      <c r="B25">
        <v>9</v>
      </c>
      <c r="C25" t="s">
        <v>72</v>
      </c>
      <c r="D25" t="s">
        <v>265</v>
      </c>
      <c r="E25">
        <v>3698</v>
      </c>
      <c r="F25">
        <v>255759</v>
      </c>
      <c r="G25">
        <v>247797</v>
      </c>
      <c r="H25">
        <v>229743</v>
      </c>
      <c r="I25">
        <v>354128</v>
      </c>
      <c r="J25">
        <v>239743</v>
      </c>
      <c r="K25">
        <v>262797</v>
      </c>
    </row>
    <row r="26" spans="1:11" x14ac:dyDescent="0.35">
      <c r="A26">
        <v>2025</v>
      </c>
      <c r="B26">
        <v>10</v>
      </c>
      <c r="C26" t="s">
        <v>73</v>
      </c>
      <c r="D26" t="s">
        <v>265</v>
      </c>
      <c r="E26">
        <v>3716</v>
      </c>
      <c r="F26">
        <v>255841</v>
      </c>
      <c r="G26">
        <v>247797</v>
      </c>
      <c r="H26">
        <v>229743</v>
      </c>
      <c r="I26">
        <v>350839</v>
      </c>
      <c r="J26">
        <v>239743</v>
      </c>
      <c r="K26">
        <v>262797</v>
      </c>
    </row>
    <row r="27" spans="1:11" x14ac:dyDescent="0.35">
      <c r="A27">
        <v>2025</v>
      </c>
      <c r="B27">
        <v>11</v>
      </c>
      <c r="C27" t="s">
        <v>74</v>
      </c>
      <c r="D27" t="s">
        <v>265</v>
      </c>
      <c r="E27">
        <v>3749</v>
      </c>
      <c r="F27">
        <v>255851</v>
      </c>
      <c r="G27">
        <v>247797</v>
      </c>
      <c r="H27">
        <v>229743</v>
      </c>
      <c r="I27">
        <v>350839</v>
      </c>
      <c r="J27">
        <v>239743</v>
      </c>
      <c r="K27">
        <v>262797</v>
      </c>
    </row>
    <row r="28" spans="1:11" x14ac:dyDescent="0.35">
      <c r="A28">
        <v>2025</v>
      </c>
      <c r="B28">
        <v>12</v>
      </c>
      <c r="C28" t="s">
        <v>75</v>
      </c>
      <c r="D28" t="s">
        <v>265</v>
      </c>
      <c r="E28">
        <v>3764</v>
      </c>
      <c r="F28">
        <v>255970</v>
      </c>
      <c r="G28">
        <v>247797</v>
      </c>
      <c r="H28">
        <v>229743</v>
      </c>
      <c r="I28">
        <v>350839</v>
      </c>
      <c r="J28">
        <v>239743</v>
      </c>
      <c r="K28">
        <v>262797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266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267</v>
      </c>
      <c r="E5">
        <v>103233</v>
      </c>
      <c r="F5">
        <v>392757</v>
      </c>
      <c r="G5">
        <v>396295</v>
      </c>
      <c r="H5">
        <v>260063</v>
      </c>
      <c r="I5">
        <v>584648</v>
      </c>
      <c r="J5">
        <v>313486</v>
      </c>
      <c r="K5">
        <v>440544</v>
      </c>
    </row>
    <row r="6" spans="1:11" x14ac:dyDescent="0.35">
      <c r="A6">
        <v>2024</v>
      </c>
      <c r="B6">
        <v>2</v>
      </c>
      <c r="C6" t="s">
        <v>63</v>
      </c>
      <c r="D6" t="s">
        <v>267</v>
      </c>
      <c r="E6">
        <v>103199</v>
      </c>
      <c r="F6">
        <v>394564</v>
      </c>
      <c r="G6">
        <v>397540</v>
      </c>
      <c r="H6">
        <v>260064</v>
      </c>
      <c r="I6">
        <v>584961</v>
      </c>
      <c r="J6">
        <v>313942</v>
      </c>
      <c r="K6">
        <v>444526</v>
      </c>
    </row>
    <row r="7" spans="1:11" x14ac:dyDescent="0.35">
      <c r="A7">
        <v>2024</v>
      </c>
      <c r="B7">
        <v>3</v>
      </c>
      <c r="C7" t="s">
        <v>66</v>
      </c>
      <c r="D7" t="s">
        <v>267</v>
      </c>
      <c r="E7">
        <v>103867</v>
      </c>
      <c r="F7">
        <v>393796</v>
      </c>
      <c r="G7">
        <v>397540</v>
      </c>
      <c r="H7">
        <v>260064</v>
      </c>
      <c r="I7">
        <v>584648</v>
      </c>
      <c r="J7">
        <v>318019</v>
      </c>
      <c r="K7">
        <v>443044</v>
      </c>
    </row>
    <row r="8" spans="1:11" x14ac:dyDescent="0.35">
      <c r="A8">
        <v>2024</v>
      </c>
      <c r="B8">
        <v>4</v>
      </c>
      <c r="C8" t="s">
        <v>67</v>
      </c>
      <c r="D8" t="s">
        <v>267</v>
      </c>
      <c r="E8">
        <v>104577</v>
      </c>
      <c r="F8">
        <v>391598</v>
      </c>
      <c r="G8">
        <v>394904</v>
      </c>
      <c r="H8">
        <v>260063</v>
      </c>
      <c r="I8">
        <v>584648</v>
      </c>
      <c r="J8">
        <v>313942</v>
      </c>
      <c r="K8">
        <v>438229</v>
      </c>
    </row>
    <row r="9" spans="1:11" x14ac:dyDescent="0.35">
      <c r="A9">
        <v>2024</v>
      </c>
      <c r="B9">
        <v>5</v>
      </c>
      <c r="C9" t="s">
        <v>68</v>
      </c>
      <c r="D9" t="s">
        <v>267</v>
      </c>
      <c r="E9">
        <v>104316</v>
      </c>
      <c r="F9">
        <v>391860</v>
      </c>
      <c r="G9">
        <v>394208</v>
      </c>
      <c r="H9">
        <v>260063</v>
      </c>
      <c r="I9">
        <v>584779</v>
      </c>
      <c r="J9">
        <v>314080</v>
      </c>
      <c r="K9">
        <v>438044</v>
      </c>
    </row>
    <row r="10" spans="1:11" x14ac:dyDescent="0.35">
      <c r="A10">
        <v>2024</v>
      </c>
      <c r="B10">
        <v>6</v>
      </c>
      <c r="C10" t="s">
        <v>69</v>
      </c>
      <c r="D10" t="s">
        <v>267</v>
      </c>
      <c r="E10">
        <v>104565</v>
      </c>
      <c r="F10">
        <v>392009</v>
      </c>
      <c r="G10">
        <v>394904</v>
      </c>
      <c r="H10">
        <v>259793</v>
      </c>
      <c r="I10">
        <v>584914</v>
      </c>
      <c r="J10">
        <v>313942</v>
      </c>
      <c r="K10">
        <v>438044</v>
      </c>
    </row>
    <row r="11" spans="1:11" x14ac:dyDescent="0.35">
      <c r="A11">
        <v>2024</v>
      </c>
      <c r="B11">
        <v>7</v>
      </c>
      <c r="C11" t="s">
        <v>70</v>
      </c>
      <c r="D11" t="s">
        <v>267</v>
      </c>
      <c r="E11">
        <v>104739</v>
      </c>
      <c r="F11">
        <v>391536</v>
      </c>
      <c r="G11">
        <v>394904</v>
      </c>
      <c r="H11">
        <v>259793</v>
      </c>
      <c r="I11">
        <v>584648</v>
      </c>
      <c r="J11">
        <v>313942</v>
      </c>
      <c r="K11">
        <v>438044</v>
      </c>
    </row>
    <row r="12" spans="1:11" x14ac:dyDescent="0.35">
      <c r="A12">
        <v>2024</v>
      </c>
      <c r="B12">
        <v>8</v>
      </c>
      <c r="C12" t="s">
        <v>71</v>
      </c>
      <c r="D12" t="s">
        <v>267</v>
      </c>
      <c r="E12">
        <v>105463</v>
      </c>
      <c r="F12">
        <v>394013</v>
      </c>
      <c r="G12">
        <v>394904</v>
      </c>
      <c r="H12">
        <v>259793</v>
      </c>
      <c r="I12">
        <v>584726</v>
      </c>
      <c r="J12">
        <v>313942</v>
      </c>
      <c r="K12">
        <v>441936</v>
      </c>
    </row>
    <row r="13" spans="1:11" x14ac:dyDescent="0.35">
      <c r="A13">
        <v>2024</v>
      </c>
      <c r="B13">
        <v>9</v>
      </c>
      <c r="C13" t="s">
        <v>72</v>
      </c>
      <c r="D13" t="s">
        <v>267</v>
      </c>
      <c r="E13">
        <v>105994</v>
      </c>
      <c r="F13">
        <v>391363</v>
      </c>
      <c r="G13">
        <v>392404</v>
      </c>
      <c r="H13">
        <v>259793</v>
      </c>
      <c r="I13">
        <v>584648</v>
      </c>
      <c r="J13">
        <v>313942</v>
      </c>
      <c r="K13">
        <v>438229</v>
      </c>
    </row>
    <row r="14" spans="1:11" x14ac:dyDescent="0.35">
      <c r="A14">
        <v>2024</v>
      </c>
      <c r="B14">
        <v>10</v>
      </c>
      <c r="C14" t="s">
        <v>73</v>
      </c>
      <c r="D14" t="s">
        <v>267</v>
      </c>
      <c r="E14">
        <v>105730</v>
      </c>
      <c r="F14">
        <v>392566</v>
      </c>
      <c r="G14">
        <v>398143</v>
      </c>
      <c r="H14">
        <v>259793</v>
      </c>
      <c r="I14">
        <v>584648</v>
      </c>
      <c r="J14">
        <v>313252</v>
      </c>
      <c r="K14">
        <v>439436</v>
      </c>
    </row>
    <row r="15" spans="1:11" x14ac:dyDescent="0.35">
      <c r="A15">
        <v>2024</v>
      </c>
      <c r="B15">
        <v>11</v>
      </c>
      <c r="C15" t="s">
        <v>74</v>
      </c>
      <c r="D15" t="s">
        <v>267</v>
      </c>
      <c r="E15">
        <v>105318</v>
      </c>
      <c r="F15">
        <v>392595</v>
      </c>
      <c r="G15">
        <v>398426</v>
      </c>
      <c r="H15">
        <v>259793</v>
      </c>
      <c r="I15">
        <v>584647</v>
      </c>
      <c r="J15">
        <v>313252</v>
      </c>
      <c r="K15">
        <v>439436</v>
      </c>
    </row>
    <row r="16" spans="1:11" x14ac:dyDescent="0.35">
      <c r="A16">
        <v>2024</v>
      </c>
      <c r="B16">
        <v>12</v>
      </c>
      <c r="C16" t="s">
        <v>75</v>
      </c>
      <c r="D16" t="s">
        <v>267</v>
      </c>
      <c r="E16">
        <v>105331</v>
      </c>
      <c r="F16">
        <v>392499</v>
      </c>
      <c r="G16">
        <v>398426</v>
      </c>
      <c r="H16">
        <v>259793</v>
      </c>
      <c r="I16">
        <v>584647</v>
      </c>
      <c r="J16">
        <v>313252</v>
      </c>
      <c r="K16">
        <v>439436</v>
      </c>
    </row>
    <row r="17" spans="1:11" x14ac:dyDescent="0.35">
      <c r="A17">
        <v>2025</v>
      </c>
      <c r="B17">
        <v>1</v>
      </c>
      <c r="C17" t="s">
        <v>42</v>
      </c>
      <c r="D17" t="s">
        <v>267</v>
      </c>
      <c r="E17">
        <v>103582</v>
      </c>
      <c r="F17">
        <v>392556</v>
      </c>
      <c r="G17">
        <v>402540</v>
      </c>
      <c r="H17">
        <v>259793</v>
      </c>
      <c r="I17">
        <v>584647</v>
      </c>
      <c r="J17">
        <v>313252</v>
      </c>
      <c r="K17">
        <v>440040</v>
      </c>
    </row>
    <row r="18" spans="1:11" x14ac:dyDescent="0.35">
      <c r="A18">
        <v>2025</v>
      </c>
      <c r="B18">
        <v>2</v>
      </c>
      <c r="C18" t="s">
        <v>63</v>
      </c>
      <c r="D18" t="s">
        <v>267</v>
      </c>
      <c r="E18">
        <v>105233</v>
      </c>
      <c r="F18">
        <v>392545</v>
      </c>
      <c r="G18">
        <v>397540</v>
      </c>
      <c r="H18">
        <v>259793</v>
      </c>
      <c r="I18">
        <v>584647</v>
      </c>
      <c r="J18">
        <v>313486</v>
      </c>
      <c r="K18">
        <v>439436</v>
      </c>
    </row>
    <row r="19" spans="1:11" x14ac:dyDescent="0.35">
      <c r="A19">
        <v>2025</v>
      </c>
      <c r="B19">
        <v>3</v>
      </c>
      <c r="C19" t="s">
        <v>66</v>
      </c>
      <c r="D19" t="s">
        <v>267</v>
      </c>
      <c r="E19">
        <v>107037</v>
      </c>
      <c r="F19">
        <v>390302</v>
      </c>
      <c r="G19">
        <v>397540</v>
      </c>
      <c r="H19">
        <v>259793</v>
      </c>
      <c r="I19">
        <v>584647</v>
      </c>
      <c r="J19">
        <v>313252</v>
      </c>
      <c r="K19">
        <v>436936</v>
      </c>
    </row>
    <row r="20" spans="1:11" x14ac:dyDescent="0.35">
      <c r="A20">
        <v>2025</v>
      </c>
      <c r="B20">
        <v>4</v>
      </c>
      <c r="C20" t="s">
        <v>67</v>
      </c>
      <c r="D20" t="s">
        <v>267</v>
      </c>
      <c r="E20">
        <v>105207</v>
      </c>
      <c r="F20">
        <v>392526</v>
      </c>
      <c r="G20">
        <v>397540</v>
      </c>
      <c r="H20">
        <v>259793</v>
      </c>
      <c r="I20">
        <v>584647</v>
      </c>
      <c r="J20">
        <v>313486</v>
      </c>
      <c r="K20">
        <v>439436</v>
      </c>
    </row>
    <row r="21" spans="1:11" x14ac:dyDescent="0.35">
      <c r="A21">
        <v>2025</v>
      </c>
      <c r="B21">
        <v>5</v>
      </c>
      <c r="C21" t="s">
        <v>68</v>
      </c>
      <c r="D21" t="s">
        <v>267</v>
      </c>
      <c r="E21">
        <v>106763</v>
      </c>
      <c r="F21">
        <v>399454</v>
      </c>
      <c r="G21">
        <v>398143</v>
      </c>
      <c r="H21">
        <v>259793</v>
      </c>
      <c r="I21">
        <v>584893</v>
      </c>
      <c r="J21">
        <v>310752</v>
      </c>
      <c r="K21">
        <v>474523</v>
      </c>
    </row>
    <row r="22" spans="1:11" x14ac:dyDescent="0.35">
      <c r="A22">
        <v>2025</v>
      </c>
      <c r="B22">
        <v>6</v>
      </c>
      <c r="C22" t="s">
        <v>69</v>
      </c>
      <c r="D22" t="s">
        <v>267</v>
      </c>
      <c r="E22">
        <v>109761</v>
      </c>
      <c r="F22">
        <v>387804</v>
      </c>
      <c r="G22">
        <v>397540</v>
      </c>
      <c r="H22">
        <v>259793</v>
      </c>
      <c r="I22">
        <v>584793</v>
      </c>
      <c r="J22">
        <v>310519</v>
      </c>
      <c r="K22">
        <v>435040</v>
      </c>
    </row>
    <row r="23" spans="1:11" x14ac:dyDescent="0.35">
      <c r="A23">
        <v>2025</v>
      </c>
      <c r="B23">
        <v>7</v>
      </c>
      <c r="C23" t="s">
        <v>70</v>
      </c>
      <c r="D23" t="s">
        <v>267</v>
      </c>
      <c r="E23">
        <v>109692</v>
      </c>
      <c r="F23">
        <v>386731</v>
      </c>
      <c r="G23">
        <v>394904</v>
      </c>
      <c r="H23">
        <v>259793</v>
      </c>
      <c r="I23">
        <v>584647</v>
      </c>
      <c r="J23">
        <v>308942</v>
      </c>
      <c r="K23">
        <v>433143</v>
      </c>
    </row>
    <row r="24" spans="1:11" x14ac:dyDescent="0.35">
      <c r="A24">
        <v>2025</v>
      </c>
      <c r="B24">
        <v>8</v>
      </c>
      <c r="C24" t="s">
        <v>71</v>
      </c>
      <c r="D24" t="s">
        <v>267</v>
      </c>
      <c r="E24">
        <v>109009</v>
      </c>
      <c r="F24">
        <v>386466</v>
      </c>
      <c r="G24">
        <v>393426</v>
      </c>
      <c r="H24">
        <v>259793</v>
      </c>
      <c r="I24">
        <v>584647</v>
      </c>
      <c r="J24">
        <v>308942</v>
      </c>
      <c r="K24">
        <v>432540</v>
      </c>
    </row>
    <row r="25" spans="1:11" x14ac:dyDescent="0.35">
      <c r="A25">
        <v>2025</v>
      </c>
      <c r="B25">
        <v>9</v>
      </c>
      <c r="C25" t="s">
        <v>72</v>
      </c>
      <c r="D25" t="s">
        <v>267</v>
      </c>
      <c r="E25">
        <v>108731</v>
      </c>
      <c r="F25">
        <v>386512</v>
      </c>
      <c r="G25">
        <v>392404</v>
      </c>
      <c r="H25">
        <v>260063</v>
      </c>
      <c r="I25">
        <v>584647</v>
      </c>
      <c r="J25">
        <v>308252</v>
      </c>
      <c r="K25">
        <v>433229</v>
      </c>
    </row>
    <row r="26" spans="1:11" x14ac:dyDescent="0.35">
      <c r="A26">
        <v>2025</v>
      </c>
      <c r="B26">
        <v>10</v>
      </c>
      <c r="C26" t="s">
        <v>73</v>
      </c>
      <c r="D26" t="s">
        <v>267</v>
      </c>
      <c r="E26">
        <v>108778</v>
      </c>
      <c r="F26">
        <v>387747</v>
      </c>
      <c r="G26">
        <v>393143</v>
      </c>
      <c r="H26">
        <v>260063</v>
      </c>
      <c r="I26">
        <v>584647</v>
      </c>
      <c r="J26">
        <v>308252</v>
      </c>
      <c r="K26">
        <v>438229</v>
      </c>
    </row>
    <row r="27" spans="1:11" x14ac:dyDescent="0.35">
      <c r="A27">
        <v>2025</v>
      </c>
      <c r="B27">
        <v>11</v>
      </c>
      <c r="C27" t="s">
        <v>74</v>
      </c>
      <c r="D27" t="s">
        <v>267</v>
      </c>
      <c r="E27">
        <v>108900</v>
      </c>
      <c r="F27">
        <v>387704</v>
      </c>
      <c r="G27">
        <v>392404</v>
      </c>
      <c r="H27">
        <v>260063</v>
      </c>
      <c r="I27">
        <v>584647</v>
      </c>
      <c r="J27">
        <v>308019</v>
      </c>
      <c r="K27">
        <v>438229</v>
      </c>
    </row>
    <row r="28" spans="1:11" x14ac:dyDescent="0.35">
      <c r="A28">
        <v>2025</v>
      </c>
      <c r="B28">
        <v>12</v>
      </c>
      <c r="C28" t="s">
        <v>75</v>
      </c>
      <c r="D28" t="s">
        <v>267</v>
      </c>
      <c r="E28">
        <v>108510</v>
      </c>
      <c r="F28">
        <v>387762</v>
      </c>
      <c r="G28">
        <v>392404</v>
      </c>
      <c r="H28">
        <v>260063</v>
      </c>
      <c r="I28">
        <v>584647</v>
      </c>
      <c r="J28">
        <v>308019</v>
      </c>
      <c r="K28">
        <v>439017</v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268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269</v>
      </c>
      <c r="E5">
        <v>11552</v>
      </c>
      <c r="F5">
        <v>230452</v>
      </c>
      <c r="G5">
        <v>228500</v>
      </c>
      <c r="H5">
        <v>203500</v>
      </c>
      <c r="I5">
        <v>287748</v>
      </c>
      <c r="J5">
        <v>217292</v>
      </c>
      <c r="K5">
        <v>242243</v>
      </c>
    </row>
    <row r="6" spans="1:11" x14ac:dyDescent="0.35">
      <c r="A6">
        <v>2024</v>
      </c>
      <c r="B6">
        <v>2</v>
      </c>
      <c r="C6" t="s">
        <v>63</v>
      </c>
      <c r="D6" t="s">
        <v>269</v>
      </c>
      <c r="E6">
        <v>11590</v>
      </c>
      <c r="F6">
        <v>230637</v>
      </c>
      <c r="G6">
        <v>228734</v>
      </c>
      <c r="H6">
        <v>202830</v>
      </c>
      <c r="I6">
        <v>288550</v>
      </c>
      <c r="J6">
        <v>218265</v>
      </c>
      <c r="K6">
        <v>243216</v>
      </c>
    </row>
    <row r="7" spans="1:11" x14ac:dyDescent="0.35">
      <c r="A7">
        <v>2024</v>
      </c>
      <c r="B7">
        <v>3</v>
      </c>
      <c r="C7" t="s">
        <v>66</v>
      </c>
      <c r="D7" t="s">
        <v>269</v>
      </c>
      <c r="E7">
        <v>11863</v>
      </c>
      <c r="F7">
        <v>230643</v>
      </c>
      <c r="G7">
        <v>228684</v>
      </c>
      <c r="H7">
        <v>202944</v>
      </c>
      <c r="I7">
        <v>287748</v>
      </c>
      <c r="J7">
        <v>217660</v>
      </c>
      <c r="K7">
        <v>242476</v>
      </c>
    </row>
    <row r="8" spans="1:11" x14ac:dyDescent="0.35">
      <c r="A8">
        <v>2024</v>
      </c>
      <c r="B8">
        <v>4</v>
      </c>
      <c r="C8" t="s">
        <v>67</v>
      </c>
      <c r="D8" t="s">
        <v>269</v>
      </c>
      <c r="E8">
        <v>11922</v>
      </c>
      <c r="F8">
        <v>230523</v>
      </c>
      <c r="G8">
        <v>228500</v>
      </c>
      <c r="H8">
        <v>203500</v>
      </c>
      <c r="I8">
        <v>287748</v>
      </c>
      <c r="J8">
        <v>218265</v>
      </c>
      <c r="K8">
        <v>242476</v>
      </c>
    </row>
    <row r="9" spans="1:11" x14ac:dyDescent="0.35">
      <c r="A9">
        <v>2024</v>
      </c>
      <c r="B9">
        <v>5</v>
      </c>
      <c r="C9" t="s">
        <v>68</v>
      </c>
      <c r="D9" t="s">
        <v>269</v>
      </c>
      <c r="E9">
        <v>11908</v>
      </c>
      <c r="F9">
        <v>230476</v>
      </c>
      <c r="G9">
        <v>228684</v>
      </c>
      <c r="H9">
        <v>202885</v>
      </c>
      <c r="I9">
        <v>287748</v>
      </c>
      <c r="J9">
        <v>217292</v>
      </c>
      <c r="K9">
        <v>242476</v>
      </c>
    </row>
    <row r="10" spans="1:11" x14ac:dyDescent="0.35">
      <c r="A10">
        <v>2024</v>
      </c>
      <c r="B10">
        <v>6</v>
      </c>
      <c r="C10" t="s">
        <v>69</v>
      </c>
      <c r="D10" t="s">
        <v>269</v>
      </c>
      <c r="E10">
        <v>11995</v>
      </c>
      <c r="F10">
        <v>230460</v>
      </c>
      <c r="G10">
        <v>228684</v>
      </c>
      <c r="H10">
        <v>202830</v>
      </c>
      <c r="I10">
        <v>287748</v>
      </c>
      <c r="J10">
        <v>217292</v>
      </c>
      <c r="K10">
        <v>242398</v>
      </c>
    </row>
    <row r="11" spans="1:11" x14ac:dyDescent="0.35">
      <c r="A11">
        <v>2024</v>
      </c>
      <c r="B11">
        <v>7</v>
      </c>
      <c r="C11" t="s">
        <v>70</v>
      </c>
      <c r="D11" t="s">
        <v>269</v>
      </c>
      <c r="E11">
        <v>12062</v>
      </c>
      <c r="F11">
        <v>230385</v>
      </c>
      <c r="G11">
        <v>228684</v>
      </c>
      <c r="H11">
        <v>203065</v>
      </c>
      <c r="I11">
        <v>287748</v>
      </c>
      <c r="J11">
        <v>217292</v>
      </c>
      <c r="K11">
        <v>242107</v>
      </c>
    </row>
    <row r="12" spans="1:11" x14ac:dyDescent="0.35">
      <c r="A12">
        <v>2024</v>
      </c>
      <c r="B12">
        <v>8</v>
      </c>
      <c r="C12" t="s">
        <v>71</v>
      </c>
      <c r="D12" t="s">
        <v>269</v>
      </c>
      <c r="E12">
        <v>12085</v>
      </c>
      <c r="F12">
        <v>231676</v>
      </c>
      <c r="G12">
        <v>229373</v>
      </c>
      <c r="H12">
        <v>202830</v>
      </c>
      <c r="I12">
        <v>288813</v>
      </c>
      <c r="J12">
        <v>217292</v>
      </c>
      <c r="K12">
        <v>243819</v>
      </c>
    </row>
    <row r="13" spans="1:11" x14ac:dyDescent="0.35">
      <c r="A13">
        <v>2024</v>
      </c>
      <c r="B13">
        <v>9</v>
      </c>
      <c r="C13" t="s">
        <v>72</v>
      </c>
      <c r="D13" t="s">
        <v>269</v>
      </c>
      <c r="E13">
        <v>12184</v>
      </c>
      <c r="F13">
        <v>230442</v>
      </c>
      <c r="G13">
        <v>228684</v>
      </c>
      <c r="H13">
        <v>203500</v>
      </c>
      <c r="I13">
        <v>288720</v>
      </c>
      <c r="J13">
        <v>216553</v>
      </c>
      <c r="K13">
        <v>243216</v>
      </c>
    </row>
    <row r="14" spans="1:11" x14ac:dyDescent="0.35">
      <c r="A14">
        <v>2024</v>
      </c>
      <c r="B14">
        <v>10</v>
      </c>
      <c r="C14" t="s">
        <v>73</v>
      </c>
      <c r="D14" t="s">
        <v>269</v>
      </c>
      <c r="E14">
        <v>12286</v>
      </c>
      <c r="F14">
        <v>230334</v>
      </c>
      <c r="G14">
        <v>228400</v>
      </c>
      <c r="H14">
        <v>203500</v>
      </c>
      <c r="I14">
        <v>288720</v>
      </c>
      <c r="J14">
        <v>216368</v>
      </c>
      <c r="K14">
        <v>243216</v>
      </c>
    </row>
    <row r="15" spans="1:11" x14ac:dyDescent="0.35">
      <c r="A15">
        <v>2024</v>
      </c>
      <c r="B15">
        <v>11</v>
      </c>
      <c r="C15" t="s">
        <v>74</v>
      </c>
      <c r="D15" t="s">
        <v>269</v>
      </c>
      <c r="E15">
        <v>12296</v>
      </c>
      <c r="F15">
        <v>230360</v>
      </c>
      <c r="G15">
        <v>228450</v>
      </c>
      <c r="H15">
        <v>203498</v>
      </c>
      <c r="I15">
        <v>288720</v>
      </c>
      <c r="J15">
        <v>216368</v>
      </c>
      <c r="K15">
        <v>243216</v>
      </c>
    </row>
    <row r="16" spans="1:11" x14ac:dyDescent="0.35">
      <c r="A16">
        <v>2024</v>
      </c>
      <c r="B16">
        <v>12</v>
      </c>
      <c r="C16" t="s">
        <v>75</v>
      </c>
      <c r="D16" t="s">
        <v>269</v>
      </c>
      <c r="E16">
        <v>12329</v>
      </c>
      <c r="F16">
        <v>230367</v>
      </c>
      <c r="G16">
        <v>228450</v>
      </c>
      <c r="H16">
        <v>203498</v>
      </c>
      <c r="I16">
        <v>288720</v>
      </c>
      <c r="J16">
        <v>216368</v>
      </c>
      <c r="K16">
        <v>243216</v>
      </c>
    </row>
    <row r="17" spans="1:11" x14ac:dyDescent="0.35">
      <c r="A17">
        <v>2025</v>
      </c>
      <c r="B17">
        <v>1</v>
      </c>
      <c r="C17" t="s">
        <v>42</v>
      </c>
      <c r="D17" t="s">
        <v>269</v>
      </c>
      <c r="E17">
        <v>12285</v>
      </c>
      <c r="F17">
        <v>230671</v>
      </c>
      <c r="G17">
        <v>229373</v>
      </c>
      <c r="H17">
        <v>203004</v>
      </c>
      <c r="I17">
        <v>288720</v>
      </c>
      <c r="J17">
        <v>216368</v>
      </c>
      <c r="K17">
        <v>243164</v>
      </c>
    </row>
    <row r="18" spans="1:11" x14ac:dyDescent="0.35">
      <c r="A18">
        <v>2025</v>
      </c>
      <c r="B18">
        <v>2</v>
      </c>
      <c r="C18" t="s">
        <v>63</v>
      </c>
      <c r="D18" t="s">
        <v>269</v>
      </c>
      <c r="E18">
        <v>12557</v>
      </c>
      <c r="F18">
        <v>230552</v>
      </c>
      <c r="G18">
        <v>229053</v>
      </c>
      <c r="H18">
        <v>202916</v>
      </c>
      <c r="I18">
        <v>288720</v>
      </c>
      <c r="J18">
        <v>216368</v>
      </c>
      <c r="K18">
        <v>243216</v>
      </c>
    </row>
    <row r="19" spans="1:11" x14ac:dyDescent="0.35">
      <c r="A19">
        <v>2025</v>
      </c>
      <c r="B19">
        <v>3</v>
      </c>
      <c r="C19" t="s">
        <v>66</v>
      </c>
      <c r="D19" t="s">
        <v>269</v>
      </c>
      <c r="E19">
        <v>12647</v>
      </c>
      <c r="F19">
        <v>229921</v>
      </c>
      <c r="G19">
        <v>228684</v>
      </c>
      <c r="H19">
        <v>203006</v>
      </c>
      <c r="I19">
        <v>288720</v>
      </c>
      <c r="J19">
        <v>216184</v>
      </c>
      <c r="K19">
        <v>241824</v>
      </c>
    </row>
    <row r="20" spans="1:11" x14ac:dyDescent="0.35">
      <c r="A20">
        <v>2025</v>
      </c>
      <c r="B20">
        <v>4</v>
      </c>
      <c r="C20" t="s">
        <v>67</v>
      </c>
      <c r="D20" t="s">
        <v>269</v>
      </c>
      <c r="E20">
        <v>12556</v>
      </c>
      <c r="F20">
        <v>230552</v>
      </c>
      <c r="G20">
        <v>229053</v>
      </c>
      <c r="H20">
        <v>202916</v>
      </c>
      <c r="I20">
        <v>288720</v>
      </c>
      <c r="J20">
        <v>216368</v>
      </c>
      <c r="K20">
        <v>243216</v>
      </c>
    </row>
    <row r="21" spans="1:11" x14ac:dyDescent="0.35">
      <c r="A21">
        <v>2025</v>
      </c>
      <c r="B21">
        <v>5</v>
      </c>
      <c r="C21" t="s">
        <v>68</v>
      </c>
      <c r="D21" t="s">
        <v>269</v>
      </c>
      <c r="E21">
        <v>12356</v>
      </c>
      <c r="F21">
        <v>228880</v>
      </c>
      <c r="G21">
        <v>226688</v>
      </c>
      <c r="H21">
        <v>202975</v>
      </c>
      <c r="I21">
        <v>288720</v>
      </c>
      <c r="J21">
        <v>214053</v>
      </c>
      <c r="K21">
        <v>240950</v>
      </c>
    </row>
    <row r="22" spans="1:11" x14ac:dyDescent="0.35">
      <c r="A22">
        <v>2025</v>
      </c>
      <c r="B22">
        <v>6</v>
      </c>
      <c r="C22" t="s">
        <v>69</v>
      </c>
      <c r="D22" t="s">
        <v>269</v>
      </c>
      <c r="E22">
        <v>12297</v>
      </c>
      <c r="F22">
        <v>228616</v>
      </c>
      <c r="G22">
        <v>226553</v>
      </c>
      <c r="H22">
        <v>203090</v>
      </c>
      <c r="I22">
        <v>288720</v>
      </c>
      <c r="J22">
        <v>213868</v>
      </c>
      <c r="K22">
        <v>240564</v>
      </c>
    </row>
    <row r="23" spans="1:11" x14ac:dyDescent="0.35">
      <c r="A23">
        <v>2025</v>
      </c>
      <c r="B23">
        <v>7</v>
      </c>
      <c r="C23" t="s">
        <v>70</v>
      </c>
      <c r="D23" t="s">
        <v>269</v>
      </c>
      <c r="E23">
        <v>12292</v>
      </c>
      <c r="F23">
        <v>228571</v>
      </c>
      <c r="G23">
        <v>226553</v>
      </c>
      <c r="H23">
        <v>202885</v>
      </c>
      <c r="I23">
        <v>288720</v>
      </c>
      <c r="J23">
        <v>213868</v>
      </c>
      <c r="K23">
        <v>239976</v>
      </c>
    </row>
    <row r="24" spans="1:11" x14ac:dyDescent="0.35">
      <c r="A24">
        <v>2025</v>
      </c>
      <c r="B24">
        <v>8</v>
      </c>
      <c r="C24" t="s">
        <v>71</v>
      </c>
      <c r="D24" t="s">
        <v>269</v>
      </c>
      <c r="E24">
        <v>12333</v>
      </c>
      <c r="F24">
        <v>228514</v>
      </c>
      <c r="G24">
        <v>226368</v>
      </c>
      <c r="H24">
        <v>203090</v>
      </c>
      <c r="I24">
        <v>287748</v>
      </c>
      <c r="J24">
        <v>213868</v>
      </c>
      <c r="K24">
        <v>239976</v>
      </c>
    </row>
    <row r="25" spans="1:11" x14ac:dyDescent="0.35">
      <c r="A25">
        <v>2025</v>
      </c>
      <c r="B25">
        <v>9</v>
      </c>
      <c r="C25" t="s">
        <v>72</v>
      </c>
      <c r="D25" t="s">
        <v>269</v>
      </c>
      <c r="E25">
        <v>12401</v>
      </c>
      <c r="F25">
        <v>228604</v>
      </c>
      <c r="G25">
        <v>226553</v>
      </c>
      <c r="H25">
        <v>203498</v>
      </c>
      <c r="I25">
        <v>287748</v>
      </c>
      <c r="J25">
        <v>214053</v>
      </c>
      <c r="K25">
        <v>239976</v>
      </c>
    </row>
    <row r="26" spans="1:11" x14ac:dyDescent="0.35">
      <c r="A26">
        <v>2025</v>
      </c>
      <c r="B26">
        <v>10</v>
      </c>
      <c r="C26" t="s">
        <v>73</v>
      </c>
      <c r="D26" t="s">
        <v>269</v>
      </c>
      <c r="E26">
        <v>12421</v>
      </c>
      <c r="F26">
        <v>228620</v>
      </c>
      <c r="G26">
        <v>226553</v>
      </c>
      <c r="H26">
        <v>203498</v>
      </c>
      <c r="I26">
        <v>287748</v>
      </c>
      <c r="J26">
        <v>213868</v>
      </c>
      <c r="K26">
        <v>239976</v>
      </c>
    </row>
    <row r="27" spans="1:11" x14ac:dyDescent="0.35">
      <c r="A27">
        <v>2025</v>
      </c>
      <c r="B27">
        <v>11</v>
      </c>
      <c r="C27" t="s">
        <v>74</v>
      </c>
      <c r="D27" t="s">
        <v>269</v>
      </c>
      <c r="E27">
        <v>12450</v>
      </c>
      <c r="F27">
        <v>228623</v>
      </c>
      <c r="G27">
        <v>226553</v>
      </c>
      <c r="H27">
        <v>203498</v>
      </c>
      <c r="I27">
        <v>287748</v>
      </c>
      <c r="J27">
        <v>213868</v>
      </c>
      <c r="K27">
        <v>239976</v>
      </c>
    </row>
    <row r="28" spans="1:11" x14ac:dyDescent="0.35">
      <c r="A28">
        <v>2025</v>
      </c>
      <c r="B28">
        <v>12</v>
      </c>
      <c r="C28" t="s">
        <v>75</v>
      </c>
      <c r="D28" t="s">
        <v>269</v>
      </c>
      <c r="E28">
        <v>12457</v>
      </c>
      <c r="F28">
        <v>228763</v>
      </c>
      <c r="G28">
        <v>226553</v>
      </c>
      <c r="H28">
        <v>203498</v>
      </c>
      <c r="I28">
        <v>287748</v>
      </c>
      <c r="J28">
        <v>214053</v>
      </c>
      <c r="K28">
        <v>239976</v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270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271</v>
      </c>
      <c r="E5">
        <v>4643</v>
      </c>
      <c r="F5">
        <v>244532</v>
      </c>
      <c r="G5">
        <v>242661</v>
      </c>
      <c r="H5">
        <v>207526</v>
      </c>
      <c r="I5">
        <v>290297</v>
      </c>
      <c r="J5">
        <v>230210</v>
      </c>
      <c r="K5">
        <v>259509</v>
      </c>
    </row>
    <row r="6" spans="1:11" x14ac:dyDescent="0.35">
      <c r="A6">
        <v>2024</v>
      </c>
      <c r="B6">
        <v>2</v>
      </c>
      <c r="C6" t="s">
        <v>63</v>
      </c>
      <c r="D6" t="s">
        <v>271</v>
      </c>
      <c r="E6">
        <v>4640</v>
      </c>
      <c r="F6">
        <v>245411</v>
      </c>
      <c r="G6">
        <v>242758</v>
      </c>
      <c r="H6">
        <v>206856</v>
      </c>
      <c r="I6">
        <v>290063</v>
      </c>
      <c r="J6">
        <v>230210</v>
      </c>
      <c r="K6">
        <v>260210</v>
      </c>
    </row>
    <row r="7" spans="1:11" x14ac:dyDescent="0.35">
      <c r="A7">
        <v>2024</v>
      </c>
      <c r="B7">
        <v>3</v>
      </c>
      <c r="C7" t="s">
        <v>66</v>
      </c>
      <c r="D7" t="s">
        <v>271</v>
      </c>
      <c r="E7">
        <v>4639</v>
      </c>
      <c r="F7">
        <v>245120</v>
      </c>
      <c r="G7">
        <v>242661</v>
      </c>
      <c r="H7">
        <v>207526</v>
      </c>
      <c r="I7">
        <v>290297</v>
      </c>
      <c r="J7">
        <v>230210</v>
      </c>
      <c r="K7">
        <v>260161</v>
      </c>
    </row>
    <row r="8" spans="1:11" x14ac:dyDescent="0.35">
      <c r="A8">
        <v>2024</v>
      </c>
      <c r="B8">
        <v>4</v>
      </c>
      <c r="C8" t="s">
        <v>67</v>
      </c>
      <c r="D8" t="s">
        <v>271</v>
      </c>
      <c r="E8">
        <v>4631</v>
      </c>
      <c r="F8">
        <v>245264</v>
      </c>
      <c r="G8">
        <v>242661</v>
      </c>
      <c r="H8">
        <v>207202</v>
      </c>
      <c r="I8">
        <v>290297</v>
      </c>
      <c r="J8">
        <v>230210</v>
      </c>
      <c r="K8">
        <v>260161</v>
      </c>
    </row>
    <row r="9" spans="1:11" x14ac:dyDescent="0.35">
      <c r="A9">
        <v>2024</v>
      </c>
      <c r="B9">
        <v>5</v>
      </c>
      <c r="C9" t="s">
        <v>68</v>
      </c>
      <c r="D9" t="s">
        <v>271</v>
      </c>
      <c r="E9">
        <v>4614</v>
      </c>
      <c r="F9">
        <v>245107</v>
      </c>
      <c r="G9">
        <v>242661</v>
      </c>
      <c r="H9">
        <v>207526</v>
      </c>
      <c r="I9">
        <v>290297</v>
      </c>
      <c r="J9">
        <v>230210</v>
      </c>
      <c r="K9">
        <v>260161</v>
      </c>
    </row>
    <row r="10" spans="1:11" x14ac:dyDescent="0.35">
      <c r="A10">
        <v>2024</v>
      </c>
      <c r="B10">
        <v>6</v>
      </c>
      <c r="C10" t="s">
        <v>69</v>
      </c>
      <c r="D10" t="s">
        <v>271</v>
      </c>
      <c r="E10">
        <v>4617</v>
      </c>
      <c r="F10">
        <v>244969</v>
      </c>
      <c r="G10">
        <v>242661</v>
      </c>
      <c r="H10">
        <v>207526</v>
      </c>
      <c r="I10">
        <v>290297</v>
      </c>
      <c r="J10">
        <v>230210</v>
      </c>
      <c r="K10">
        <v>260161</v>
      </c>
    </row>
    <row r="11" spans="1:11" x14ac:dyDescent="0.35">
      <c r="A11">
        <v>2024</v>
      </c>
      <c r="B11">
        <v>7</v>
      </c>
      <c r="C11" t="s">
        <v>70</v>
      </c>
      <c r="D11" t="s">
        <v>271</v>
      </c>
      <c r="E11">
        <v>4644</v>
      </c>
      <c r="F11">
        <v>245118</v>
      </c>
      <c r="G11">
        <v>242661</v>
      </c>
      <c r="H11">
        <v>207526</v>
      </c>
      <c r="I11">
        <v>290297</v>
      </c>
      <c r="J11">
        <v>230210</v>
      </c>
      <c r="K11">
        <v>260161</v>
      </c>
    </row>
    <row r="12" spans="1:11" x14ac:dyDescent="0.35">
      <c r="A12">
        <v>2024</v>
      </c>
      <c r="B12">
        <v>8</v>
      </c>
      <c r="C12" t="s">
        <v>71</v>
      </c>
      <c r="D12" t="s">
        <v>271</v>
      </c>
      <c r="E12">
        <v>4608</v>
      </c>
      <c r="F12">
        <v>245995</v>
      </c>
      <c r="G12">
        <v>243265</v>
      </c>
      <c r="H12">
        <v>206942</v>
      </c>
      <c r="I12">
        <v>290298</v>
      </c>
      <c r="J12">
        <v>230210</v>
      </c>
      <c r="K12">
        <v>260765</v>
      </c>
    </row>
    <row r="13" spans="1:11" x14ac:dyDescent="0.35">
      <c r="A13">
        <v>2024</v>
      </c>
      <c r="B13">
        <v>9</v>
      </c>
      <c r="C13" t="s">
        <v>72</v>
      </c>
      <c r="D13" t="s">
        <v>271</v>
      </c>
      <c r="E13">
        <v>4644</v>
      </c>
      <c r="F13">
        <v>242074</v>
      </c>
      <c r="G13">
        <v>240161</v>
      </c>
      <c r="H13">
        <v>207526</v>
      </c>
      <c r="I13">
        <v>290297</v>
      </c>
      <c r="J13">
        <v>225210</v>
      </c>
      <c r="K13">
        <v>257661</v>
      </c>
    </row>
    <row r="14" spans="1:11" x14ac:dyDescent="0.35">
      <c r="A14">
        <v>2024</v>
      </c>
      <c r="B14">
        <v>10</v>
      </c>
      <c r="C14" t="s">
        <v>73</v>
      </c>
      <c r="D14" t="s">
        <v>271</v>
      </c>
      <c r="E14">
        <v>4695</v>
      </c>
      <c r="F14">
        <v>241842</v>
      </c>
      <c r="G14">
        <v>238265</v>
      </c>
      <c r="H14">
        <v>207526</v>
      </c>
      <c r="I14">
        <v>290297</v>
      </c>
      <c r="J14">
        <v>225210</v>
      </c>
      <c r="K14">
        <v>257661</v>
      </c>
    </row>
    <row r="15" spans="1:11" x14ac:dyDescent="0.35">
      <c r="A15">
        <v>2024</v>
      </c>
      <c r="B15">
        <v>11</v>
      </c>
      <c r="C15" t="s">
        <v>74</v>
      </c>
      <c r="D15" t="s">
        <v>271</v>
      </c>
      <c r="E15">
        <v>4696</v>
      </c>
      <c r="F15">
        <v>241841</v>
      </c>
      <c r="G15">
        <v>238265</v>
      </c>
      <c r="H15">
        <v>207526</v>
      </c>
      <c r="I15">
        <v>290297</v>
      </c>
      <c r="J15">
        <v>225210</v>
      </c>
      <c r="K15">
        <v>257661</v>
      </c>
    </row>
    <row r="16" spans="1:11" x14ac:dyDescent="0.35">
      <c r="A16">
        <v>2024</v>
      </c>
      <c r="B16">
        <v>12</v>
      </c>
      <c r="C16" t="s">
        <v>75</v>
      </c>
      <c r="D16" t="s">
        <v>271</v>
      </c>
      <c r="E16">
        <v>4693</v>
      </c>
      <c r="F16">
        <v>241844</v>
      </c>
      <c r="G16">
        <v>238265</v>
      </c>
      <c r="H16">
        <v>207526</v>
      </c>
      <c r="I16">
        <v>290297</v>
      </c>
      <c r="J16">
        <v>225210</v>
      </c>
      <c r="K16">
        <v>257661</v>
      </c>
    </row>
    <row r="17" spans="1:11" x14ac:dyDescent="0.35">
      <c r="A17">
        <v>2025</v>
      </c>
      <c r="B17">
        <v>1</v>
      </c>
      <c r="C17" t="s">
        <v>42</v>
      </c>
      <c r="D17" t="s">
        <v>271</v>
      </c>
      <c r="E17">
        <v>4563</v>
      </c>
      <c r="F17">
        <v>243422</v>
      </c>
      <c r="G17">
        <v>241051</v>
      </c>
      <c r="H17">
        <v>207526</v>
      </c>
      <c r="I17">
        <v>290297</v>
      </c>
      <c r="J17">
        <v>225765</v>
      </c>
      <c r="K17">
        <v>258551</v>
      </c>
    </row>
    <row r="18" spans="1:11" x14ac:dyDescent="0.35">
      <c r="A18">
        <v>2025</v>
      </c>
      <c r="B18">
        <v>2</v>
      </c>
      <c r="C18" t="s">
        <v>63</v>
      </c>
      <c r="D18" t="s">
        <v>271</v>
      </c>
      <c r="E18">
        <v>4581</v>
      </c>
      <c r="F18">
        <v>244038</v>
      </c>
      <c r="G18">
        <v>242663</v>
      </c>
      <c r="H18">
        <v>207526</v>
      </c>
      <c r="I18">
        <v>290297</v>
      </c>
      <c r="J18">
        <v>227275</v>
      </c>
      <c r="K18">
        <v>260297</v>
      </c>
    </row>
    <row r="19" spans="1:11" x14ac:dyDescent="0.35">
      <c r="A19">
        <v>2025</v>
      </c>
      <c r="B19">
        <v>3</v>
      </c>
      <c r="C19" t="s">
        <v>66</v>
      </c>
      <c r="D19" t="s">
        <v>271</v>
      </c>
      <c r="E19">
        <v>4620</v>
      </c>
      <c r="F19">
        <v>244209</v>
      </c>
      <c r="G19">
        <v>242661</v>
      </c>
      <c r="H19">
        <v>207526</v>
      </c>
      <c r="I19">
        <v>290297</v>
      </c>
      <c r="J19">
        <v>225765</v>
      </c>
      <c r="K19">
        <v>259509</v>
      </c>
    </row>
    <row r="20" spans="1:11" x14ac:dyDescent="0.35">
      <c r="A20">
        <v>2025</v>
      </c>
      <c r="B20">
        <v>4</v>
      </c>
      <c r="C20" t="s">
        <v>67</v>
      </c>
      <c r="D20" t="s">
        <v>271</v>
      </c>
      <c r="E20">
        <v>4576</v>
      </c>
      <c r="F20">
        <v>244017</v>
      </c>
      <c r="G20">
        <v>242663</v>
      </c>
      <c r="H20">
        <v>207526</v>
      </c>
      <c r="I20">
        <v>290297</v>
      </c>
      <c r="J20">
        <v>227275</v>
      </c>
      <c r="K20">
        <v>260297</v>
      </c>
    </row>
    <row r="21" spans="1:11" x14ac:dyDescent="0.35">
      <c r="A21">
        <v>2025</v>
      </c>
      <c r="B21">
        <v>5</v>
      </c>
      <c r="C21" t="s">
        <v>68</v>
      </c>
      <c r="D21" t="s">
        <v>271</v>
      </c>
      <c r="E21">
        <v>4629</v>
      </c>
      <c r="F21">
        <v>243745</v>
      </c>
      <c r="G21">
        <v>240765</v>
      </c>
      <c r="H21">
        <v>207526</v>
      </c>
      <c r="I21">
        <v>290297</v>
      </c>
      <c r="J21">
        <v>225765</v>
      </c>
      <c r="K21">
        <v>259509</v>
      </c>
    </row>
    <row r="22" spans="1:11" x14ac:dyDescent="0.35">
      <c r="A22">
        <v>2025</v>
      </c>
      <c r="B22">
        <v>6</v>
      </c>
      <c r="C22" t="s">
        <v>69</v>
      </c>
      <c r="D22" t="s">
        <v>271</v>
      </c>
      <c r="E22">
        <v>4613</v>
      </c>
      <c r="F22">
        <v>243816</v>
      </c>
      <c r="G22">
        <v>240765</v>
      </c>
      <c r="H22">
        <v>207526</v>
      </c>
      <c r="I22">
        <v>290297</v>
      </c>
      <c r="J22">
        <v>225765</v>
      </c>
      <c r="K22">
        <v>259509</v>
      </c>
    </row>
    <row r="23" spans="1:11" x14ac:dyDescent="0.35">
      <c r="A23">
        <v>2025</v>
      </c>
      <c r="B23">
        <v>7</v>
      </c>
      <c r="C23" t="s">
        <v>70</v>
      </c>
      <c r="D23" t="s">
        <v>271</v>
      </c>
      <c r="E23">
        <v>4596</v>
      </c>
      <c r="F23">
        <v>243862</v>
      </c>
      <c r="G23">
        <v>240765</v>
      </c>
      <c r="H23">
        <v>207526</v>
      </c>
      <c r="I23">
        <v>290297</v>
      </c>
      <c r="J23">
        <v>225765</v>
      </c>
      <c r="K23">
        <v>259509</v>
      </c>
    </row>
    <row r="24" spans="1:11" x14ac:dyDescent="0.35">
      <c r="A24">
        <v>2025</v>
      </c>
      <c r="B24">
        <v>8</v>
      </c>
      <c r="C24" t="s">
        <v>71</v>
      </c>
      <c r="D24" t="s">
        <v>271</v>
      </c>
      <c r="E24">
        <v>4596</v>
      </c>
      <c r="F24">
        <v>244156</v>
      </c>
      <c r="G24">
        <v>242661</v>
      </c>
      <c r="H24">
        <v>207526</v>
      </c>
      <c r="I24">
        <v>290297</v>
      </c>
      <c r="J24">
        <v>225765</v>
      </c>
      <c r="K24">
        <v>260161</v>
      </c>
    </row>
    <row r="25" spans="1:11" x14ac:dyDescent="0.35">
      <c r="A25">
        <v>2025</v>
      </c>
      <c r="B25">
        <v>9</v>
      </c>
      <c r="C25" t="s">
        <v>72</v>
      </c>
      <c r="D25" t="s">
        <v>271</v>
      </c>
      <c r="E25">
        <v>4599</v>
      </c>
      <c r="F25">
        <v>244106</v>
      </c>
      <c r="G25">
        <v>242661</v>
      </c>
      <c r="H25">
        <v>207526</v>
      </c>
      <c r="I25">
        <v>290297</v>
      </c>
      <c r="J25">
        <v>225765</v>
      </c>
      <c r="K25">
        <v>260161</v>
      </c>
    </row>
    <row r="26" spans="1:11" x14ac:dyDescent="0.35">
      <c r="A26">
        <v>2025</v>
      </c>
      <c r="B26">
        <v>10</v>
      </c>
      <c r="C26" t="s">
        <v>73</v>
      </c>
      <c r="D26" t="s">
        <v>271</v>
      </c>
      <c r="E26">
        <v>4581</v>
      </c>
      <c r="F26">
        <v>244064</v>
      </c>
      <c r="G26">
        <v>242661</v>
      </c>
      <c r="H26">
        <v>207526</v>
      </c>
      <c r="I26">
        <v>290297</v>
      </c>
      <c r="J26">
        <v>225765</v>
      </c>
      <c r="K26">
        <v>260161</v>
      </c>
    </row>
    <row r="27" spans="1:11" x14ac:dyDescent="0.35">
      <c r="A27">
        <v>2025</v>
      </c>
      <c r="B27">
        <v>11</v>
      </c>
      <c r="C27" t="s">
        <v>74</v>
      </c>
      <c r="D27" t="s">
        <v>271</v>
      </c>
      <c r="E27">
        <v>4557</v>
      </c>
      <c r="F27">
        <v>244076</v>
      </c>
      <c r="G27">
        <v>242661</v>
      </c>
      <c r="H27">
        <v>207526</v>
      </c>
      <c r="I27">
        <v>290297</v>
      </c>
      <c r="J27">
        <v>227526</v>
      </c>
      <c r="K27">
        <v>260161</v>
      </c>
    </row>
    <row r="28" spans="1:11" x14ac:dyDescent="0.35">
      <c r="A28">
        <v>2025</v>
      </c>
      <c r="B28">
        <v>12</v>
      </c>
      <c r="C28" t="s">
        <v>75</v>
      </c>
      <c r="D28" t="s">
        <v>271</v>
      </c>
      <c r="E28">
        <v>4542</v>
      </c>
      <c r="F28">
        <v>244263</v>
      </c>
      <c r="G28">
        <v>242661</v>
      </c>
      <c r="H28">
        <v>207526</v>
      </c>
      <c r="I28">
        <v>290297</v>
      </c>
      <c r="J28">
        <v>227710</v>
      </c>
      <c r="K28">
        <v>260297</v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272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273</v>
      </c>
      <c r="E5">
        <v>37697</v>
      </c>
      <c r="F5">
        <v>296645</v>
      </c>
      <c r="G5">
        <v>291725</v>
      </c>
      <c r="H5">
        <v>210212</v>
      </c>
      <c r="I5">
        <v>380002</v>
      </c>
      <c r="J5">
        <v>274276</v>
      </c>
      <c r="K5">
        <v>321258</v>
      </c>
    </row>
    <row r="6" spans="1:11" x14ac:dyDescent="0.35">
      <c r="A6">
        <v>2024</v>
      </c>
      <c r="B6">
        <v>2</v>
      </c>
      <c r="C6" t="s">
        <v>63</v>
      </c>
      <c r="D6" t="s">
        <v>273</v>
      </c>
      <c r="E6">
        <v>37640</v>
      </c>
      <c r="F6">
        <v>296535</v>
      </c>
      <c r="G6">
        <v>291725</v>
      </c>
      <c r="H6">
        <v>210212</v>
      </c>
      <c r="I6">
        <v>380002</v>
      </c>
      <c r="J6">
        <v>274276</v>
      </c>
      <c r="K6">
        <v>321258</v>
      </c>
    </row>
    <row r="7" spans="1:11" x14ac:dyDescent="0.35">
      <c r="A7">
        <v>2024</v>
      </c>
      <c r="B7">
        <v>3</v>
      </c>
      <c r="C7" t="s">
        <v>66</v>
      </c>
      <c r="D7" t="s">
        <v>273</v>
      </c>
      <c r="E7">
        <v>37805</v>
      </c>
      <c r="F7">
        <v>296420</v>
      </c>
      <c r="G7">
        <v>291725</v>
      </c>
      <c r="H7">
        <v>210212</v>
      </c>
      <c r="I7">
        <v>380002</v>
      </c>
      <c r="J7">
        <v>274276</v>
      </c>
      <c r="K7">
        <v>321258</v>
      </c>
    </row>
    <row r="8" spans="1:11" x14ac:dyDescent="0.35">
      <c r="A8">
        <v>2024</v>
      </c>
      <c r="B8">
        <v>4</v>
      </c>
      <c r="C8" t="s">
        <v>67</v>
      </c>
      <c r="D8" t="s">
        <v>273</v>
      </c>
      <c r="E8">
        <v>37652</v>
      </c>
      <c r="F8">
        <v>296255</v>
      </c>
      <c r="G8">
        <v>291725</v>
      </c>
      <c r="H8">
        <v>210212</v>
      </c>
      <c r="I8">
        <v>380002</v>
      </c>
      <c r="J8">
        <v>274276</v>
      </c>
      <c r="K8">
        <v>321258</v>
      </c>
    </row>
    <row r="9" spans="1:11" x14ac:dyDescent="0.35">
      <c r="A9">
        <v>2024</v>
      </c>
      <c r="B9">
        <v>5</v>
      </c>
      <c r="C9" t="s">
        <v>68</v>
      </c>
      <c r="D9" t="s">
        <v>273</v>
      </c>
      <c r="E9">
        <v>37429</v>
      </c>
      <c r="F9">
        <v>296313</v>
      </c>
      <c r="G9">
        <v>291725</v>
      </c>
      <c r="H9">
        <v>210212</v>
      </c>
      <c r="I9">
        <v>380002</v>
      </c>
      <c r="J9">
        <v>274276</v>
      </c>
      <c r="K9">
        <v>321258</v>
      </c>
    </row>
    <row r="10" spans="1:11" x14ac:dyDescent="0.35">
      <c r="A10">
        <v>2024</v>
      </c>
      <c r="B10">
        <v>6</v>
      </c>
      <c r="C10" t="s">
        <v>69</v>
      </c>
      <c r="D10" t="s">
        <v>273</v>
      </c>
      <c r="E10">
        <v>37417</v>
      </c>
      <c r="F10">
        <v>296062</v>
      </c>
      <c r="G10">
        <v>291172</v>
      </c>
      <c r="H10">
        <v>210212</v>
      </c>
      <c r="I10">
        <v>380002</v>
      </c>
      <c r="J10">
        <v>274276</v>
      </c>
      <c r="K10">
        <v>320889</v>
      </c>
    </row>
    <row r="11" spans="1:11" x14ac:dyDescent="0.35">
      <c r="A11">
        <v>2024</v>
      </c>
      <c r="B11">
        <v>7</v>
      </c>
      <c r="C11" t="s">
        <v>70</v>
      </c>
      <c r="D11" t="s">
        <v>273</v>
      </c>
      <c r="E11">
        <v>37357</v>
      </c>
      <c r="F11">
        <v>295786</v>
      </c>
      <c r="G11">
        <v>291172</v>
      </c>
      <c r="H11">
        <v>210212</v>
      </c>
      <c r="I11">
        <v>380366</v>
      </c>
      <c r="J11">
        <v>274276</v>
      </c>
      <c r="K11">
        <v>320655</v>
      </c>
    </row>
    <row r="12" spans="1:11" x14ac:dyDescent="0.35">
      <c r="A12">
        <v>2024</v>
      </c>
      <c r="B12">
        <v>8</v>
      </c>
      <c r="C12" t="s">
        <v>71</v>
      </c>
      <c r="D12" t="s">
        <v>273</v>
      </c>
      <c r="E12">
        <v>37308</v>
      </c>
      <c r="F12">
        <v>296163</v>
      </c>
      <c r="G12">
        <v>289276</v>
      </c>
      <c r="H12">
        <v>210212</v>
      </c>
      <c r="I12">
        <v>380594</v>
      </c>
      <c r="J12">
        <v>274276</v>
      </c>
      <c r="K12">
        <v>320889</v>
      </c>
    </row>
    <row r="13" spans="1:11" x14ac:dyDescent="0.35">
      <c r="A13">
        <v>2024</v>
      </c>
      <c r="B13">
        <v>9</v>
      </c>
      <c r="C13" t="s">
        <v>72</v>
      </c>
      <c r="D13" t="s">
        <v>273</v>
      </c>
      <c r="E13">
        <v>37725</v>
      </c>
      <c r="F13">
        <v>295448</v>
      </c>
      <c r="G13">
        <v>289276</v>
      </c>
      <c r="H13">
        <v>210212</v>
      </c>
      <c r="I13">
        <v>380002</v>
      </c>
      <c r="J13">
        <v>274276</v>
      </c>
      <c r="K13">
        <v>320655</v>
      </c>
    </row>
    <row r="14" spans="1:11" x14ac:dyDescent="0.35">
      <c r="A14">
        <v>2024</v>
      </c>
      <c r="B14">
        <v>10</v>
      </c>
      <c r="C14" t="s">
        <v>73</v>
      </c>
      <c r="D14" t="s">
        <v>273</v>
      </c>
      <c r="E14">
        <v>40128</v>
      </c>
      <c r="F14">
        <v>296070</v>
      </c>
      <c r="G14">
        <v>289927</v>
      </c>
      <c r="H14">
        <v>210212</v>
      </c>
      <c r="I14">
        <v>380002</v>
      </c>
      <c r="J14">
        <v>276172</v>
      </c>
      <c r="K14">
        <v>320655</v>
      </c>
    </row>
    <row r="15" spans="1:11" x14ac:dyDescent="0.35">
      <c r="A15">
        <v>2024</v>
      </c>
      <c r="B15">
        <v>11</v>
      </c>
      <c r="C15" t="s">
        <v>74</v>
      </c>
      <c r="D15" t="s">
        <v>273</v>
      </c>
      <c r="E15">
        <v>42231</v>
      </c>
      <c r="F15">
        <v>295586</v>
      </c>
      <c r="G15">
        <v>289275</v>
      </c>
      <c r="H15">
        <v>210212</v>
      </c>
      <c r="I15">
        <v>380002</v>
      </c>
      <c r="J15">
        <v>276172</v>
      </c>
      <c r="K15">
        <v>318758</v>
      </c>
    </row>
    <row r="16" spans="1:11" x14ac:dyDescent="0.35">
      <c r="A16">
        <v>2024</v>
      </c>
      <c r="B16">
        <v>12</v>
      </c>
      <c r="C16" t="s">
        <v>75</v>
      </c>
      <c r="D16" t="s">
        <v>273</v>
      </c>
      <c r="E16">
        <v>42370</v>
      </c>
      <c r="F16">
        <v>295580</v>
      </c>
      <c r="G16">
        <v>289276</v>
      </c>
      <c r="H16">
        <v>210212</v>
      </c>
      <c r="I16">
        <v>380002</v>
      </c>
      <c r="J16">
        <v>276172</v>
      </c>
      <c r="K16">
        <v>318758</v>
      </c>
    </row>
    <row r="17" spans="1:11" x14ac:dyDescent="0.35">
      <c r="A17">
        <v>2025</v>
      </c>
      <c r="B17">
        <v>1</v>
      </c>
      <c r="C17" t="s">
        <v>42</v>
      </c>
      <c r="D17" t="s">
        <v>273</v>
      </c>
      <c r="E17">
        <v>42634</v>
      </c>
      <c r="F17">
        <v>298474</v>
      </c>
      <c r="G17">
        <v>293069</v>
      </c>
      <c r="H17">
        <v>210212</v>
      </c>
      <c r="I17">
        <v>380002</v>
      </c>
      <c r="J17">
        <v>279276</v>
      </c>
      <c r="K17">
        <v>319681</v>
      </c>
    </row>
    <row r="18" spans="1:11" x14ac:dyDescent="0.35">
      <c r="A18">
        <v>2025</v>
      </c>
      <c r="B18">
        <v>2</v>
      </c>
      <c r="C18" t="s">
        <v>63</v>
      </c>
      <c r="D18" t="s">
        <v>273</v>
      </c>
      <c r="E18">
        <v>42571</v>
      </c>
      <c r="F18">
        <v>295843</v>
      </c>
      <c r="G18">
        <v>289276</v>
      </c>
      <c r="H18">
        <v>210212</v>
      </c>
      <c r="I18">
        <v>380605</v>
      </c>
      <c r="J18">
        <v>276172</v>
      </c>
      <c r="K18">
        <v>316725</v>
      </c>
    </row>
    <row r="19" spans="1:11" x14ac:dyDescent="0.35">
      <c r="A19">
        <v>2025</v>
      </c>
      <c r="B19">
        <v>3</v>
      </c>
      <c r="C19" t="s">
        <v>66</v>
      </c>
      <c r="D19" t="s">
        <v>273</v>
      </c>
      <c r="E19">
        <v>42766</v>
      </c>
      <c r="F19">
        <v>295634</v>
      </c>
      <c r="G19">
        <v>289276</v>
      </c>
      <c r="H19">
        <v>210212</v>
      </c>
      <c r="I19">
        <v>380002</v>
      </c>
      <c r="J19">
        <v>276172</v>
      </c>
      <c r="K19">
        <v>316725</v>
      </c>
    </row>
    <row r="20" spans="1:11" x14ac:dyDescent="0.35">
      <c r="A20">
        <v>2025</v>
      </c>
      <c r="B20">
        <v>4</v>
      </c>
      <c r="C20" t="s">
        <v>67</v>
      </c>
      <c r="D20" t="s">
        <v>273</v>
      </c>
      <c r="E20">
        <v>42565</v>
      </c>
      <c r="F20">
        <v>295838</v>
      </c>
      <c r="G20">
        <v>289276</v>
      </c>
      <c r="H20">
        <v>210212</v>
      </c>
      <c r="I20">
        <v>380605</v>
      </c>
      <c r="J20">
        <v>276172</v>
      </c>
      <c r="K20">
        <v>316725</v>
      </c>
    </row>
    <row r="21" spans="1:11" x14ac:dyDescent="0.35">
      <c r="A21">
        <v>2025</v>
      </c>
      <c r="B21">
        <v>5</v>
      </c>
      <c r="C21" t="s">
        <v>68</v>
      </c>
      <c r="D21" t="s">
        <v>273</v>
      </c>
      <c r="E21">
        <v>44888</v>
      </c>
      <c r="F21">
        <v>308784</v>
      </c>
      <c r="G21">
        <v>304225</v>
      </c>
      <c r="H21">
        <v>211922</v>
      </c>
      <c r="I21">
        <v>380002</v>
      </c>
      <c r="J21">
        <v>278672</v>
      </c>
      <c r="K21">
        <v>343758</v>
      </c>
    </row>
    <row r="22" spans="1:11" x14ac:dyDescent="0.35">
      <c r="A22">
        <v>2025</v>
      </c>
      <c r="B22">
        <v>6</v>
      </c>
      <c r="C22" t="s">
        <v>69</v>
      </c>
      <c r="D22" t="s">
        <v>273</v>
      </c>
      <c r="E22">
        <v>43999</v>
      </c>
      <c r="F22">
        <v>293855</v>
      </c>
      <c r="G22">
        <v>288672</v>
      </c>
      <c r="H22">
        <v>211922</v>
      </c>
      <c r="I22">
        <v>380002</v>
      </c>
      <c r="J22">
        <v>274276</v>
      </c>
      <c r="K22">
        <v>314644</v>
      </c>
    </row>
    <row r="23" spans="1:11" x14ac:dyDescent="0.35">
      <c r="A23">
        <v>2025</v>
      </c>
      <c r="B23">
        <v>7</v>
      </c>
      <c r="C23" t="s">
        <v>70</v>
      </c>
      <c r="D23" t="s">
        <v>273</v>
      </c>
      <c r="E23">
        <v>44228</v>
      </c>
      <c r="F23">
        <v>294019</v>
      </c>
      <c r="G23">
        <v>289140</v>
      </c>
      <c r="H23">
        <v>211922</v>
      </c>
      <c r="I23">
        <v>380002</v>
      </c>
      <c r="J23">
        <v>275432</v>
      </c>
      <c r="K23">
        <v>314225</v>
      </c>
    </row>
    <row r="24" spans="1:11" x14ac:dyDescent="0.35">
      <c r="A24">
        <v>2025</v>
      </c>
      <c r="B24">
        <v>8</v>
      </c>
      <c r="C24" t="s">
        <v>71</v>
      </c>
      <c r="D24" t="s">
        <v>273</v>
      </c>
      <c r="E24">
        <v>44494</v>
      </c>
      <c r="F24">
        <v>293935</v>
      </c>
      <c r="G24">
        <v>289140</v>
      </c>
      <c r="H24">
        <v>211922</v>
      </c>
      <c r="I24">
        <v>380002</v>
      </c>
      <c r="J24">
        <v>276172</v>
      </c>
      <c r="K24">
        <v>314225</v>
      </c>
    </row>
    <row r="25" spans="1:11" x14ac:dyDescent="0.35">
      <c r="A25">
        <v>2025</v>
      </c>
      <c r="B25">
        <v>9</v>
      </c>
      <c r="C25" t="s">
        <v>72</v>
      </c>
      <c r="D25" t="s">
        <v>273</v>
      </c>
      <c r="E25">
        <v>44803</v>
      </c>
      <c r="F25">
        <v>294024</v>
      </c>
      <c r="G25">
        <v>289225</v>
      </c>
      <c r="H25">
        <v>210210</v>
      </c>
      <c r="I25">
        <v>380391</v>
      </c>
      <c r="J25">
        <v>276172</v>
      </c>
      <c r="K25">
        <v>314225</v>
      </c>
    </row>
    <row r="26" spans="1:11" x14ac:dyDescent="0.35">
      <c r="A26">
        <v>2025</v>
      </c>
      <c r="B26">
        <v>10</v>
      </c>
      <c r="C26" t="s">
        <v>73</v>
      </c>
      <c r="D26" t="s">
        <v>273</v>
      </c>
      <c r="E26">
        <v>48093</v>
      </c>
      <c r="F26">
        <v>294255</v>
      </c>
      <c r="G26">
        <v>288672</v>
      </c>
      <c r="H26">
        <v>210210</v>
      </c>
      <c r="I26">
        <v>380002</v>
      </c>
      <c r="J26">
        <v>276172</v>
      </c>
      <c r="K26">
        <v>313672</v>
      </c>
    </row>
    <row r="27" spans="1:11" x14ac:dyDescent="0.35">
      <c r="A27">
        <v>2025</v>
      </c>
      <c r="B27">
        <v>11</v>
      </c>
      <c r="C27" t="s">
        <v>74</v>
      </c>
      <c r="D27" t="s">
        <v>273</v>
      </c>
      <c r="E27">
        <v>48398</v>
      </c>
      <c r="F27">
        <v>294351</v>
      </c>
      <c r="G27">
        <v>288672</v>
      </c>
      <c r="H27">
        <v>210210</v>
      </c>
      <c r="I27">
        <v>380002</v>
      </c>
      <c r="J27">
        <v>276172</v>
      </c>
      <c r="K27">
        <v>313758</v>
      </c>
    </row>
    <row r="28" spans="1:11" x14ac:dyDescent="0.35">
      <c r="A28">
        <v>2025</v>
      </c>
      <c r="B28">
        <v>12</v>
      </c>
      <c r="C28" t="s">
        <v>75</v>
      </c>
      <c r="D28" t="s">
        <v>273</v>
      </c>
      <c r="E28">
        <v>48534</v>
      </c>
      <c r="F28">
        <v>294542</v>
      </c>
      <c r="G28">
        <v>289225</v>
      </c>
      <c r="H28">
        <v>210210</v>
      </c>
      <c r="I28">
        <v>380002</v>
      </c>
      <c r="J28">
        <v>276172</v>
      </c>
      <c r="K28">
        <v>313758</v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274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275</v>
      </c>
      <c r="E5">
        <v>5125</v>
      </c>
      <c r="F5">
        <v>216538</v>
      </c>
      <c r="G5">
        <v>215210</v>
      </c>
      <c r="H5">
        <v>191417</v>
      </c>
      <c r="I5">
        <v>258265</v>
      </c>
      <c r="J5">
        <v>206184</v>
      </c>
      <c r="K5">
        <v>227895</v>
      </c>
    </row>
    <row r="6" spans="1:11" x14ac:dyDescent="0.35">
      <c r="A6">
        <v>2024</v>
      </c>
      <c r="B6">
        <v>2</v>
      </c>
      <c r="C6" t="s">
        <v>63</v>
      </c>
      <c r="D6" t="s">
        <v>275</v>
      </c>
      <c r="E6">
        <v>5152</v>
      </c>
      <c r="F6">
        <v>216705</v>
      </c>
      <c r="G6">
        <v>215260</v>
      </c>
      <c r="H6">
        <v>191417</v>
      </c>
      <c r="I6">
        <v>258265</v>
      </c>
      <c r="J6">
        <v>205260</v>
      </c>
      <c r="K6">
        <v>227895</v>
      </c>
    </row>
    <row r="7" spans="1:11" x14ac:dyDescent="0.35">
      <c r="A7">
        <v>2024</v>
      </c>
      <c r="B7">
        <v>3</v>
      </c>
      <c r="C7" t="s">
        <v>66</v>
      </c>
      <c r="D7" t="s">
        <v>275</v>
      </c>
      <c r="E7">
        <v>5288</v>
      </c>
      <c r="F7">
        <v>216360</v>
      </c>
      <c r="G7">
        <v>215026</v>
      </c>
      <c r="H7">
        <v>191417</v>
      </c>
      <c r="I7">
        <v>258265</v>
      </c>
      <c r="J7">
        <v>205210</v>
      </c>
      <c r="K7">
        <v>227526</v>
      </c>
    </row>
    <row r="8" spans="1:11" x14ac:dyDescent="0.35">
      <c r="A8">
        <v>2024</v>
      </c>
      <c r="B8">
        <v>4</v>
      </c>
      <c r="C8" t="s">
        <v>67</v>
      </c>
      <c r="D8" t="s">
        <v>275</v>
      </c>
      <c r="E8">
        <v>5477</v>
      </c>
      <c r="F8">
        <v>215975</v>
      </c>
      <c r="G8">
        <v>214650</v>
      </c>
      <c r="H8">
        <v>191417</v>
      </c>
      <c r="I8">
        <v>258265</v>
      </c>
      <c r="J8">
        <v>204842</v>
      </c>
      <c r="K8">
        <v>226922</v>
      </c>
    </row>
    <row r="9" spans="1:11" x14ac:dyDescent="0.35">
      <c r="A9">
        <v>2024</v>
      </c>
      <c r="B9">
        <v>5</v>
      </c>
      <c r="C9" t="s">
        <v>68</v>
      </c>
      <c r="D9" t="s">
        <v>275</v>
      </c>
      <c r="E9">
        <v>5484</v>
      </c>
      <c r="F9">
        <v>215846</v>
      </c>
      <c r="G9">
        <v>214287</v>
      </c>
      <c r="H9">
        <v>191417</v>
      </c>
      <c r="I9">
        <v>258266</v>
      </c>
      <c r="J9">
        <v>204842</v>
      </c>
      <c r="K9">
        <v>227341</v>
      </c>
    </row>
    <row r="10" spans="1:11" x14ac:dyDescent="0.35">
      <c r="A10">
        <v>2024</v>
      </c>
      <c r="B10">
        <v>6</v>
      </c>
      <c r="C10" t="s">
        <v>69</v>
      </c>
      <c r="D10" t="s">
        <v>275</v>
      </c>
      <c r="E10">
        <v>5496</v>
      </c>
      <c r="F10">
        <v>216039</v>
      </c>
      <c r="G10">
        <v>214422</v>
      </c>
      <c r="H10">
        <v>191418</v>
      </c>
      <c r="I10">
        <v>258266</v>
      </c>
      <c r="J10">
        <v>204842</v>
      </c>
      <c r="K10">
        <v>227342</v>
      </c>
    </row>
    <row r="11" spans="1:11" x14ac:dyDescent="0.35">
      <c r="A11">
        <v>2024</v>
      </c>
      <c r="B11">
        <v>7</v>
      </c>
      <c r="C11" t="s">
        <v>70</v>
      </c>
      <c r="D11" t="s">
        <v>275</v>
      </c>
      <c r="E11">
        <v>5502</v>
      </c>
      <c r="F11">
        <v>216120</v>
      </c>
      <c r="G11">
        <v>214422</v>
      </c>
      <c r="H11">
        <v>191418</v>
      </c>
      <c r="I11">
        <v>258266</v>
      </c>
      <c r="J11">
        <v>204842</v>
      </c>
      <c r="K11">
        <v>227342</v>
      </c>
    </row>
    <row r="12" spans="1:11" x14ac:dyDescent="0.35">
      <c r="A12">
        <v>2024</v>
      </c>
      <c r="B12">
        <v>8</v>
      </c>
      <c r="C12" t="s">
        <v>71</v>
      </c>
      <c r="D12" t="s">
        <v>275</v>
      </c>
      <c r="E12">
        <v>5552</v>
      </c>
      <c r="F12">
        <v>216412</v>
      </c>
      <c r="G12">
        <v>214842</v>
      </c>
      <c r="H12">
        <v>191418</v>
      </c>
      <c r="I12">
        <v>263902</v>
      </c>
      <c r="J12">
        <v>205210</v>
      </c>
      <c r="K12">
        <v>227526</v>
      </c>
    </row>
    <row r="13" spans="1:11" x14ac:dyDescent="0.35">
      <c r="A13">
        <v>2024</v>
      </c>
      <c r="B13">
        <v>9</v>
      </c>
      <c r="C13" t="s">
        <v>72</v>
      </c>
      <c r="D13" t="s">
        <v>275</v>
      </c>
      <c r="E13">
        <v>5670</v>
      </c>
      <c r="F13">
        <v>215997</v>
      </c>
      <c r="G13">
        <v>213918</v>
      </c>
      <c r="H13">
        <v>191418</v>
      </c>
      <c r="I13">
        <v>258266</v>
      </c>
      <c r="J13">
        <v>204842</v>
      </c>
      <c r="K13">
        <v>226922</v>
      </c>
    </row>
    <row r="14" spans="1:11" x14ac:dyDescent="0.35">
      <c r="A14">
        <v>2024</v>
      </c>
      <c r="B14">
        <v>10</v>
      </c>
      <c r="C14" t="s">
        <v>73</v>
      </c>
      <c r="D14" t="s">
        <v>275</v>
      </c>
      <c r="E14">
        <v>5638</v>
      </c>
      <c r="F14">
        <v>216010</v>
      </c>
      <c r="G14">
        <v>213918</v>
      </c>
      <c r="H14">
        <v>191418</v>
      </c>
      <c r="I14">
        <v>258266</v>
      </c>
      <c r="J14">
        <v>204842</v>
      </c>
      <c r="K14">
        <v>226922</v>
      </c>
    </row>
    <row r="15" spans="1:11" x14ac:dyDescent="0.35">
      <c r="A15">
        <v>2024</v>
      </c>
      <c r="B15">
        <v>11</v>
      </c>
      <c r="C15" t="s">
        <v>74</v>
      </c>
      <c r="D15" t="s">
        <v>275</v>
      </c>
      <c r="E15">
        <v>5624</v>
      </c>
      <c r="F15">
        <v>216162</v>
      </c>
      <c r="G15">
        <v>214102</v>
      </c>
      <c r="H15">
        <v>191418</v>
      </c>
      <c r="I15">
        <v>258266</v>
      </c>
      <c r="J15">
        <v>204842</v>
      </c>
      <c r="K15">
        <v>227341</v>
      </c>
    </row>
    <row r="16" spans="1:11" x14ac:dyDescent="0.35">
      <c r="A16">
        <v>2024</v>
      </c>
      <c r="B16">
        <v>12</v>
      </c>
      <c r="C16" t="s">
        <v>75</v>
      </c>
      <c r="D16" t="s">
        <v>275</v>
      </c>
      <c r="E16">
        <v>5638</v>
      </c>
      <c r="F16">
        <v>216153</v>
      </c>
      <c r="G16">
        <v>214194</v>
      </c>
      <c r="H16">
        <v>191418</v>
      </c>
      <c r="I16">
        <v>258266</v>
      </c>
      <c r="J16">
        <v>204842</v>
      </c>
      <c r="K16">
        <v>226922</v>
      </c>
    </row>
    <row r="17" spans="1:11" x14ac:dyDescent="0.35">
      <c r="A17">
        <v>2025</v>
      </c>
      <c r="B17">
        <v>1</v>
      </c>
      <c r="C17" t="s">
        <v>42</v>
      </c>
      <c r="D17" t="s">
        <v>275</v>
      </c>
      <c r="E17">
        <v>5539</v>
      </c>
      <c r="F17">
        <v>216412</v>
      </c>
      <c r="G17">
        <v>214825</v>
      </c>
      <c r="H17">
        <v>191418</v>
      </c>
      <c r="I17">
        <v>258266</v>
      </c>
      <c r="J17">
        <v>205260</v>
      </c>
      <c r="K17">
        <v>227526</v>
      </c>
    </row>
    <row r="18" spans="1:11" x14ac:dyDescent="0.35">
      <c r="A18">
        <v>2025</v>
      </c>
      <c r="B18">
        <v>2</v>
      </c>
      <c r="C18" t="s">
        <v>63</v>
      </c>
      <c r="D18" t="s">
        <v>275</v>
      </c>
      <c r="E18">
        <v>5640</v>
      </c>
      <c r="F18">
        <v>216071</v>
      </c>
      <c r="G18">
        <v>214102</v>
      </c>
      <c r="H18">
        <v>191418</v>
      </c>
      <c r="I18">
        <v>258266</v>
      </c>
      <c r="J18">
        <v>204842</v>
      </c>
      <c r="K18">
        <v>226922</v>
      </c>
    </row>
    <row r="19" spans="1:11" x14ac:dyDescent="0.35">
      <c r="A19">
        <v>2025</v>
      </c>
      <c r="B19">
        <v>3</v>
      </c>
      <c r="C19" t="s">
        <v>66</v>
      </c>
      <c r="D19" t="s">
        <v>275</v>
      </c>
      <c r="E19">
        <v>5693</v>
      </c>
      <c r="F19">
        <v>216154</v>
      </c>
      <c r="G19">
        <v>214422</v>
      </c>
      <c r="H19">
        <v>191418</v>
      </c>
      <c r="I19">
        <v>264419</v>
      </c>
      <c r="J19">
        <v>205246</v>
      </c>
      <c r="K19">
        <v>226922</v>
      </c>
    </row>
    <row r="20" spans="1:11" x14ac:dyDescent="0.35">
      <c r="A20">
        <v>2025</v>
      </c>
      <c r="B20">
        <v>4</v>
      </c>
      <c r="C20" t="s">
        <v>67</v>
      </c>
      <c r="D20" t="s">
        <v>275</v>
      </c>
      <c r="E20">
        <v>5640</v>
      </c>
      <c r="F20">
        <v>216076</v>
      </c>
      <c r="G20">
        <v>214102</v>
      </c>
      <c r="H20">
        <v>191418</v>
      </c>
      <c r="I20">
        <v>258266</v>
      </c>
      <c r="J20">
        <v>204842</v>
      </c>
      <c r="K20">
        <v>226922</v>
      </c>
    </row>
    <row r="21" spans="1:11" x14ac:dyDescent="0.35">
      <c r="A21">
        <v>2025</v>
      </c>
      <c r="B21">
        <v>5</v>
      </c>
      <c r="C21" t="s">
        <v>68</v>
      </c>
      <c r="D21" t="s">
        <v>275</v>
      </c>
      <c r="E21">
        <v>5788</v>
      </c>
      <c r="F21">
        <v>216121</v>
      </c>
      <c r="G21">
        <v>214422</v>
      </c>
      <c r="H21">
        <v>191418</v>
      </c>
      <c r="I21">
        <v>260950</v>
      </c>
      <c r="J21">
        <v>205260</v>
      </c>
      <c r="K21">
        <v>226787</v>
      </c>
    </row>
    <row r="22" spans="1:11" x14ac:dyDescent="0.35">
      <c r="A22">
        <v>2025</v>
      </c>
      <c r="B22">
        <v>6</v>
      </c>
      <c r="C22" t="s">
        <v>69</v>
      </c>
      <c r="D22" t="s">
        <v>275</v>
      </c>
      <c r="E22">
        <v>5808</v>
      </c>
      <c r="F22">
        <v>216184</v>
      </c>
      <c r="G22">
        <v>214842</v>
      </c>
      <c r="H22">
        <v>191418</v>
      </c>
      <c r="I22">
        <v>260950</v>
      </c>
      <c r="J22">
        <v>205260</v>
      </c>
      <c r="K22">
        <v>226787</v>
      </c>
    </row>
    <row r="23" spans="1:11" x14ac:dyDescent="0.35">
      <c r="A23">
        <v>2025</v>
      </c>
      <c r="B23">
        <v>7</v>
      </c>
      <c r="C23" t="s">
        <v>70</v>
      </c>
      <c r="D23" t="s">
        <v>275</v>
      </c>
      <c r="E23">
        <v>5830</v>
      </c>
      <c r="F23">
        <v>216186</v>
      </c>
      <c r="G23">
        <v>214842</v>
      </c>
      <c r="H23">
        <v>191418</v>
      </c>
      <c r="I23">
        <v>260950</v>
      </c>
      <c r="J23">
        <v>205260</v>
      </c>
      <c r="K23">
        <v>226787</v>
      </c>
    </row>
    <row r="24" spans="1:11" x14ac:dyDescent="0.35">
      <c r="A24">
        <v>2025</v>
      </c>
      <c r="B24">
        <v>8</v>
      </c>
      <c r="C24" t="s">
        <v>71</v>
      </c>
      <c r="D24" t="s">
        <v>275</v>
      </c>
      <c r="E24">
        <v>5834</v>
      </c>
      <c r="F24">
        <v>216205</v>
      </c>
      <c r="G24">
        <v>215026</v>
      </c>
      <c r="H24">
        <v>191418</v>
      </c>
      <c r="I24">
        <v>260950</v>
      </c>
      <c r="J24">
        <v>205260</v>
      </c>
      <c r="K24">
        <v>226787</v>
      </c>
    </row>
    <row r="25" spans="1:11" x14ac:dyDescent="0.35">
      <c r="A25">
        <v>2025</v>
      </c>
      <c r="B25">
        <v>9</v>
      </c>
      <c r="C25" t="s">
        <v>72</v>
      </c>
      <c r="D25" t="s">
        <v>275</v>
      </c>
      <c r="E25">
        <v>5882</v>
      </c>
      <c r="F25">
        <v>216132</v>
      </c>
      <c r="G25">
        <v>214842</v>
      </c>
      <c r="H25">
        <v>191418</v>
      </c>
      <c r="I25">
        <v>260950</v>
      </c>
      <c r="J25">
        <v>205260</v>
      </c>
      <c r="K25">
        <v>226787</v>
      </c>
    </row>
    <row r="26" spans="1:11" x14ac:dyDescent="0.35">
      <c r="A26">
        <v>2025</v>
      </c>
      <c r="B26">
        <v>10</v>
      </c>
      <c r="C26" t="s">
        <v>73</v>
      </c>
      <c r="D26" t="s">
        <v>275</v>
      </c>
      <c r="E26">
        <v>5911</v>
      </c>
      <c r="F26">
        <v>216095</v>
      </c>
      <c r="G26">
        <v>214842</v>
      </c>
      <c r="H26">
        <v>191418</v>
      </c>
      <c r="I26">
        <v>260950</v>
      </c>
      <c r="J26">
        <v>205260</v>
      </c>
      <c r="K26">
        <v>226787</v>
      </c>
    </row>
    <row r="27" spans="1:11" x14ac:dyDescent="0.35">
      <c r="A27">
        <v>2025</v>
      </c>
      <c r="B27">
        <v>11</v>
      </c>
      <c r="C27" t="s">
        <v>74</v>
      </c>
      <c r="D27" t="s">
        <v>275</v>
      </c>
      <c r="E27">
        <v>5918</v>
      </c>
      <c r="F27">
        <v>216148</v>
      </c>
      <c r="G27">
        <v>215260</v>
      </c>
      <c r="H27">
        <v>191418</v>
      </c>
      <c r="I27">
        <v>260950</v>
      </c>
      <c r="J27">
        <v>205260</v>
      </c>
      <c r="K27">
        <v>226787</v>
      </c>
    </row>
    <row r="28" spans="1:11" x14ac:dyDescent="0.35">
      <c r="A28">
        <v>2025</v>
      </c>
      <c r="B28">
        <v>12</v>
      </c>
      <c r="C28" t="s">
        <v>75</v>
      </c>
      <c r="D28" t="s">
        <v>275</v>
      </c>
      <c r="E28">
        <v>5893</v>
      </c>
      <c r="F28">
        <v>216269</v>
      </c>
      <c r="G28">
        <v>215260</v>
      </c>
      <c r="H28">
        <v>191418</v>
      </c>
      <c r="I28">
        <v>260950</v>
      </c>
      <c r="J28">
        <v>205260</v>
      </c>
      <c r="K28">
        <v>226787</v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276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277</v>
      </c>
      <c r="E5">
        <v>6</v>
      </c>
      <c r="F5">
        <v>236317</v>
      </c>
      <c r="G5">
        <v>237150</v>
      </c>
      <c r="H5">
        <v>233400</v>
      </c>
      <c r="I5">
        <v>238400</v>
      </c>
      <c r="J5">
        <v>233400</v>
      </c>
      <c r="K5">
        <v>238400</v>
      </c>
    </row>
    <row r="6" spans="1:11" x14ac:dyDescent="0.35">
      <c r="A6">
        <v>2024</v>
      </c>
      <c r="B6">
        <v>2</v>
      </c>
      <c r="C6" t="s">
        <v>63</v>
      </c>
      <c r="D6" t="s">
        <v>277</v>
      </c>
      <c r="E6">
        <v>6</v>
      </c>
      <c r="F6">
        <v>236317</v>
      </c>
      <c r="G6">
        <v>237150</v>
      </c>
      <c r="H6">
        <v>233400</v>
      </c>
      <c r="I6">
        <v>238400</v>
      </c>
      <c r="J6">
        <v>233400</v>
      </c>
      <c r="K6">
        <v>238400</v>
      </c>
    </row>
    <row r="7" spans="1:11" x14ac:dyDescent="0.35">
      <c r="A7">
        <v>2024</v>
      </c>
      <c r="B7">
        <v>3</v>
      </c>
      <c r="C7" t="s">
        <v>66</v>
      </c>
      <c r="D7" t="s">
        <v>277</v>
      </c>
      <c r="E7">
        <v>6</v>
      </c>
      <c r="F7">
        <v>236317</v>
      </c>
      <c r="G7">
        <v>237150</v>
      </c>
      <c r="H7">
        <v>233400</v>
      </c>
      <c r="I7">
        <v>238400</v>
      </c>
      <c r="J7">
        <v>233400</v>
      </c>
      <c r="K7">
        <v>238400</v>
      </c>
    </row>
    <row r="8" spans="1:11" x14ac:dyDescent="0.35">
      <c r="A8">
        <v>2024</v>
      </c>
      <c r="B8">
        <v>4</v>
      </c>
      <c r="C8" t="s">
        <v>67</v>
      </c>
      <c r="D8" t="s">
        <v>277</v>
      </c>
      <c r="E8">
        <v>6</v>
      </c>
      <c r="F8">
        <v>236317</v>
      </c>
      <c r="G8">
        <v>237150</v>
      </c>
      <c r="H8">
        <v>233400</v>
      </c>
      <c r="I8">
        <v>238400</v>
      </c>
      <c r="J8">
        <v>233400</v>
      </c>
      <c r="K8">
        <v>238400</v>
      </c>
    </row>
    <row r="9" spans="1:11" x14ac:dyDescent="0.35">
      <c r="A9">
        <v>2024</v>
      </c>
      <c r="B9">
        <v>5</v>
      </c>
      <c r="C9" t="s">
        <v>68</v>
      </c>
      <c r="D9" t="s">
        <v>277</v>
      </c>
      <c r="E9">
        <v>6</v>
      </c>
      <c r="F9">
        <v>236317</v>
      </c>
      <c r="G9">
        <v>237150</v>
      </c>
      <c r="H9">
        <v>233400</v>
      </c>
      <c r="I9">
        <v>238400</v>
      </c>
      <c r="J9">
        <v>233400</v>
      </c>
      <c r="K9">
        <v>238400</v>
      </c>
    </row>
    <row r="10" spans="1:11" x14ac:dyDescent="0.35">
      <c r="A10">
        <v>2024</v>
      </c>
      <c r="B10">
        <v>6</v>
      </c>
      <c r="C10" t="s">
        <v>69</v>
      </c>
      <c r="D10" t="s">
        <v>277</v>
      </c>
      <c r="E10">
        <v>6</v>
      </c>
      <c r="F10">
        <v>236317</v>
      </c>
      <c r="G10">
        <v>237150</v>
      </c>
      <c r="H10">
        <v>233400</v>
      </c>
      <c r="I10">
        <v>238400</v>
      </c>
      <c r="J10">
        <v>233400</v>
      </c>
      <c r="K10">
        <v>238400</v>
      </c>
    </row>
    <row r="11" spans="1:11" x14ac:dyDescent="0.35">
      <c r="A11">
        <v>2024</v>
      </c>
      <c r="B11">
        <v>7</v>
      </c>
      <c r="C11" t="s">
        <v>70</v>
      </c>
      <c r="D11" t="s">
        <v>277</v>
      </c>
      <c r="E11">
        <v>6</v>
      </c>
      <c r="F11">
        <v>236317</v>
      </c>
      <c r="G11">
        <v>237150</v>
      </c>
      <c r="H11">
        <v>233400</v>
      </c>
      <c r="I11">
        <v>238400</v>
      </c>
      <c r="J11">
        <v>233400</v>
      </c>
      <c r="K11">
        <v>238400</v>
      </c>
    </row>
    <row r="12" spans="1:11" x14ac:dyDescent="0.35">
      <c r="A12">
        <v>2024</v>
      </c>
      <c r="B12">
        <v>8</v>
      </c>
      <c r="C12" t="s">
        <v>71</v>
      </c>
      <c r="D12" t="s">
        <v>277</v>
      </c>
      <c r="E12">
        <v>6</v>
      </c>
      <c r="F12">
        <v>235067</v>
      </c>
      <c r="G12">
        <v>235900</v>
      </c>
      <c r="H12">
        <v>228400</v>
      </c>
      <c r="I12">
        <v>238400</v>
      </c>
      <c r="J12">
        <v>233400</v>
      </c>
      <c r="K12">
        <v>238400</v>
      </c>
    </row>
    <row r="13" spans="1:11" x14ac:dyDescent="0.35">
      <c r="A13">
        <v>2024</v>
      </c>
      <c r="B13">
        <v>9</v>
      </c>
      <c r="C13" t="s">
        <v>72</v>
      </c>
      <c r="D13" t="s">
        <v>277</v>
      </c>
      <c r="E13">
        <v>6</v>
      </c>
      <c r="F13">
        <v>235067</v>
      </c>
      <c r="G13">
        <v>235900</v>
      </c>
      <c r="H13">
        <v>228400</v>
      </c>
      <c r="I13">
        <v>238400</v>
      </c>
      <c r="J13">
        <v>233400</v>
      </c>
      <c r="K13">
        <v>238400</v>
      </c>
    </row>
    <row r="14" spans="1:11" x14ac:dyDescent="0.35">
      <c r="A14">
        <v>2024</v>
      </c>
      <c r="B14">
        <v>10</v>
      </c>
      <c r="C14" t="s">
        <v>73</v>
      </c>
      <c r="D14" t="s">
        <v>277</v>
      </c>
      <c r="E14">
        <v>6</v>
      </c>
      <c r="F14">
        <v>235067</v>
      </c>
      <c r="G14">
        <v>235900</v>
      </c>
      <c r="H14">
        <v>228400</v>
      </c>
      <c r="I14">
        <v>238400</v>
      </c>
      <c r="J14">
        <v>233400</v>
      </c>
      <c r="K14">
        <v>238400</v>
      </c>
    </row>
    <row r="15" spans="1:11" x14ac:dyDescent="0.35">
      <c r="A15">
        <v>2024</v>
      </c>
      <c r="B15">
        <v>11</v>
      </c>
      <c r="C15" t="s">
        <v>74</v>
      </c>
      <c r="D15" t="s">
        <v>277</v>
      </c>
      <c r="E15">
        <v>6</v>
      </c>
      <c r="F15">
        <v>235067</v>
      </c>
      <c r="G15">
        <v>235900</v>
      </c>
      <c r="H15">
        <v>228400</v>
      </c>
      <c r="I15">
        <v>238400</v>
      </c>
      <c r="J15">
        <v>233400</v>
      </c>
      <c r="K15">
        <v>238400</v>
      </c>
    </row>
    <row r="16" spans="1:11" x14ac:dyDescent="0.35">
      <c r="A16">
        <v>2024</v>
      </c>
      <c r="B16">
        <v>12</v>
      </c>
      <c r="C16" t="s">
        <v>75</v>
      </c>
      <c r="D16" t="s">
        <v>277</v>
      </c>
      <c r="E16">
        <v>6</v>
      </c>
      <c r="F16">
        <v>235067</v>
      </c>
      <c r="G16">
        <v>235900</v>
      </c>
      <c r="H16">
        <v>228400</v>
      </c>
      <c r="I16">
        <v>238400</v>
      </c>
      <c r="J16">
        <v>233400</v>
      </c>
      <c r="K16">
        <v>238400</v>
      </c>
    </row>
    <row r="17" spans="1:11" x14ac:dyDescent="0.35">
      <c r="A17">
        <v>2025</v>
      </c>
      <c r="B17">
        <v>1</v>
      </c>
      <c r="C17" t="s">
        <v>42</v>
      </c>
      <c r="D17" t="s">
        <v>277</v>
      </c>
      <c r="E17">
        <v>5</v>
      </c>
      <c r="F17">
        <v>236400</v>
      </c>
      <c r="G17">
        <v>238400</v>
      </c>
      <c r="H17">
        <v>233400</v>
      </c>
      <c r="I17">
        <v>238400</v>
      </c>
      <c r="J17">
        <v>233400</v>
      </c>
      <c r="K17">
        <v>238400</v>
      </c>
    </row>
    <row r="18" spans="1:11" x14ac:dyDescent="0.35">
      <c r="A18">
        <v>2025</v>
      </c>
      <c r="B18">
        <v>2</v>
      </c>
      <c r="C18" t="s">
        <v>63</v>
      </c>
      <c r="D18" t="s">
        <v>277</v>
      </c>
      <c r="E18">
        <v>5</v>
      </c>
      <c r="F18">
        <v>236400</v>
      </c>
      <c r="G18">
        <v>238400</v>
      </c>
      <c r="H18">
        <v>233400</v>
      </c>
      <c r="I18">
        <v>238400</v>
      </c>
      <c r="J18">
        <v>233400</v>
      </c>
      <c r="K18">
        <v>238400</v>
      </c>
    </row>
    <row r="19" spans="1:11" x14ac:dyDescent="0.35">
      <c r="A19">
        <v>2025</v>
      </c>
      <c r="B19">
        <v>3</v>
      </c>
      <c r="C19" t="s">
        <v>66</v>
      </c>
      <c r="D19" t="s">
        <v>277</v>
      </c>
      <c r="E19">
        <v>5</v>
      </c>
      <c r="F19">
        <v>236400</v>
      </c>
      <c r="G19">
        <v>238400</v>
      </c>
      <c r="H19">
        <v>233400</v>
      </c>
      <c r="I19">
        <v>238400</v>
      </c>
      <c r="J19">
        <v>233400</v>
      </c>
      <c r="K19">
        <v>238400</v>
      </c>
    </row>
    <row r="20" spans="1:11" x14ac:dyDescent="0.35">
      <c r="A20">
        <v>2025</v>
      </c>
      <c r="B20">
        <v>4</v>
      </c>
      <c r="C20" t="s">
        <v>67</v>
      </c>
      <c r="D20" t="s">
        <v>277</v>
      </c>
      <c r="E20">
        <v>5</v>
      </c>
      <c r="F20">
        <v>236400</v>
      </c>
      <c r="G20">
        <v>238400</v>
      </c>
      <c r="H20">
        <v>233400</v>
      </c>
      <c r="I20">
        <v>238400</v>
      </c>
      <c r="J20">
        <v>233400</v>
      </c>
      <c r="K20">
        <v>238400</v>
      </c>
    </row>
    <row r="21" spans="1:11" x14ac:dyDescent="0.35">
      <c r="A21">
        <v>2025</v>
      </c>
      <c r="B21">
        <v>5</v>
      </c>
      <c r="C21" t="s">
        <v>68</v>
      </c>
      <c r="D21" t="s">
        <v>277</v>
      </c>
      <c r="E21">
        <v>5</v>
      </c>
      <c r="F21">
        <v>235400</v>
      </c>
      <c r="G21">
        <v>233400</v>
      </c>
      <c r="H21">
        <v>233400</v>
      </c>
      <c r="I21">
        <v>238400</v>
      </c>
      <c r="J21">
        <v>233400</v>
      </c>
      <c r="K21">
        <v>238400</v>
      </c>
    </row>
    <row r="22" spans="1:11" x14ac:dyDescent="0.35">
      <c r="A22">
        <v>2025</v>
      </c>
      <c r="B22">
        <v>6</v>
      </c>
      <c r="C22" t="s">
        <v>69</v>
      </c>
      <c r="D22" t="s">
        <v>277</v>
      </c>
      <c r="E22">
        <v>5</v>
      </c>
      <c r="F22">
        <v>235400</v>
      </c>
      <c r="G22">
        <v>233400</v>
      </c>
      <c r="H22">
        <v>233400</v>
      </c>
      <c r="I22">
        <v>238400</v>
      </c>
      <c r="J22">
        <v>233400</v>
      </c>
      <c r="K22">
        <v>238400</v>
      </c>
    </row>
    <row r="23" spans="1:11" x14ac:dyDescent="0.35">
      <c r="A23">
        <v>2025</v>
      </c>
      <c r="B23">
        <v>7</v>
      </c>
      <c r="C23" t="s">
        <v>70</v>
      </c>
      <c r="D23" t="s">
        <v>277</v>
      </c>
      <c r="E23">
        <v>5</v>
      </c>
      <c r="F23">
        <v>235400</v>
      </c>
      <c r="G23">
        <v>233400</v>
      </c>
      <c r="H23">
        <v>233400</v>
      </c>
      <c r="I23">
        <v>238400</v>
      </c>
      <c r="J23">
        <v>233400</v>
      </c>
      <c r="K23">
        <v>238400</v>
      </c>
    </row>
    <row r="24" spans="1:11" x14ac:dyDescent="0.35">
      <c r="A24">
        <v>2025</v>
      </c>
      <c r="B24">
        <v>8</v>
      </c>
      <c r="C24" t="s">
        <v>71</v>
      </c>
      <c r="D24" t="s">
        <v>277</v>
      </c>
      <c r="E24">
        <v>5</v>
      </c>
      <c r="F24">
        <v>235400</v>
      </c>
      <c r="G24">
        <v>233400</v>
      </c>
      <c r="H24">
        <v>233400</v>
      </c>
      <c r="I24">
        <v>238400</v>
      </c>
      <c r="J24">
        <v>233400</v>
      </c>
      <c r="K24">
        <v>238400</v>
      </c>
    </row>
    <row r="25" spans="1:11" x14ac:dyDescent="0.35">
      <c r="A25">
        <v>2025</v>
      </c>
      <c r="B25">
        <v>9</v>
      </c>
      <c r="C25" t="s">
        <v>72</v>
      </c>
      <c r="D25" t="s">
        <v>277</v>
      </c>
      <c r="E25">
        <v>5</v>
      </c>
      <c r="F25">
        <v>235400</v>
      </c>
      <c r="G25">
        <v>233400</v>
      </c>
      <c r="H25">
        <v>233400</v>
      </c>
      <c r="I25">
        <v>238400</v>
      </c>
      <c r="J25">
        <v>233400</v>
      </c>
      <c r="K25">
        <v>238400</v>
      </c>
    </row>
    <row r="26" spans="1:11" x14ac:dyDescent="0.35">
      <c r="A26">
        <v>2025</v>
      </c>
      <c r="B26">
        <v>10</v>
      </c>
      <c r="C26" t="s">
        <v>73</v>
      </c>
      <c r="D26" t="s">
        <v>277</v>
      </c>
      <c r="E26">
        <v>5</v>
      </c>
      <c r="F26">
        <v>235400</v>
      </c>
      <c r="G26">
        <v>233400</v>
      </c>
      <c r="H26">
        <v>233400</v>
      </c>
      <c r="I26">
        <v>238400</v>
      </c>
      <c r="J26">
        <v>233400</v>
      </c>
      <c r="K26">
        <v>238400</v>
      </c>
    </row>
    <row r="27" spans="1:11" x14ac:dyDescent="0.35">
      <c r="A27">
        <v>2025</v>
      </c>
      <c r="B27">
        <v>11</v>
      </c>
      <c r="C27" t="s">
        <v>74</v>
      </c>
      <c r="D27" t="s">
        <v>277</v>
      </c>
      <c r="E27">
        <v>5</v>
      </c>
      <c r="F27">
        <v>235400</v>
      </c>
      <c r="G27">
        <v>233400</v>
      </c>
      <c r="H27">
        <v>233400</v>
      </c>
      <c r="I27">
        <v>238400</v>
      </c>
      <c r="J27">
        <v>233400</v>
      </c>
      <c r="K27">
        <v>238400</v>
      </c>
    </row>
    <row r="28" spans="1:11" x14ac:dyDescent="0.35">
      <c r="A28">
        <v>2025</v>
      </c>
      <c r="B28">
        <v>12</v>
      </c>
      <c r="C28" t="s">
        <v>75</v>
      </c>
      <c r="D28" t="s">
        <v>277</v>
      </c>
      <c r="E28">
        <v>5</v>
      </c>
      <c r="F28">
        <v>235400</v>
      </c>
      <c r="G28">
        <v>233400</v>
      </c>
      <c r="H28">
        <v>233400</v>
      </c>
      <c r="I28">
        <v>238400</v>
      </c>
      <c r="J28">
        <v>233400</v>
      </c>
      <c r="K28">
        <v>238400</v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9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2" ht="28" customHeight="1" x14ac:dyDescent="0.35">
      <c r="A1" s="6" t="s">
        <v>278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279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280</v>
      </c>
      <c r="E5" t="s">
        <v>255</v>
      </c>
      <c r="F5">
        <v>11917</v>
      </c>
      <c r="G5">
        <v>455157</v>
      </c>
      <c r="H5">
        <v>433835</v>
      </c>
      <c r="I5">
        <v>297836</v>
      </c>
      <c r="J5">
        <v>790365</v>
      </c>
      <c r="K5">
        <v>399485</v>
      </c>
      <c r="L5">
        <v>513403</v>
      </c>
    </row>
    <row r="6" spans="1:12" x14ac:dyDescent="0.35">
      <c r="A6">
        <v>2024</v>
      </c>
      <c r="B6">
        <v>1</v>
      </c>
      <c r="C6" t="s">
        <v>42</v>
      </c>
      <c r="D6" t="s">
        <v>280</v>
      </c>
      <c r="E6" t="s">
        <v>257</v>
      </c>
      <c r="F6">
        <v>7596</v>
      </c>
      <c r="G6">
        <v>533159</v>
      </c>
      <c r="H6">
        <v>504239</v>
      </c>
      <c r="I6">
        <v>325286</v>
      </c>
      <c r="J6">
        <v>1041609</v>
      </c>
      <c r="K6">
        <v>444573</v>
      </c>
      <c r="L6">
        <v>605521</v>
      </c>
    </row>
    <row r="7" spans="1:12" x14ac:dyDescent="0.35">
      <c r="A7">
        <v>2024</v>
      </c>
      <c r="B7">
        <v>1</v>
      </c>
      <c r="C7" t="s">
        <v>42</v>
      </c>
      <c r="D7" t="s">
        <v>280</v>
      </c>
      <c r="E7" t="s">
        <v>259</v>
      </c>
      <c r="F7">
        <v>3340</v>
      </c>
      <c r="G7">
        <v>709246</v>
      </c>
      <c r="H7">
        <v>678058</v>
      </c>
      <c r="I7">
        <v>382502</v>
      </c>
      <c r="J7">
        <v>1106831</v>
      </c>
      <c r="K7">
        <v>640237</v>
      </c>
      <c r="L7">
        <v>805719</v>
      </c>
    </row>
    <row r="8" spans="1:12" x14ac:dyDescent="0.35">
      <c r="A8">
        <v>2024</v>
      </c>
      <c r="B8">
        <v>1</v>
      </c>
      <c r="C8" t="s">
        <v>42</v>
      </c>
      <c r="D8" t="s">
        <v>280</v>
      </c>
      <c r="E8" t="s">
        <v>261</v>
      </c>
      <c r="F8">
        <v>432</v>
      </c>
      <c r="G8">
        <v>867759</v>
      </c>
      <c r="H8">
        <v>868811</v>
      </c>
      <c r="I8">
        <v>554326</v>
      </c>
      <c r="J8">
        <v>1347672</v>
      </c>
      <c r="K8">
        <v>723699</v>
      </c>
      <c r="L8">
        <v>909500</v>
      </c>
    </row>
    <row r="9" spans="1:12" x14ac:dyDescent="0.35">
      <c r="A9">
        <v>2024</v>
      </c>
      <c r="B9">
        <v>1</v>
      </c>
      <c r="C9" t="s">
        <v>42</v>
      </c>
      <c r="D9" t="s">
        <v>280</v>
      </c>
      <c r="E9" t="s">
        <v>263</v>
      </c>
      <c r="F9">
        <v>392</v>
      </c>
      <c r="G9">
        <v>944887</v>
      </c>
      <c r="H9">
        <v>958093</v>
      </c>
      <c r="I9">
        <v>630977</v>
      </c>
      <c r="J9">
        <v>1371832</v>
      </c>
      <c r="K9">
        <v>757100</v>
      </c>
      <c r="L9">
        <v>1044725</v>
      </c>
    </row>
    <row r="10" spans="1:12" x14ac:dyDescent="0.35">
      <c r="A10">
        <v>2024</v>
      </c>
      <c r="B10">
        <v>1</v>
      </c>
      <c r="C10" t="s">
        <v>42</v>
      </c>
      <c r="D10" t="s">
        <v>280</v>
      </c>
      <c r="E10" t="s">
        <v>265</v>
      </c>
      <c r="F10">
        <v>1694</v>
      </c>
      <c r="G10">
        <v>254390</v>
      </c>
      <c r="H10">
        <v>247243</v>
      </c>
      <c r="I10">
        <v>229743</v>
      </c>
      <c r="J10">
        <v>351628</v>
      </c>
      <c r="K10">
        <v>239190</v>
      </c>
      <c r="L10">
        <v>266590</v>
      </c>
    </row>
    <row r="11" spans="1:12" x14ac:dyDescent="0.35">
      <c r="A11">
        <v>2024</v>
      </c>
      <c r="B11">
        <v>1</v>
      </c>
      <c r="C11" t="s">
        <v>42</v>
      </c>
      <c r="D11" t="s">
        <v>280</v>
      </c>
      <c r="E11" t="s">
        <v>267</v>
      </c>
      <c r="F11">
        <v>44387</v>
      </c>
      <c r="G11">
        <v>369167</v>
      </c>
      <c r="H11">
        <v>377404</v>
      </c>
      <c r="I11">
        <v>260063</v>
      </c>
      <c r="J11">
        <v>579646</v>
      </c>
      <c r="K11">
        <v>300519</v>
      </c>
      <c r="L11">
        <v>414436</v>
      </c>
    </row>
    <row r="12" spans="1:12" x14ac:dyDescent="0.35">
      <c r="A12">
        <v>2024</v>
      </c>
      <c r="B12">
        <v>1</v>
      </c>
      <c r="C12" t="s">
        <v>42</v>
      </c>
      <c r="D12" t="s">
        <v>280</v>
      </c>
      <c r="E12" t="s">
        <v>269</v>
      </c>
      <c r="F12">
        <v>6420</v>
      </c>
      <c r="G12">
        <v>227878</v>
      </c>
      <c r="H12">
        <v>226319</v>
      </c>
      <c r="I12">
        <v>203500</v>
      </c>
      <c r="J12">
        <v>287748</v>
      </c>
      <c r="K12">
        <v>217292</v>
      </c>
      <c r="L12">
        <v>238400</v>
      </c>
    </row>
    <row r="13" spans="1:12" x14ac:dyDescent="0.35">
      <c r="A13">
        <v>2024</v>
      </c>
      <c r="B13">
        <v>1</v>
      </c>
      <c r="C13" t="s">
        <v>42</v>
      </c>
      <c r="D13" t="s">
        <v>280</v>
      </c>
      <c r="E13" t="s">
        <v>271</v>
      </c>
      <c r="F13">
        <v>709</v>
      </c>
      <c r="G13">
        <v>235042</v>
      </c>
      <c r="H13">
        <v>232710</v>
      </c>
      <c r="I13">
        <v>207526</v>
      </c>
      <c r="J13">
        <v>284324</v>
      </c>
      <c r="K13">
        <v>223265</v>
      </c>
      <c r="L13">
        <v>245716</v>
      </c>
    </row>
    <row r="14" spans="1:12" x14ac:dyDescent="0.35">
      <c r="A14">
        <v>2024</v>
      </c>
      <c r="B14">
        <v>1</v>
      </c>
      <c r="C14" t="s">
        <v>42</v>
      </c>
      <c r="D14" t="s">
        <v>280</v>
      </c>
      <c r="E14" t="s">
        <v>273</v>
      </c>
      <c r="F14">
        <v>15444</v>
      </c>
      <c r="G14">
        <v>294848</v>
      </c>
      <c r="H14">
        <v>291725</v>
      </c>
      <c r="I14">
        <v>210212</v>
      </c>
      <c r="J14">
        <v>374681</v>
      </c>
      <c r="K14">
        <v>276172</v>
      </c>
      <c r="L14">
        <v>315655</v>
      </c>
    </row>
    <row r="15" spans="1:12" x14ac:dyDescent="0.35">
      <c r="A15">
        <v>2024</v>
      </c>
      <c r="B15">
        <v>1</v>
      </c>
      <c r="C15" t="s">
        <v>42</v>
      </c>
      <c r="D15" t="s">
        <v>280</v>
      </c>
      <c r="E15" t="s">
        <v>275</v>
      </c>
      <c r="F15">
        <v>1772</v>
      </c>
      <c r="G15">
        <v>210793</v>
      </c>
      <c r="H15">
        <v>210210</v>
      </c>
      <c r="I15">
        <v>191418</v>
      </c>
      <c r="J15">
        <v>250765</v>
      </c>
      <c r="K15">
        <v>202895</v>
      </c>
      <c r="L15">
        <v>216922</v>
      </c>
    </row>
    <row r="16" spans="1:12" x14ac:dyDescent="0.35">
      <c r="A16">
        <v>2024</v>
      </c>
      <c r="B16">
        <v>1</v>
      </c>
      <c r="C16" t="s">
        <v>42</v>
      </c>
      <c r="D16" t="s">
        <v>280</v>
      </c>
      <c r="E16" t="s">
        <v>277</v>
      </c>
      <c r="F16">
        <v>6</v>
      </c>
      <c r="G16">
        <v>236317</v>
      </c>
      <c r="H16">
        <v>237150</v>
      </c>
      <c r="I16">
        <v>233400</v>
      </c>
      <c r="J16">
        <v>238400</v>
      </c>
      <c r="K16">
        <v>233400</v>
      </c>
      <c r="L16">
        <v>238400</v>
      </c>
    </row>
    <row r="17" spans="1:12" x14ac:dyDescent="0.35">
      <c r="A17">
        <v>2024</v>
      </c>
      <c r="B17">
        <v>2</v>
      </c>
      <c r="C17" t="s">
        <v>63</v>
      </c>
      <c r="D17" t="s">
        <v>280</v>
      </c>
      <c r="E17" t="s">
        <v>255</v>
      </c>
      <c r="F17">
        <v>12328</v>
      </c>
      <c r="G17">
        <v>462393</v>
      </c>
      <c r="H17">
        <v>445520</v>
      </c>
      <c r="I17">
        <v>297836</v>
      </c>
      <c r="J17">
        <v>798031</v>
      </c>
      <c r="K17">
        <v>399485</v>
      </c>
      <c r="L17">
        <v>526885</v>
      </c>
    </row>
    <row r="18" spans="1:12" x14ac:dyDescent="0.35">
      <c r="A18">
        <v>2024</v>
      </c>
      <c r="B18">
        <v>2</v>
      </c>
      <c r="C18" t="s">
        <v>63</v>
      </c>
      <c r="D18" t="s">
        <v>280</v>
      </c>
      <c r="E18" t="s">
        <v>257</v>
      </c>
      <c r="F18">
        <v>7793</v>
      </c>
      <c r="G18">
        <v>538014</v>
      </c>
      <c r="H18">
        <v>504658</v>
      </c>
      <c r="I18">
        <v>325286</v>
      </c>
      <c r="J18">
        <v>1057532</v>
      </c>
      <c r="K18">
        <v>445012</v>
      </c>
      <c r="L18">
        <v>623294</v>
      </c>
    </row>
    <row r="19" spans="1:12" x14ac:dyDescent="0.35">
      <c r="A19">
        <v>2024</v>
      </c>
      <c r="B19">
        <v>2</v>
      </c>
      <c r="C19" t="s">
        <v>63</v>
      </c>
      <c r="D19" t="s">
        <v>280</v>
      </c>
      <c r="E19" t="s">
        <v>259</v>
      </c>
      <c r="F19">
        <v>3372</v>
      </c>
      <c r="G19">
        <v>723544</v>
      </c>
      <c r="H19">
        <v>704673</v>
      </c>
      <c r="I19">
        <v>382502</v>
      </c>
      <c r="J19">
        <v>1126779</v>
      </c>
      <c r="K19">
        <v>667455</v>
      </c>
      <c r="L19">
        <v>810719</v>
      </c>
    </row>
    <row r="20" spans="1:12" x14ac:dyDescent="0.35">
      <c r="A20">
        <v>2024</v>
      </c>
      <c r="B20">
        <v>2</v>
      </c>
      <c r="C20" t="s">
        <v>63</v>
      </c>
      <c r="D20" t="s">
        <v>280</v>
      </c>
      <c r="E20" t="s">
        <v>261</v>
      </c>
      <c r="F20">
        <v>434</v>
      </c>
      <c r="G20">
        <v>876681</v>
      </c>
      <c r="H20">
        <v>873811</v>
      </c>
      <c r="I20">
        <v>554326</v>
      </c>
      <c r="J20">
        <v>1347672</v>
      </c>
      <c r="K20">
        <v>723699</v>
      </c>
      <c r="L20">
        <v>936779</v>
      </c>
    </row>
    <row r="21" spans="1:12" x14ac:dyDescent="0.35">
      <c r="A21">
        <v>2024</v>
      </c>
      <c r="B21">
        <v>2</v>
      </c>
      <c r="C21" t="s">
        <v>63</v>
      </c>
      <c r="D21" t="s">
        <v>280</v>
      </c>
      <c r="E21" t="s">
        <v>263</v>
      </c>
      <c r="F21">
        <v>408</v>
      </c>
      <c r="G21">
        <v>944073</v>
      </c>
      <c r="H21">
        <v>952101</v>
      </c>
      <c r="I21">
        <v>626760</v>
      </c>
      <c r="J21">
        <v>1371832</v>
      </c>
      <c r="K21">
        <v>764599</v>
      </c>
      <c r="L21">
        <v>1044725</v>
      </c>
    </row>
    <row r="22" spans="1:12" x14ac:dyDescent="0.35">
      <c r="A22">
        <v>2024</v>
      </c>
      <c r="B22">
        <v>2</v>
      </c>
      <c r="C22" t="s">
        <v>63</v>
      </c>
      <c r="D22" t="s">
        <v>280</v>
      </c>
      <c r="E22" t="s">
        <v>265</v>
      </c>
      <c r="F22">
        <v>1733</v>
      </c>
      <c r="G22">
        <v>255106</v>
      </c>
      <c r="H22">
        <v>247243</v>
      </c>
      <c r="I22">
        <v>229743</v>
      </c>
      <c r="J22">
        <v>351628</v>
      </c>
      <c r="K22">
        <v>239190</v>
      </c>
      <c r="L22">
        <v>266824</v>
      </c>
    </row>
    <row r="23" spans="1:12" x14ac:dyDescent="0.35">
      <c r="A23">
        <v>2024</v>
      </c>
      <c r="B23">
        <v>2</v>
      </c>
      <c r="C23" t="s">
        <v>63</v>
      </c>
      <c r="D23" t="s">
        <v>280</v>
      </c>
      <c r="E23" t="s">
        <v>267</v>
      </c>
      <c r="F23">
        <v>44529</v>
      </c>
      <c r="G23">
        <v>371699</v>
      </c>
      <c r="H23">
        <v>377404</v>
      </c>
      <c r="I23">
        <v>260064</v>
      </c>
      <c r="J23">
        <v>582430</v>
      </c>
      <c r="K23">
        <v>300519</v>
      </c>
      <c r="L23">
        <v>417404</v>
      </c>
    </row>
    <row r="24" spans="1:12" x14ac:dyDescent="0.35">
      <c r="A24">
        <v>2024</v>
      </c>
      <c r="B24">
        <v>2</v>
      </c>
      <c r="C24" t="s">
        <v>63</v>
      </c>
      <c r="D24" t="s">
        <v>280</v>
      </c>
      <c r="E24" t="s">
        <v>269</v>
      </c>
      <c r="F24">
        <v>6439</v>
      </c>
      <c r="G24">
        <v>228260</v>
      </c>
      <c r="H24">
        <v>226688</v>
      </c>
      <c r="I24">
        <v>202830</v>
      </c>
      <c r="J24">
        <v>288550</v>
      </c>
      <c r="K24">
        <v>217292</v>
      </c>
      <c r="L24">
        <v>238868</v>
      </c>
    </row>
    <row r="25" spans="1:12" x14ac:dyDescent="0.35">
      <c r="A25">
        <v>2024</v>
      </c>
      <c r="B25">
        <v>2</v>
      </c>
      <c r="C25" t="s">
        <v>63</v>
      </c>
      <c r="D25" t="s">
        <v>280</v>
      </c>
      <c r="E25" t="s">
        <v>271</v>
      </c>
      <c r="F25">
        <v>709</v>
      </c>
      <c r="G25">
        <v>235842</v>
      </c>
      <c r="H25">
        <v>232895</v>
      </c>
      <c r="I25">
        <v>206856</v>
      </c>
      <c r="J25">
        <v>284324</v>
      </c>
      <c r="K25">
        <v>225161</v>
      </c>
      <c r="L25">
        <v>245716</v>
      </c>
    </row>
    <row r="26" spans="1:12" x14ac:dyDescent="0.35">
      <c r="A26">
        <v>2024</v>
      </c>
      <c r="B26">
        <v>2</v>
      </c>
      <c r="C26" t="s">
        <v>63</v>
      </c>
      <c r="D26" t="s">
        <v>280</v>
      </c>
      <c r="E26" t="s">
        <v>273</v>
      </c>
      <c r="F26">
        <v>15425</v>
      </c>
      <c r="G26">
        <v>294682</v>
      </c>
      <c r="H26">
        <v>291725</v>
      </c>
      <c r="I26">
        <v>210212</v>
      </c>
      <c r="J26">
        <v>376239</v>
      </c>
      <c r="K26">
        <v>276172</v>
      </c>
      <c r="L26">
        <v>315655</v>
      </c>
    </row>
    <row r="27" spans="1:12" x14ac:dyDescent="0.35">
      <c r="A27">
        <v>2024</v>
      </c>
      <c r="B27">
        <v>2</v>
      </c>
      <c r="C27" t="s">
        <v>63</v>
      </c>
      <c r="D27" t="s">
        <v>280</v>
      </c>
      <c r="E27" t="s">
        <v>275</v>
      </c>
      <c r="F27">
        <v>1774</v>
      </c>
      <c r="G27">
        <v>211175</v>
      </c>
      <c r="H27">
        <v>210210</v>
      </c>
      <c r="I27">
        <v>191418</v>
      </c>
      <c r="J27">
        <v>250899</v>
      </c>
      <c r="K27">
        <v>202895</v>
      </c>
      <c r="L27">
        <v>217895</v>
      </c>
    </row>
    <row r="28" spans="1:12" x14ac:dyDescent="0.35">
      <c r="A28">
        <v>2024</v>
      </c>
      <c r="B28">
        <v>2</v>
      </c>
      <c r="C28" t="s">
        <v>63</v>
      </c>
      <c r="D28" t="s">
        <v>280</v>
      </c>
      <c r="E28" t="s">
        <v>277</v>
      </c>
      <c r="F28">
        <v>6</v>
      </c>
      <c r="G28">
        <v>236317</v>
      </c>
      <c r="H28">
        <v>237150</v>
      </c>
      <c r="I28">
        <v>233400</v>
      </c>
      <c r="J28">
        <v>238400</v>
      </c>
      <c r="K28">
        <v>233400</v>
      </c>
      <c r="L28">
        <v>238400</v>
      </c>
    </row>
    <row r="29" spans="1:12" x14ac:dyDescent="0.35">
      <c r="A29">
        <v>2024</v>
      </c>
      <c r="B29">
        <v>3</v>
      </c>
      <c r="C29" t="s">
        <v>66</v>
      </c>
      <c r="D29" t="s">
        <v>280</v>
      </c>
      <c r="E29" t="s">
        <v>255</v>
      </c>
      <c r="F29">
        <v>12757</v>
      </c>
      <c r="G29">
        <v>457960</v>
      </c>
      <c r="H29">
        <v>440544</v>
      </c>
      <c r="I29">
        <v>297836</v>
      </c>
      <c r="J29">
        <v>796225</v>
      </c>
      <c r="K29">
        <v>398883</v>
      </c>
      <c r="L29">
        <v>518403</v>
      </c>
    </row>
    <row r="30" spans="1:12" x14ac:dyDescent="0.35">
      <c r="A30">
        <v>2024</v>
      </c>
      <c r="B30">
        <v>3</v>
      </c>
      <c r="C30" t="s">
        <v>66</v>
      </c>
      <c r="D30" t="s">
        <v>280</v>
      </c>
      <c r="E30" t="s">
        <v>257</v>
      </c>
      <c r="F30">
        <v>7970</v>
      </c>
      <c r="G30">
        <v>532722</v>
      </c>
      <c r="H30">
        <v>506739</v>
      </c>
      <c r="I30">
        <v>325286</v>
      </c>
      <c r="J30">
        <v>1051780</v>
      </c>
      <c r="K30">
        <v>443044</v>
      </c>
      <c r="L30">
        <v>612418</v>
      </c>
    </row>
    <row r="31" spans="1:12" x14ac:dyDescent="0.35">
      <c r="A31">
        <v>2024</v>
      </c>
      <c r="B31">
        <v>3</v>
      </c>
      <c r="C31" t="s">
        <v>66</v>
      </c>
      <c r="D31" t="s">
        <v>280</v>
      </c>
      <c r="E31" t="s">
        <v>259</v>
      </c>
      <c r="F31">
        <v>3396</v>
      </c>
      <c r="G31">
        <v>713268</v>
      </c>
      <c r="H31">
        <v>679955</v>
      </c>
      <c r="I31">
        <v>382502</v>
      </c>
      <c r="J31">
        <v>1099332</v>
      </c>
      <c r="K31">
        <v>657824</v>
      </c>
      <c r="L31">
        <v>805719</v>
      </c>
    </row>
    <row r="32" spans="1:12" x14ac:dyDescent="0.35">
      <c r="A32">
        <v>2024</v>
      </c>
      <c r="B32">
        <v>3</v>
      </c>
      <c r="C32" t="s">
        <v>66</v>
      </c>
      <c r="D32" t="s">
        <v>280</v>
      </c>
      <c r="E32" t="s">
        <v>261</v>
      </c>
      <c r="F32">
        <v>419</v>
      </c>
      <c r="G32">
        <v>863708</v>
      </c>
      <c r="H32">
        <v>873811</v>
      </c>
      <c r="I32">
        <v>554326</v>
      </c>
      <c r="J32">
        <v>1347670</v>
      </c>
      <c r="K32">
        <v>723699</v>
      </c>
      <c r="L32">
        <v>909500</v>
      </c>
    </row>
    <row r="33" spans="1:12" x14ac:dyDescent="0.35">
      <c r="A33">
        <v>2024</v>
      </c>
      <c r="B33">
        <v>3</v>
      </c>
      <c r="C33" t="s">
        <v>66</v>
      </c>
      <c r="D33" t="s">
        <v>280</v>
      </c>
      <c r="E33" t="s">
        <v>263</v>
      </c>
      <c r="F33">
        <v>437</v>
      </c>
      <c r="G33">
        <v>965512</v>
      </c>
      <c r="H33">
        <v>961201</v>
      </c>
      <c r="I33">
        <v>630977</v>
      </c>
      <c r="J33">
        <v>1371832</v>
      </c>
      <c r="K33">
        <v>841977</v>
      </c>
      <c r="L33">
        <v>1059725</v>
      </c>
    </row>
    <row r="34" spans="1:12" x14ac:dyDescent="0.35">
      <c r="A34">
        <v>2024</v>
      </c>
      <c r="B34">
        <v>3</v>
      </c>
      <c r="C34" t="s">
        <v>66</v>
      </c>
      <c r="D34" t="s">
        <v>280</v>
      </c>
      <c r="E34" t="s">
        <v>265</v>
      </c>
      <c r="F34">
        <v>1841</v>
      </c>
      <c r="G34">
        <v>253495</v>
      </c>
      <c r="H34">
        <v>246824</v>
      </c>
      <c r="I34">
        <v>229743</v>
      </c>
      <c r="J34">
        <v>351628</v>
      </c>
      <c r="K34">
        <v>234743</v>
      </c>
      <c r="L34">
        <v>262797</v>
      </c>
    </row>
    <row r="35" spans="1:12" x14ac:dyDescent="0.35">
      <c r="A35">
        <v>2024</v>
      </c>
      <c r="B35">
        <v>3</v>
      </c>
      <c r="C35" t="s">
        <v>66</v>
      </c>
      <c r="D35" t="s">
        <v>280</v>
      </c>
      <c r="E35" t="s">
        <v>267</v>
      </c>
      <c r="F35">
        <v>44833</v>
      </c>
      <c r="G35">
        <v>370635</v>
      </c>
      <c r="H35">
        <v>377404</v>
      </c>
      <c r="I35">
        <v>260064</v>
      </c>
      <c r="J35">
        <v>582050</v>
      </c>
      <c r="K35">
        <v>305519</v>
      </c>
      <c r="L35">
        <v>415040</v>
      </c>
    </row>
    <row r="36" spans="1:12" x14ac:dyDescent="0.35">
      <c r="A36">
        <v>2024</v>
      </c>
      <c r="B36">
        <v>3</v>
      </c>
      <c r="C36" t="s">
        <v>66</v>
      </c>
      <c r="D36" t="s">
        <v>280</v>
      </c>
      <c r="E36" t="s">
        <v>269</v>
      </c>
      <c r="F36">
        <v>6619</v>
      </c>
      <c r="G36">
        <v>228271</v>
      </c>
      <c r="H36">
        <v>226688</v>
      </c>
      <c r="I36">
        <v>202944</v>
      </c>
      <c r="J36">
        <v>287748</v>
      </c>
      <c r="K36">
        <v>217292</v>
      </c>
      <c r="L36">
        <v>238722</v>
      </c>
    </row>
    <row r="37" spans="1:12" x14ac:dyDescent="0.35">
      <c r="A37">
        <v>2024</v>
      </c>
      <c r="B37">
        <v>3</v>
      </c>
      <c r="C37" t="s">
        <v>66</v>
      </c>
      <c r="D37" t="s">
        <v>280</v>
      </c>
      <c r="E37" t="s">
        <v>271</v>
      </c>
      <c r="F37">
        <v>705</v>
      </c>
      <c r="G37">
        <v>235280</v>
      </c>
      <c r="H37">
        <v>232895</v>
      </c>
      <c r="I37">
        <v>207526</v>
      </c>
      <c r="J37">
        <v>284324</v>
      </c>
      <c r="K37">
        <v>223265</v>
      </c>
      <c r="L37">
        <v>245716</v>
      </c>
    </row>
    <row r="38" spans="1:12" x14ac:dyDescent="0.35">
      <c r="A38">
        <v>2024</v>
      </c>
      <c r="B38">
        <v>3</v>
      </c>
      <c r="C38" t="s">
        <v>66</v>
      </c>
      <c r="D38" t="s">
        <v>280</v>
      </c>
      <c r="E38" t="s">
        <v>273</v>
      </c>
      <c r="F38">
        <v>15523</v>
      </c>
      <c r="G38">
        <v>294416</v>
      </c>
      <c r="H38">
        <v>291725</v>
      </c>
      <c r="I38">
        <v>210212</v>
      </c>
      <c r="J38">
        <v>374681</v>
      </c>
      <c r="K38">
        <v>276172</v>
      </c>
      <c r="L38">
        <v>315655</v>
      </c>
    </row>
    <row r="39" spans="1:12" x14ac:dyDescent="0.35">
      <c r="A39">
        <v>2024</v>
      </c>
      <c r="B39">
        <v>3</v>
      </c>
      <c r="C39" t="s">
        <v>66</v>
      </c>
      <c r="D39" t="s">
        <v>280</v>
      </c>
      <c r="E39" t="s">
        <v>275</v>
      </c>
      <c r="F39">
        <v>1818</v>
      </c>
      <c r="G39">
        <v>210863</v>
      </c>
      <c r="H39">
        <v>210210</v>
      </c>
      <c r="I39">
        <v>191418</v>
      </c>
      <c r="J39">
        <v>250765</v>
      </c>
      <c r="K39">
        <v>202895</v>
      </c>
      <c r="L39">
        <v>217710</v>
      </c>
    </row>
    <row r="40" spans="1:12" x14ac:dyDescent="0.35">
      <c r="A40">
        <v>2024</v>
      </c>
      <c r="B40">
        <v>3</v>
      </c>
      <c r="C40" t="s">
        <v>66</v>
      </c>
      <c r="D40" t="s">
        <v>280</v>
      </c>
      <c r="E40" t="s">
        <v>277</v>
      </c>
      <c r="F40">
        <v>6</v>
      </c>
      <c r="G40">
        <v>236317</v>
      </c>
      <c r="H40">
        <v>237150</v>
      </c>
      <c r="I40">
        <v>233400</v>
      </c>
      <c r="J40">
        <v>238400</v>
      </c>
      <c r="K40">
        <v>233400</v>
      </c>
      <c r="L40">
        <v>238400</v>
      </c>
    </row>
    <row r="41" spans="1:12" x14ac:dyDescent="0.35">
      <c r="A41">
        <v>2024</v>
      </c>
      <c r="B41">
        <v>4</v>
      </c>
      <c r="C41" t="s">
        <v>67</v>
      </c>
      <c r="D41" t="s">
        <v>280</v>
      </c>
      <c r="E41" t="s">
        <v>255</v>
      </c>
      <c r="F41">
        <v>13007</v>
      </c>
      <c r="G41">
        <v>454991</v>
      </c>
      <c r="H41">
        <v>436333</v>
      </c>
      <c r="I41">
        <v>297834</v>
      </c>
      <c r="J41">
        <v>789833</v>
      </c>
      <c r="K41">
        <v>398883</v>
      </c>
      <c r="L41">
        <v>512068</v>
      </c>
    </row>
    <row r="42" spans="1:12" x14ac:dyDescent="0.35">
      <c r="A42">
        <v>2024</v>
      </c>
      <c r="B42">
        <v>4</v>
      </c>
      <c r="C42" t="s">
        <v>67</v>
      </c>
      <c r="D42" t="s">
        <v>280</v>
      </c>
      <c r="E42" t="s">
        <v>257</v>
      </c>
      <c r="F42">
        <v>8109</v>
      </c>
      <c r="G42">
        <v>531219</v>
      </c>
      <c r="H42">
        <v>504658</v>
      </c>
      <c r="I42">
        <v>325286</v>
      </c>
      <c r="J42">
        <v>1041609</v>
      </c>
      <c r="K42">
        <v>442073</v>
      </c>
      <c r="L42">
        <v>610521</v>
      </c>
    </row>
    <row r="43" spans="1:12" x14ac:dyDescent="0.35">
      <c r="A43">
        <v>2024</v>
      </c>
      <c r="B43">
        <v>4</v>
      </c>
      <c r="C43" t="s">
        <v>67</v>
      </c>
      <c r="D43" t="s">
        <v>280</v>
      </c>
      <c r="E43" t="s">
        <v>259</v>
      </c>
      <c r="F43">
        <v>3446</v>
      </c>
      <c r="G43">
        <v>711303</v>
      </c>
      <c r="H43">
        <v>679955</v>
      </c>
      <c r="I43">
        <v>382502</v>
      </c>
      <c r="J43">
        <v>1127245</v>
      </c>
      <c r="K43">
        <v>655237</v>
      </c>
      <c r="L43">
        <v>805719</v>
      </c>
    </row>
    <row r="44" spans="1:12" x14ac:dyDescent="0.35">
      <c r="A44">
        <v>2024</v>
      </c>
      <c r="B44">
        <v>4</v>
      </c>
      <c r="C44" t="s">
        <v>67</v>
      </c>
      <c r="D44" t="s">
        <v>280</v>
      </c>
      <c r="E44" t="s">
        <v>261</v>
      </c>
      <c r="F44">
        <v>429</v>
      </c>
      <c r="G44">
        <v>869319</v>
      </c>
      <c r="H44">
        <v>873811</v>
      </c>
      <c r="I44">
        <v>554326</v>
      </c>
      <c r="J44">
        <v>1347672</v>
      </c>
      <c r="K44">
        <v>723699</v>
      </c>
      <c r="L44">
        <v>909500</v>
      </c>
    </row>
    <row r="45" spans="1:12" x14ac:dyDescent="0.35">
      <c r="A45">
        <v>2024</v>
      </c>
      <c r="B45">
        <v>4</v>
      </c>
      <c r="C45" t="s">
        <v>67</v>
      </c>
      <c r="D45" t="s">
        <v>280</v>
      </c>
      <c r="E45" t="s">
        <v>263</v>
      </c>
      <c r="F45">
        <v>397</v>
      </c>
      <c r="G45">
        <v>933195</v>
      </c>
      <c r="H45">
        <v>952101</v>
      </c>
      <c r="I45">
        <v>630977</v>
      </c>
      <c r="J45">
        <v>1371832</v>
      </c>
      <c r="K45">
        <v>757099</v>
      </c>
      <c r="L45">
        <v>1044725</v>
      </c>
    </row>
    <row r="46" spans="1:12" x14ac:dyDescent="0.35">
      <c r="A46">
        <v>2024</v>
      </c>
      <c r="B46">
        <v>4</v>
      </c>
      <c r="C46" t="s">
        <v>67</v>
      </c>
      <c r="D46" t="s">
        <v>280</v>
      </c>
      <c r="E46" t="s">
        <v>265</v>
      </c>
      <c r="F46">
        <v>1874</v>
      </c>
      <c r="G46">
        <v>254396</v>
      </c>
      <c r="H46">
        <v>247243</v>
      </c>
      <c r="I46">
        <v>229743</v>
      </c>
      <c r="J46">
        <v>353938</v>
      </c>
      <c r="K46">
        <v>237243</v>
      </c>
      <c r="L46">
        <v>266435</v>
      </c>
    </row>
    <row r="47" spans="1:12" x14ac:dyDescent="0.35">
      <c r="A47">
        <v>2024</v>
      </c>
      <c r="B47">
        <v>4</v>
      </c>
      <c r="C47" t="s">
        <v>67</v>
      </c>
      <c r="D47" t="s">
        <v>280</v>
      </c>
      <c r="E47" t="s">
        <v>267</v>
      </c>
      <c r="F47">
        <v>45226</v>
      </c>
      <c r="G47">
        <v>368399</v>
      </c>
      <c r="H47">
        <v>377404</v>
      </c>
      <c r="I47">
        <v>260063</v>
      </c>
      <c r="J47">
        <v>579646</v>
      </c>
      <c r="K47">
        <v>303019</v>
      </c>
      <c r="L47">
        <v>413143</v>
      </c>
    </row>
    <row r="48" spans="1:12" x14ac:dyDescent="0.35">
      <c r="A48">
        <v>2024</v>
      </c>
      <c r="B48">
        <v>4</v>
      </c>
      <c r="C48" t="s">
        <v>67</v>
      </c>
      <c r="D48" t="s">
        <v>280</v>
      </c>
      <c r="E48" t="s">
        <v>269</v>
      </c>
      <c r="F48">
        <v>6643</v>
      </c>
      <c r="G48">
        <v>228102</v>
      </c>
      <c r="H48">
        <v>226688</v>
      </c>
      <c r="I48">
        <v>203500</v>
      </c>
      <c r="J48">
        <v>287748</v>
      </c>
      <c r="K48">
        <v>217292</v>
      </c>
      <c r="L48">
        <v>238769</v>
      </c>
    </row>
    <row r="49" spans="1:12" x14ac:dyDescent="0.35">
      <c r="A49">
        <v>2024</v>
      </c>
      <c r="B49">
        <v>4</v>
      </c>
      <c r="C49" t="s">
        <v>67</v>
      </c>
      <c r="D49" t="s">
        <v>280</v>
      </c>
      <c r="E49" t="s">
        <v>271</v>
      </c>
      <c r="F49">
        <v>706</v>
      </c>
      <c r="G49">
        <v>235238</v>
      </c>
      <c r="H49">
        <v>232895</v>
      </c>
      <c r="I49">
        <v>207202</v>
      </c>
      <c r="J49">
        <v>284324</v>
      </c>
      <c r="K49">
        <v>223265</v>
      </c>
      <c r="L49">
        <v>245765</v>
      </c>
    </row>
    <row r="50" spans="1:12" x14ac:dyDescent="0.35">
      <c r="A50">
        <v>2024</v>
      </c>
      <c r="B50">
        <v>4</v>
      </c>
      <c r="C50" t="s">
        <v>67</v>
      </c>
      <c r="D50" t="s">
        <v>280</v>
      </c>
      <c r="E50" t="s">
        <v>273</v>
      </c>
      <c r="F50">
        <v>15483</v>
      </c>
      <c r="G50">
        <v>294210</v>
      </c>
      <c r="H50">
        <v>291172</v>
      </c>
      <c r="I50">
        <v>210212</v>
      </c>
      <c r="J50">
        <v>374681</v>
      </c>
      <c r="K50">
        <v>276172</v>
      </c>
      <c r="L50">
        <v>315655</v>
      </c>
    </row>
    <row r="51" spans="1:12" x14ac:dyDescent="0.35">
      <c r="A51">
        <v>2024</v>
      </c>
      <c r="B51">
        <v>4</v>
      </c>
      <c r="C51" t="s">
        <v>67</v>
      </c>
      <c r="D51" t="s">
        <v>280</v>
      </c>
      <c r="E51" t="s">
        <v>275</v>
      </c>
      <c r="F51">
        <v>1884</v>
      </c>
      <c r="G51">
        <v>210629</v>
      </c>
      <c r="H51">
        <v>210210</v>
      </c>
      <c r="I51">
        <v>191418</v>
      </c>
      <c r="J51">
        <v>250765</v>
      </c>
      <c r="K51">
        <v>202895</v>
      </c>
      <c r="L51">
        <v>217710</v>
      </c>
    </row>
    <row r="52" spans="1:12" x14ac:dyDescent="0.35">
      <c r="A52">
        <v>2024</v>
      </c>
      <c r="B52">
        <v>4</v>
      </c>
      <c r="C52" t="s">
        <v>67</v>
      </c>
      <c r="D52" t="s">
        <v>280</v>
      </c>
      <c r="E52" t="s">
        <v>277</v>
      </c>
      <c r="F52">
        <v>6</v>
      </c>
      <c r="G52">
        <v>236317</v>
      </c>
      <c r="H52">
        <v>237150</v>
      </c>
      <c r="I52">
        <v>233400</v>
      </c>
      <c r="J52">
        <v>238400</v>
      </c>
      <c r="K52">
        <v>233400</v>
      </c>
      <c r="L52">
        <v>238400</v>
      </c>
    </row>
    <row r="53" spans="1:12" x14ac:dyDescent="0.35">
      <c r="A53">
        <v>2024</v>
      </c>
      <c r="B53">
        <v>5</v>
      </c>
      <c r="C53" t="s">
        <v>68</v>
      </c>
      <c r="D53" t="s">
        <v>280</v>
      </c>
      <c r="E53" t="s">
        <v>255</v>
      </c>
      <c r="F53">
        <v>13177</v>
      </c>
      <c r="G53">
        <v>452793</v>
      </c>
      <c r="H53">
        <v>433833</v>
      </c>
      <c r="I53">
        <v>297836</v>
      </c>
      <c r="J53">
        <v>766421</v>
      </c>
      <c r="K53">
        <v>398883</v>
      </c>
      <c r="L53">
        <v>510903</v>
      </c>
    </row>
    <row r="54" spans="1:12" x14ac:dyDescent="0.35">
      <c r="A54">
        <v>2024</v>
      </c>
      <c r="B54">
        <v>5</v>
      </c>
      <c r="C54" t="s">
        <v>68</v>
      </c>
      <c r="D54" t="s">
        <v>280</v>
      </c>
      <c r="E54" t="s">
        <v>257</v>
      </c>
      <c r="F54">
        <v>8087</v>
      </c>
      <c r="G54">
        <v>529765</v>
      </c>
      <c r="H54">
        <v>501739</v>
      </c>
      <c r="I54">
        <v>325286</v>
      </c>
      <c r="J54">
        <v>1044108</v>
      </c>
      <c r="K54">
        <v>443044</v>
      </c>
      <c r="L54">
        <v>607596</v>
      </c>
    </row>
    <row r="55" spans="1:12" x14ac:dyDescent="0.35">
      <c r="A55">
        <v>2024</v>
      </c>
      <c r="B55">
        <v>5</v>
      </c>
      <c r="C55" t="s">
        <v>68</v>
      </c>
      <c r="D55" t="s">
        <v>280</v>
      </c>
      <c r="E55" t="s">
        <v>259</v>
      </c>
      <c r="F55">
        <v>3453</v>
      </c>
      <c r="G55">
        <v>711433</v>
      </c>
      <c r="H55">
        <v>679955</v>
      </c>
      <c r="I55">
        <v>382502</v>
      </c>
      <c r="J55">
        <v>1106831</v>
      </c>
      <c r="K55">
        <v>655237</v>
      </c>
      <c r="L55">
        <v>805719</v>
      </c>
    </row>
    <row r="56" spans="1:12" x14ac:dyDescent="0.35">
      <c r="A56">
        <v>2024</v>
      </c>
      <c r="B56">
        <v>5</v>
      </c>
      <c r="C56" t="s">
        <v>68</v>
      </c>
      <c r="D56" t="s">
        <v>280</v>
      </c>
      <c r="E56" t="s">
        <v>261</v>
      </c>
      <c r="F56">
        <v>425</v>
      </c>
      <c r="G56">
        <v>865577</v>
      </c>
      <c r="H56">
        <v>873811</v>
      </c>
      <c r="I56">
        <v>554326</v>
      </c>
      <c r="J56">
        <v>1347672</v>
      </c>
      <c r="K56">
        <v>723699</v>
      </c>
      <c r="L56">
        <v>909500</v>
      </c>
    </row>
    <row r="57" spans="1:12" x14ac:dyDescent="0.35">
      <c r="A57">
        <v>2024</v>
      </c>
      <c r="B57">
        <v>5</v>
      </c>
      <c r="C57" t="s">
        <v>68</v>
      </c>
      <c r="D57" t="s">
        <v>280</v>
      </c>
      <c r="E57" t="s">
        <v>263</v>
      </c>
      <c r="F57">
        <v>404</v>
      </c>
      <c r="G57">
        <v>949700</v>
      </c>
      <c r="H57">
        <v>952101</v>
      </c>
      <c r="I57">
        <v>630977</v>
      </c>
      <c r="J57">
        <v>1409539</v>
      </c>
      <c r="K57">
        <v>764599</v>
      </c>
      <c r="L57">
        <v>1052225</v>
      </c>
    </row>
    <row r="58" spans="1:12" x14ac:dyDescent="0.35">
      <c r="A58">
        <v>2024</v>
      </c>
      <c r="B58">
        <v>5</v>
      </c>
      <c r="C58" t="s">
        <v>68</v>
      </c>
      <c r="D58" t="s">
        <v>280</v>
      </c>
      <c r="E58" t="s">
        <v>265</v>
      </c>
      <c r="F58">
        <v>1907</v>
      </c>
      <c r="G58">
        <v>254221</v>
      </c>
      <c r="H58">
        <v>247243</v>
      </c>
      <c r="I58">
        <v>229743</v>
      </c>
      <c r="J58">
        <v>352343</v>
      </c>
      <c r="K58">
        <v>237243</v>
      </c>
      <c r="L58">
        <v>262797</v>
      </c>
    </row>
    <row r="59" spans="1:12" x14ac:dyDescent="0.35">
      <c r="A59">
        <v>2024</v>
      </c>
      <c r="B59">
        <v>5</v>
      </c>
      <c r="C59" t="s">
        <v>68</v>
      </c>
      <c r="D59" t="s">
        <v>280</v>
      </c>
      <c r="E59" t="s">
        <v>267</v>
      </c>
      <c r="F59">
        <v>45145</v>
      </c>
      <c r="G59">
        <v>368840</v>
      </c>
      <c r="H59">
        <v>376295</v>
      </c>
      <c r="I59">
        <v>260063</v>
      </c>
      <c r="J59">
        <v>582857</v>
      </c>
      <c r="K59">
        <v>303627</v>
      </c>
      <c r="L59">
        <v>412540</v>
      </c>
    </row>
    <row r="60" spans="1:12" x14ac:dyDescent="0.35">
      <c r="A60">
        <v>2024</v>
      </c>
      <c r="B60">
        <v>5</v>
      </c>
      <c r="C60" t="s">
        <v>68</v>
      </c>
      <c r="D60" t="s">
        <v>280</v>
      </c>
      <c r="E60" t="s">
        <v>269</v>
      </c>
      <c r="F60">
        <v>6644</v>
      </c>
      <c r="G60">
        <v>228023</v>
      </c>
      <c r="H60">
        <v>226688</v>
      </c>
      <c r="I60">
        <v>202885</v>
      </c>
      <c r="J60">
        <v>287748</v>
      </c>
      <c r="K60">
        <v>216368</v>
      </c>
      <c r="L60">
        <v>238769</v>
      </c>
    </row>
    <row r="61" spans="1:12" x14ac:dyDescent="0.35">
      <c r="A61">
        <v>2024</v>
      </c>
      <c r="B61">
        <v>5</v>
      </c>
      <c r="C61" t="s">
        <v>68</v>
      </c>
      <c r="D61" t="s">
        <v>280</v>
      </c>
      <c r="E61" t="s">
        <v>271</v>
      </c>
      <c r="F61">
        <v>710</v>
      </c>
      <c r="G61">
        <v>235091</v>
      </c>
      <c r="H61">
        <v>232895</v>
      </c>
      <c r="I61">
        <v>207526</v>
      </c>
      <c r="J61">
        <v>284324</v>
      </c>
      <c r="K61">
        <v>223265</v>
      </c>
      <c r="L61">
        <v>245716</v>
      </c>
    </row>
    <row r="62" spans="1:12" x14ac:dyDescent="0.35">
      <c r="A62">
        <v>2024</v>
      </c>
      <c r="B62">
        <v>5</v>
      </c>
      <c r="C62" t="s">
        <v>68</v>
      </c>
      <c r="D62" t="s">
        <v>280</v>
      </c>
      <c r="E62" t="s">
        <v>273</v>
      </c>
      <c r="F62">
        <v>15415</v>
      </c>
      <c r="G62">
        <v>294037</v>
      </c>
      <c r="H62">
        <v>290938</v>
      </c>
      <c r="I62">
        <v>210212</v>
      </c>
      <c r="J62">
        <v>374681</v>
      </c>
      <c r="K62">
        <v>276172</v>
      </c>
      <c r="L62">
        <v>314176</v>
      </c>
    </row>
    <row r="63" spans="1:12" x14ac:dyDescent="0.35">
      <c r="A63">
        <v>2024</v>
      </c>
      <c r="B63">
        <v>5</v>
      </c>
      <c r="C63" t="s">
        <v>68</v>
      </c>
      <c r="D63" t="s">
        <v>280</v>
      </c>
      <c r="E63" t="s">
        <v>275</v>
      </c>
      <c r="F63">
        <v>1880</v>
      </c>
      <c r="G63">
        <v>210537</v>
      </c>
      <c r="H63">
        <v>210210</v>
      </c>
      <c r="I63">
        <v>191418</v>
      </c>
      <c r="J63">
        <v>250765</v>
      </c>
      <c r="K63">
        <v>202895</v>
      </c>
      <c r="L63">
        <v>217369</v>
      </c>
    </row>
    <row r="64" spans="1:12" x14ac:dyDescent="0.35">
      <c r="A64">
        <v>2024</v>
      </c>
      <c r="B64">
        <v>5</v>
      </c>
      <c r="C64" t="s">
        <v>68</v>
      </c>
      <c r="D64" t="s">
        <v>280</v>
      </c>
      <c r="E64" t="s">
        <v>277</v>
      </c>
      <c r="F64">
        <v>6</v>
      </c>
      <c r="G64">
        <v>236317</v>
      </c>
      <c r="H64">
        <v>237150</v>
      </c>
      <c r="I64">
        <v>233400</v>
      </c>
      <c r="J64">
        <v>238400</v>
      </c>
      <c r="K64">
        <v>233400</v>
      </c>
      <c r="L64">
        <v>238400</v>
      </c>
    </row>
    <row r="65" spans="1:12" x14ac:dyDescent="0.35">
      <c r="A65">
        <v>2024</v>
      </c>
      <c r="B65">
        <v>6</v>
      </c>
      <c r="C65" t="s">
        <v>69</v>
      </c>
      <c r="D65" t="s">
        <v>280</v>
      </c>
      <c r="E65" t="s">
        <v>255</v>
      </c>
      <c r="F65">
        <v>13289</v>
      </c>
      <c r="G65">
        <v>452247</v>
      </c>
      <c r="H65">
        <v>433044</v>
      </c>
      <c r="I65">
        <v>297836</v>
      </c>
      <c r="J65">
        <v>789008</v>
      </c>
      <c r="K65">
        <v>398883</v>
      </c>
      <c r="L65">
        <v>510903</v>
      </c>
    </row>
    <row r="66" spans="1:12" x14ac:dyDescent="0.35">
      <c r="A66">
        <v>2024</v>
      </c>
      <c r="B66">
        <v>6</v>
      </c>
      <c r="C66" t="s">
        <v>69</v>
      </c>
      <c r="D66" t="s">
        <v>280</v>
      </c>
      <c r="E66" t="s">
        <v>257</v>
      </c>
      <c r="F66">
        <v>8088</v>
      </c>
      <c r="G66">
        <v>529523</v>
      </c>
      <c r="H66">
        <v>500903</v>
      </c>
      <c r="I66">
        <v>325286</v>
      </c>
      <c r="J66">
        <v>1080320</v>
      </c>
      <c r="K66">
        <v>443044</v>
      </c>
      <c r="L66">
        <v>605521</v>
      </c>
    </row>
    <row r="67" spans="1:12" x14ac:dyDescent="0.35">
      <c r="A67">
        <v>2024</v>
      </c>
      <c r="B67">
        <v>6</v>
      </c>
      <c r="C67" t="s">
        <v>69</v>
      </c>
      <c r="D67" t="s">
        <v>280</v>
      </c>
      <c r="E67" t="s">
        <v>259</v>
      </c>
      <c r="F67">
        <v>3489</v>
      </c>
      <c r="G67">
        <v>711318</v>
      </c>
      <c r="H67">
        <v>679955</v>
      </c>
      <c r="I67">
        <v>382502</v>
      </c>
      <c r="J67">
        <v>1106831</v>
      </c>
      <c r="K67">
        <v>655140</v>
      </c>
      <c r="L67">
        <v>805719</v>
      </c>
    </row>
    <row r="68" spans="1:12" x14ac:dyDescent="0.35">
      <c r="A68">
        <v>2024</v>
      </c>
      <c r="B68">
        <v>6</v>
      </c>
      <c r="C68" t="s">
        <v>69</v>
      </c>
      <c r="D68" t="s">
        <v>280</v>
      </c>
      <c r="E68" t="s">
        <v>261</v>
      </c>
      <c r="F68">
        <v>423</v>
      </c>
      <c r="G68">
        <v>861592</v>
      </c>
      <c r="H68">
        <v>867101</v>
      </c>
      <c r="I68">
        <v>554326</v>
      </c>
      <c r="J68">
        <v>1347672</v>
      </c>
      <c r="K68">
        <v>723699</v>
      </c>
      <c r="L68">
        <v>902000</v>
      </c>
    </row>
    <row r="69" spans="1:12" x14ac:dyDescent="0.35">
      <c r="A69">
        <v>2024</v>
      </c>
      <c r="B69">
        <v>6</v>
      </c>
      <c r="C69" t="s">
        <v>69</v>
      </c>
      <c r="D69" t="s">
        <v>280</v>
      </c>
      <c r="E69" t="s">
        <v>263</v>
      </c>
      <c r="F69">
        <v>405</v>
      </c>
      <c r="G69">
        <v>938709</v>
      </c>
      <c r="H69">
        <v>952101</v>
      </c>
      <c r="I69">
        <v>630977</v>
      </c>
      <c r="J69">
        <v>1422063</v>
      </c>
      <c r="K69">
        <v>757099</v>
      </c>
      <c r="L69">
        <v>1044725</v>
      </c>
    </row>
    <row r="70" spans="1:12" x14ac:dyDescent="0.35">
      <c r="A70">
        <v>2024</v>
      </c>
      <c r="B70">
        <v>6</v>
      </c>
      <c r="C70" t="s">
        <v>69</v>
      </c>
      <c r="D70" t="s">
        <v>280</v>
      </c>
      <c r="E70" t="s">
        <v>265</v>
      </c>
      <c r="F70">
        <v>1953</v>
      </c>
      <c r="G70">
        <v>254531</v>
      </c>
      <c r="H70">
        <v>247797</v>
      </c>
      <c r="I70">
        <v>229743</v>
      </c>
      <c r="J70">
        <v>354944</v>
      </c>
      <c r="K70">
        <v>239190</v>
      </c>
      <c r="L70">
        <v>262797</v>
      </c>
    </row>
    <row r="71" spans="1:12" x14ac:dyDescent="0.35">
      <c r="A71">
        <v>2024</v>
      </c>
      <c r="B71">
        <v>6</v>
      </c>
      <c r="C71" t="s">
        <v>69</v>
      </c>
      <c r="D71" t="s">
        <v>280</v>
      </c>
      <c r="E71" t="s">
        <v>267</v>
      </c>
      <c r="F71">
        <v>45284</v>
      </c>
      <c r="G71">
        <v>369040</v>
      </c>
      <c r="H71">
        <v>377404</v>
      </c>
      <c r="I71">
        <v>260063</v>
      </c>
      <c r="J71">
        <v>579646</v>
      </c>
      <c r="K71">
        <v>303019</v>
      </c>
      <c r="L71">
        <v>413143</v>
      </c>
    </row>
    <row r="72" spans="1:12" x14ac:dyDescent="0.35">
      <c r="A72">
        <v>2024</v>
      </c>
      <c r="B72">
        <v>6</v>
      </c>
      <c r="C72" t="s">
        <v>69</v>
      </c>
      <c r="D72" t="s">
        <v>280</v>
      </c>
      <c r="E72" t="s">
        <v>269</v>
      </c>
      <c r="F72">
        <v>6699</v>
      </c>
      <c r="G72">
        <v>227969</v>
      </c>
      <c r="H72">
        <v>226688</v>
      </c>
      <c r="I72">
        <v>202830</v>
      </c>
      <c r="J72">
        <v>287748</v>
      </c>
      <c r="K72">
        <v>216368</v>
      </c>
      <c r="L72">
        <v>238769</v>
      </c>
    </row>
    <row r="73" spans="1:12" x14ac:dyDescent="0.35">
      <c r="A73">
        <v>2024</v>
      </c>
      <c r="B73">
        <v>6</v>
      </c>
      <c r="C73" t="s">
        <v>69</v>
      </c>
      <c r="D73" t="s">
        <v>280</v>
      </c>
      <c r="E73" t="s">
        <v>271</v>
      </c>
      <c r="F73">
        <v>708</v>
      </c>
      <c r="G73">
        <v>234944</v>
      </c>
      <c r="H73">
        <v>232895</v>
      </c>
      <c r="I73">
        <v>207526</v>
      </c>
      <c r="J73">
        <v>284324</v>
      </c>
      <c r="K73">
        <v>223265</v>
      </c>
      <c r="L73">
        <v>245716</v>
      </c>
    </row>
    <row r="74" spans="1:12" x14ac:dyDescent="0.35">
      <c r="A74">
        <v>2024</v>
      </c>
      <c r="B74">
        <v>6</v>
      </c>
      <c r="C74" t="s">
        <v>69</v>
      </c>
      <c r="D74" t="s">
        <v>280</v>
      </c>
      <c r="E74" t="s">
        <v>273</v>
      </c>
      <c r="F74">
        <v>15453</v>
      </c>
      <c r="G74">
        <v>293838</v>
      </c>
      <c r="H74">
        <v>289276</v>
      </c>
      <c r="I74">
        <v>210212</v>
      </c>
      <c r="J74">
        <v>374681</v>
      </c>
      <c r="K74">
        <v>276172</v>
      </c>
      <c r="L74">
        <v>314176</v>
      </c>
    </row>
    <row r="75" spans="1:12" x14ac:dyDescent="0.35">
      <c r="A75">
        <v>2024</v>
      </c>
      <c r="B75">
        <v>6</v>
      </c>
      <c r="C75" t="s">
        <v>69</v>
      </c>
      <c r="D75" t="s">
        <v>280</v>
      </c>
      <c r="E75" t="s">
        <v>275</v>
      </c>
      <c r="F75">
        <v>1892</v>
      </c>
      <c r="G75">
        <v>210723</v>
      </c>
      <c r="H75">
        <v>210210</v>
      </c>
      <c r="I75">
        <v>191418</v>
      </c>
      <c r="J75">
        <v>250765</v>
      </c>
      <c r="K75">
        <v>202895</v>
      </c>
      <c r="L75">
        <v>217710</v>
      </c>
    </row>
    <row r="76" spans="1:12" x14ac:dyDescent="0.35">
      <c r="A76">
        <v>2024</v>
      </c>
      <c r="B76">
        <v>6</v>
      </c>
      <c r="C76" t="s">
        <v>69</v>
      </c>
      <c r="D76" t="s">
        <v>280</v>
      </c>
      <c r="E76" t="s">
        <v>277</v>
      </c>
      <c r="F76">
        <v>6</v>
      </c>
      <c r="G76">
        <v>236317</v>
      </c>
      <c r="H76">
        <v>237150</v>
      </c>
      <c r="I76">
        <v>233400</v>
      </c>
      <c r="J76">
        <v>238400</v>
      </c>
      <c r="K76">
        <v>233400</v>
      </c>
      <c r="L76">
        <v>238400</v>
      </c>
    </row>
    <row r="77" spans="1:12" x14ac:dyDescent="0.35">
      <c r="A77">
        <v>2024</v>
      </c>
      <c r="B77">
        <v>7</v>
      </c>
      <c r="C77" t="s">
        <v>70</v>
      </c>
      <c r="D77" t="s">
        <v>280</v>
      </c>
      <c r="E77" t="s">
        <v>255</v>
      </c>
      <c r="F77">
        <v>13797</v>
      </c>
      <c r="G77">
        <v>451832</v>
      </c>
      <c r="H77">
        <v>431936</v>
      </c>
      <c r="I77">
        <v>297836</v>
      </c>
      <c r="J77">
        <v>797766</v>
      </c>
      <c r="K77">
        <v>398883</v>
      </c>
      <c r="L77">
        <v>510903</v>
      </c>
    </row>
    <row r="78" spans="1:12" x14ac:dyDescent="0.35">
      <c r="A78">
        <v>2024</v>
      </c>
      <c r="B78">
        <v>7</v>
      </c>
      <c r="C78" t="s">
        <v>70</v>
      </c>
      <c r="D78" t="s">
        <v>280</v>
      </c>
      <c r="E78" t="s">
        <v>257</v>
      </c>
      <c r="F78">
        <v>8240</v>
      </c>
      <c r="G78">
        <v>530048</v>
      </c>
      <c r="H78">
        <v>500903</v>
      </c>
      <c r="I78">
        <v>325286</v>
      </c>
      <c r="J78">
        <v>1044108</v>
      </c>
      <c r="K78">
        <v>443044</v>
      </c>
      <c r="L78">
        <v>608021</v>
      </c>
    </row>
    <row r="79" spans="1:12" x14ac:dyDescent="0.35">
      <c r="A79">
        <v>2024</v>
      </c>
      <c r="B79">
        <v>7</v>
      </c>
      <c r="C79" t="s">
        <v>70</v>
      </c>
      <c r="D79" t="s">
        <v>280</v>
      </c>
      <c r="E79" t="s">
        <v>259</v>
      </c>
      <c r="F79">
        <v>3531</v>
      </c>
      <c r="G79">
        <v>711922</v>
      </c>
      <c r="H79">
        <v>679955</v>
      </c>
      <c r="I79">
        <v>382502</v>
      </c>
      <c r="J79">
        <v>1106831</v>
      </c>
      <c r="K79">
        <v>655237</v>
      </c>
      <c r="L79">
        <v>805721</v>
      </c>
    </row>
    <row r="80" spans="1:12" x14ac:dyDescent="0.35">
      <c r="A80">
        <v>2024</v>
      </c>
      <c r="B80">
        <v>7</v>
      </c>
      <c r="C80" t="s">
        <v>70</v>
      </c>
      <c r="D80" t="s">
        <v>280</v>
      </c>
      <c r="E80" t="s">
        <v>261</v>
      </c>
      <c r="F80">
        <v>455</v>
      </c>
      <c r="G80">
        <v>879357</v>
      </c>
      <c r="H80">
        <v>873811</v>
      </c>
      <c r="I80">
        <v>554326</v>
      </c>
      <c r="J80">
        <v>1347672</v>
      </c>
      <c r="K80">
        <v>728835</v>
      </c>
      <c r="L80">
        <v>1104701</v>
      </c>
    </row>
    <row r="81" spans="1:12" x14ac:dyDescent="0.35">
      <c r="A81">
        <v>2024</v>
      </c>
      <c r="B81">
        <v>7</v>
      </c>
      <c r="C81" t="s">
        <v>70</v>
      </c>
      <c r="D81" t="s">
        <v>280</v>
      </c>
      <c r="E81" t="s">
        <v>263</v>
      </c>
      <c r="F81">
        <v>414</v>
      </c>
      <c r="G81">
        <v>945377</v>
      </c>
      <c r="H81">
        <v>952101</v>
      </c>
      <c r="I81">
        <v>630977</v>
      </c>
      <c r="J81">
        <v>1397709</v>
      </c>
      <c r="K81">
        <v>764353</v>
      </c>
      <c r="L81">
        <v>1044725</v>
      </c>
    </row>
    <row r="82" spans="1:12" x14ac:dyDescent="0.35">
      <c r="A82">
        <v>2024</v>
      </c>
      <c r="B82">
        <v>7</v>
      </c>
      <c r="C82" t="s">
        <v>70</v>
      </c>
      <c r="D82" t="s">
        <v>280</v>
      </c>
      <c r="E82" t="s">
        <v>265</v>
      </c>
      <c r="F82">
        <v>1992</v>
      </c>
      <c r="G82">
        <v>254580</v>
      </c>
      <c r="H82">
        <v>247797</v>
      </c>
      <c r="I82">
        <v>229743</v>
      </c>
      <c r="J82">
        <v>351628</v>
      </c>
      <c r="K82">
        <v>239576</v>
      </c>
      <c r="L82">
        <v>262797</v>
      </c>
    </row>
    <row r="83" spans="1:12" x14ac:dyDescent="0.35">
      <c r="A83">
        <v>2024</v>
      </c>
      <c r="B83">
        <v>7</v>
      </c>
      <c r="C83" t="s">
        <v>70</v>
      </c>
      <c r="D83" t="s">
        <v>280</v>
      </c>
      <c r="E83" t="s">
        <v>267</v>
      </c>
      <c r="F83">
        <v>45472</v>
      </c>
      <c r="G83">
        <v>368574</v>
      </c>
      <c r="H83">
        <v>377404</v>
      </c>
      <c r="I83">
        <v>260064</v>
      </c>
      <c r="J83">
        <v>579646</v>
      </c>
      <c r="K83">
        <v>300986</v>
      </c>
      <c r="L83">
        <v>414234</v>
      </c>
    </row>
    <row r="84" spans="1:12" x14ac:dyDescent="0.35">
      <c r="A84">
        <v>2024</v>
      </c>
      <c r="B84">
        <v>7</v>
      </c>
      <c r="C84" t="s">
        <v>70</v>
      </c>
      <c r="D84" t="s">
        <v>280</v>
      </c>
      <c r="E84" t="s">
        <v>269</v>
      </c>
      <c r="F84">
        <v>6753</v>
      </c>
      <c r="G84">
        <v>227927</v>
      </c>
      <c r="H84">
        <v>226688</v>
      </c>
      <c r="I84">
        <v>203065</v>
      </c>
      <c r="J84">
        <v>287748</v>
      </c>
      <c r="K84">
        <v>216368</v>
      </c>
      <c r="L84">
        <v>238400</v>
      </c>
    </row>
    <row r="85" spans="1:12" x14ac:dyDescent="0.35">
      <c r="A85">
        <v>2024</v>
      </c>
      <c r="B85">
        <v>7</v>
      </c>
      <c r="C85" t="s">
        <v>70</v>
      </c>
      <c r="D85" t="s">
        <v>280</v>
      </c>
      <c r="E85" t="s">
        <v>271</v>
      </c>
      <c r="F85">
        <v>712</v>
      </c>
      <c r="G85">
        <v>234886</v>
      </c>
      <c r="H85">
        <v>232802</v>
      </c>
      <c r="I85">
        <v>207526</v>
      </c>
      <c r="J85">
        <v>284324</v>
      </c>
      <c r="K85">
        <v>223265</v>
      </c>
      <c r="L85">
        <v>245716</v>
      </c>
    </row>
    <row r="86" spans="1:12" x14ac:dyDescent="0.35">
      <c r="A86">
        <v>2024</v>
      </c>
      <c r="B86">
        <v>7</v>
      </c>
      <c r="C86" t="s">
        <v>70</v>
      </c>
      <c r="D86" t="s">
        <v>280</v>
      </c>
      <c r="E86" t="s">
        <v>273</v>
      </c>
      <c r="F86">
        <v>15454</v>
      </c>
      <c r="G86">
        <v>293485</v>
      </c>
      <c r="H86">
        <v>289225</v>
      </c>
      <c r="I86">
        <v>210212</v>
      </c>
      <c r="J86">
        <v>374681</v>
      </c>
      <c r="K86">
        <v>274276</v>
      </c>
      <c r="L86">
        <v>313758</v>
      </c>
    </row>
    <row r="87" spans="1:12" x14ac:dyDescent="0.35">
      <c r="A87">
        <v>2024</v>
      </c>
      <c r="B87">
        <v>7</v>
      </c>
      <c r="C87" t="s">
        <v>70</v>
      </c>
      <c r="D87" t="s">
        <v>280</v>
      </c>
      <c r="E87" t="s">
        <v>275</v>
      </c>
      <c r="F87">
        <v>1888</v>
      </c>
      <c r="G87">
        <v>210693</v>
      </c>
      <c r="H87">
        <v>210210</v>
      </c>
      <c r="I87">
        <v>191418</v>
      </c>
      <c r="J87">
        <v>250765</v>
      </c>
      <c r="K87">
        <v>202895</v>
      </c>
      <c r="L87">
        <v>217710</v>
      </c>
    </row>
    <row r="88" spans="1:12" x14ac:dyDescent="0.35">
      <c r="A88">
        <v>2024</v>
      </c>
      <c r="B88">
        <v>7</v>
      </c>
      <c r="C88" t="s">
        <v>70</v>
      </c>
      <c r="D88" t="s">
        <v>280</v>
      </c>
      <c r="E88" t="s">
        <v>277</v>
      </c>
      <c r="F88">
        <v>6</v>
      </c>
      <c r="G88">
        <v>236317</v>
      </c>
      <c r="H88">
        <v>237150</v>
      </c>
      <c r="I88">
        <v>233400</v>
      </c>
      <c r="J88">
        <v>238400</v>
      </c>
      <c r="K88">
        <v>233400</v>
      </c>
      <c r="L88">
        <v>238400</v>
      </c>
    </row>
    <row r="89" spans="1:12" x14ac:dyDescent="0.35">
      <c r="A89">
        <v>2024</v>
      </c>
      <c r="B89">
        <v>8</v>
      </c>
      <c r="C89" t="s">
        <v>71</v>
      </c>
      <c r="D89" t="s">
        <v>280</v>
      </c>
      <c r="E89" t="s">
        <v>255</v>
      </c>
      <c r="F89">
        <v>14053</v>
      </c>
      <c r="G89">
        <v>452770</v>
      </c>
      <c r="H89">
        <v>431335</v>
      </c>
      <c r="I89">
        <v>297836</v>
      </c>
      <c r="J89">
        <v>797766</v>
      </c>
      <c r="K89">
        <v>398883</v>
      </c>
      <c r="L89">
        <v>510903</v>
      </c>
    </row>
    <row r="90" spans="1:12" x14ac:dyDescent="0.35">
      <c r="A90">
        <v>2024</v>
      </c>
      <c r="B90">
        <v>8</v>
      </c>
      <c r="C90" t="s">
        <v>71</v>
      </c>
      <c r="D90" t="s">
        <v>280</v>
      </c>
      <c r="E90" t="s">
        <v>257</v>
      </c>
      <c r="F90">
        <v>8375</v>
      </c>
      <c r="G90">
        <v>533409</v>
      </c>
      <c r="H90">
        <v>501739</v>
      </c>
      <c r="I90">
        <v>325286</v>
      </c>
      <c r="J90">
        <v>1100803</v>
      </c>
      <c r="K90">
        <v>443044</v>
      </c>
      <c r="L90">
        <v>618292</v>
      </c>
    </row>
    <row r="91" spans="1:12" x14ac:dyDescent="0.35">
      <c r="A91">
        <v>2024</v>
      </c>
      <c r="B91">
        <v>8</v>
      </c>
      <c r="C91" t="s">
        <v>71</v>
      </c>
      <c r="D91" t="s">
        <v>280</v>
      </c>
      <c r="E91" t="s">
        <v>259</v>
      </c>
      <c r="F91">
        <v>3550</v>
      </c>
      <c r="G91">
        <v>713787</v>
      </c>
      <c r="H91">
        <v>679955</v>
      </c>
      <c r="I91">
        <v>382502</v>
      </c>
      <c r="J91">
        <v>1153561</v>
      </c>
      <c r="K91">
        <v>655237</v>
      </c>
      <c r="L91">
        <v>805721</v>
      </c>
    </row>
    <row r="92" spans="1:12" x14ac:dyDescent="0.35">
      <c r="A92">
        <v>2024</v>
      </c>
      <c r="B92">
        <v>8</v>
      </c>
      <c r="C92" t="s">
        <v>71</v>
      </c>
      <c r="D92" t="s">
        <v>280</v>
      </c>
      <c r="E92" t="s">
        <v>261</v>
      </c>
      <c r="F92">
        <v>459</v>
      </c>
      <c r="G92">
        <v>891237</v>
      </c>
      <c r="H92">
        <v>873811</v>
      </c>
      <c r="I92">
        <v>554326</v>
      </c>
      <c r="J92">
        <v>1414543</v>
      </c>
      <c r="K92">
        <v>728835</v>
      </c>
      <c r="L92">
        <v>1104701</v>
      </c>
    </row>
    <row r="93" spans="1:12" x14ac:dyDescent="0.35">
      <c r="A93">
        <v>2024</v>
      </c>
      <c r="B93">
        <v>8</v>
      </c>
      <c r="C93" t="s">
        <v>71</v>
      </c>
      <c r="D93" t="s">
        <v>280</v>
      </c>
      <c r="E93" t="s">
        <v>263</v>
      </c>
      <c r="F93">
        <v>416</v>
      </c>
      <c r="G93">
        <v>943398</v>
      </c>
      <c r="H93">
        <v>952101</v>
      </c>
      <c r="I93">
        <v>630977</v>
      </c>
      <c r="J93">
        <v>1490529</v>
      </c>
      <c r="K93">
        <v>757099</v>
      </c>
      <c r="L93">
        <v>1044725</v>
      </c>
    </row>
    <row r="94" spans="1:12" x14ac:dyDescent="0.35">
      <c r="A94">
        <v>2024</v>
      </c>
      <c r="B94">
        <v>8</v>
      </c>
      <c r="C94" t="s">
        <v>71</v>
      </c>
      <c r="D94" t="s">
        <v>280</v>
      </c>
      <c r="E94" t="s">
        <v>265</v>
      </c>
      <c r="F94">
        <v>2018</v>
      </c>
      <c r="G94">
        <v>255829</v>
      </c>
      <c r="H94">
        <v>247797</v>
      </c>
      <c r="I94">
        <v>229743</v>
      </c>
      <c r="J94">
        <v>353643</v>
      </c>
      <c r="K94">
        <v>239743</v>
      </c>
      <c r="L94">
        <v>262797</v>
      </c>
    </row>
    <row r="95" spans="1:12" x14ac:dyDescent="0.35">
      <c r="A95">
        <v>2024</v>
      </c>
      <c r="B95">
        <v>8</v>
      </c>
      <c r="C95" t="s">
        <v>71</v>
      </c>
      <c r="D95" t="s">
        <v>280</v>
      </c>
      <c r="E95" t="s">
        <v>267</v>
      </c>
      <c r="F95">
        <v>45812</v>
      </c>
      <c r="G95">
        <v>371499</v>
      </c>
      <c r="H95">
        <v>377404</v>
      </c>
      <c r="I95">
        <v>260064</v>
      </c>
      <c r="J95">
        <v>584726</v>
      </c>
      <c r="K95">
        <v>303019</v>
      </c>
      <c r="L95">
        <v>415040</v>
      </c>
    </row>
    <row r="96" spans="1:12" x14ac:dyDescent="0.35">
      <c r="A96">
        <v>2024</v>
      </c>
      <c r="B96">
        <v>8</v>
      </c>
      <c r="C96" t="s">
        <v>71</v>
      </c>
      <c r="D96" t="s">
        <v>280</v>
      </c>
      <c r="E96" t="s">
        <v>269</v>
      </c>
      <c r="F96">
        <v>6791</v>
      </c>
      <c r="G96">
        <v>229988</v>
      </c>
      <c r="H96">
        <v>228265</v>
      </c>
      <c r="I96">
        <v>202830</v>
      </c>
      <c r="J96">
        <v>288813</v>
      </c>
      <c r="K96">
        <v>216368</v>
      </c>
      <c r="L96">
        <v>240900</v>
      </c>
    </row>
    <row r="97" spans="1:12" x14ac:dyDescent="0.35">
      <c r="A97">
        <v>2024</v>
      </c>
      <c r="B97">
        <v>8</v>
      </c>
      <c r="C97" t="s">
        <v>71</v>
      </c>
      <c r="D97" t="s">
        <v>280</v>
      </c>
      <c r="E97" t="s">
        <v>271</v>
      </c>
      <c r="F97">
        <v>713</v>
      </c>
      <c r="G97">
        <v>235469</v>
      </c>
      <c r="H97">
        <v>232895</v>
      </c>
      <c r="I97">
        <v>207526</v>
      </c>
      <c r="J97">
        <v>285639</v>
      </c>
      <c r="K97">
        <v>223265</v>
      </c>
      <c r="L97">
        <v>247661</v>
      </c>
    </row>
    <row r="98" spans="1:12" x14ac:dyDescent="0.35">
      <c r="A98">
        <v>2024</v>
      </c>
      <c r="B98">
        <v>8</v>
      </c>
      <c r="C98" t="s">
        <v>71</v>
      </c>
      <c r="D98" t="s">
        <v>280</v>
      </c>
      <c r="E98" t="s">
        <v>273</v>
      </c>
      <c r="F98">
        <v>15490</v>
      </c>
      <c r="G98">
        <v>294458</v>
      </c>
      <c r="H98">
        <v>288672</v>
      </c>
      <c r="I98">
        <v>210212</v>
      </c>
      <c r="J98">
        <v>380594</v>
      </c>
      <c r="K98">
        <v>274276</v>
      </c>
      <c r="L98">
        <v>314176</v>
      </c>
    </row>
    <row r="99" spans="1:12" x14ac:dyDescent="0.35">
      <c r="A99">
        <v>2024</v>
      </c>
      <c r="B99">
        <v>8</v>
      </c>
      <c r="C99" t="s">
        <v>71</v>
      </c>
      <c r="D99" t="s">
        <v>280</v>
      </c>
      <c r="E99" t="s">
        <v>275</v>
      </c>
      <c r="F99">
        <v>1904</v>
      </c>
      <c r="G99">
        <v>211269</v>
      </c>
      <c r="H99">
        <v>210210</v>
      </c>
      <c r="I99">
        <v>191418</v>
      </c>
      <c r="J99">
        <v>263902</v>
      </c>
      <c r="K99">
        <v>202895</v>
      </c>
      <c r="L99">
        <v>217710</v>
      </c>
    </row>
    <row r="100" spans="1:12" x14ac:dyDescent="0.35">
      <c r="A100">
        <v>2024</v>
      </c>
      <c r="B100">
        <v>8</v>
      </c>
      <c r="C100" t="s">
        <v>71</v>
      </c>
      <c r="D100" t="s">
        <v>280</v>
      </c>
      <c r="E100" t="s">
        <v>277</v>
      </c>
      <c r="F100">
        <v>6</v>
      </c>
      <c r="G100">
        <v>235067</v>
      </c>
      <c r="H100">
        <v>235900</v>
      </c>
      <c r="I100">
        <v>228400</v>
      </c>
      <c r="J100">
        <v>238400</v>
      </c>
      <c r="K100">
        <v>233400</v>
      </c>
      <c r="L100">
        <v>238400</v>
      </c>
    </row>
    <row r="101" spans="1:12" x14ac:dyDescent="0.35">
      <c r="A101">
        <v>2024</v>
      </c>
      <c r="B101">
        <v>9</v>
      </c>
      <c r="C101" t="s">
        <v>72</v>
      </c>
      <c r="D101" t="s">
        <v>280</v>
      </c>
      <c r="E101" t="s">
        <v>255</v>
      </c>
      <c r="F101">
        <v>14178</v>
      </c>
      <c r="G101">
        <v>451393</v>
      </c>
      <c r="H101">
        <v>428833</v>
      </c>
      <c r="I101">
        <v>297834</v>
      </c>
      <c r="J101">
        <v>773687</v>
      </c>
      <c r="K101">
        <v>398883</v>
      </c>
      <c r="L101">
        <v>508403</v>
      </c>
    </row>
    <row r="102" spans="1:12" x14ac:dyDescent="0.35">
      <c r="A102">
        <v>2024</v>
      </c>
      <c r="B102">
        <v>9</v>
      </c>
      <c r="C102" t="s">
        <v>72</v>
      </c>
      <c r="D102" t="s">
        <v>280</v>
      </c>
      <c r="E102" t="s">
        <v>257</v>
      </c>
      <c r="F102">
        <v>8453</v>
      </c>
      <c r="G102">
        <v>531561</v>
      </c>
      <c r="H102">
        <v>500903</v>
      </c>
      <c r="I102">
        <v>325286</v>
      </c>
      <c r="J102">
        <v>1044108</v>
      </c>
      <c r="K102">
        <v>443044</v>
      </c>
      <c r="L102">
        <v>618292</v>
      </c>
    </row>
    <row r="103" spans="1:12" x14ac:dyDescent="0.35">
      <c r="A103">
        <v>2024</v>
      </c>
      <c r="B103">
        <v>9</v>
      </c>
      <c r="C103" t="s">
        <v>72</v>
      </c>
      <c r="D103" t="s">
        <v>280</v>
      </c>
      <c r="E103" t="s">
        <v>259</v>
      </c>
      <c r="F103">
        <v>3580</v>
      </c>
      <c r="G103">
        <v>712542</v>
      </c>
      <c r="H103">
        <v>679955</v>
      </c>
      <c r="I103">
        <v>382502</v>
      </c>
      <c r="J103">
        <v>1106831</v>
      </c>
      <c r="K103">
        <v>657689</v>
      </c>
      <c r="L103">
        <v>805721</v>
      </c>
    </row>
    <row r="104" spans="1:12" x14ac:dyDescent="0.35">
      <c r="A104">
        <v>2024</v>
      </c>
      <c r="B104">
        <v>9</v>
      </c>
      <c r="C104" t="s">
        <v>72</v>
      </c>
      <c r="D104" t="s">
        <v>280</v>
      </c>
      <c r="E104" t="s">
        <v>261</v>
      </c>
      <c r="F104">
        <v>461</v>
      </c>
      <c r="G104">
        <v>882312</v>
      </c>
      <c r="H104">
        <v>882000</v>
      </c>
      <c r="I104">
        <v>554326</v>
      </c>
      <c r="J104">
        <v>1347672</v>
      </c>
      <c r="K104">
        <v>728835</v>
      </c>
      <c r="L104">
        <v>1104701</v>
      </c>
    </row>
    <row r="105" spans="1:12" x14ac:dyDescent="0.35">
      <c r="A105">
        <v>2024</v>
      </c>
      <c r="B105">
        <v>9</v>
      </c>
      <c r="C105" t="s">
        <v>72</v>
      </c>
      <c r="D105" t="s">
        <v>280</v>
      </c>
      <c r="E105" t="s">
        <v>263</v>
      </c>
      <c r="F105">
        <v>419</v>
      </c>
      <c r="G105">
        <v>945026</v>
      </c>
      <c r="H105">
        <v>952101</v>
      </c>
      <c r="I105">
        <v>630977</v>
      </c>
      <c r="J105">
        <v>1402707</v>
      </c>
      <c r="K105">
        <v>757099</v>
      </c>
      <c r="L105">
        <v>1044725</v>
      </c>
    </row>
    <row r="106" spans="1:12" x14ac:dyDescent="0.35">
      <c r="A106">
        <v>2024</v>
      </c>
      <c r="B106">
        <v>9</v>
      </c>
      <c r="C106" t="s">
        <v>72</v>
      </c>
      <c r="D106" t="s">
        <v>280</v>
      </c>
      <c r="E106" t="s">
        <v>265</v>
      </c>
      <c r="F106">
        <v>2084</v>
      </c>
      <c r="G106">
        <v>254111</v>
      </c>
      <c r="H106">
        <v>247243</v>
      </c>
      <c r="I106">
        <v>229743</v>
      </c>
      <c r="J106">
        <v>344448</v>
      </c>
      <c r="K106">
        <v>239190</v>
      </c>
      <c r="L106">
        <v>262243</v>
      </c>
    </row>
    <row r="107" spans="1:12" x14ac:dyDescent="0.35">
      <c r="A107">
        <v>2024</v>
      </c>
      <c r="B107">
        <v>9</v>
      </c>
      <c r="C107" t="s">
        <v>72</v>
      </c>
      <c r="D107" t="s">
        <v>280</v>
      </c>
      <c r="E107" t="s">
        <v>267</v>
      </c>
      <c r="F107">
        <v>46068</v>
      </c>
      <c r="G107">
        <v>368493</v>
      </c>
      <c r="H107">
        <v>375926</v>
      </c>
      <c r="I107">
        <v>260064</v>
      </c>
      <c r="J107">
        <v>579646</v>
      </c>
      <c r="K107">
        <v>300752</v>
      </c>
      <c r="L107">
        <v>414436</v>
      </c>
    </row>
    <row r="108" spans="1:12" x14ac:dyDescent="0.35">
      <c r="A108">
        <v>2024</v>
      </c>
      <c r="B108">
        <v>9</v>
      </c>
      <c r="C108" t="s">
        <v>72</v>
      </c>
      <c r="D108" t="s">
        <v>280</v>
      </c>
      <c r="E108" t="s">
        <v>269</v>
      </c>
      <c r="F108">
        <v>6868</v>
      </c>
      <c r="G108">
        <v>228167</v>
      </c>
      <c r="H108">
        <v>226688</v>
      </c>
      <c r="I108">
        <v>203500</v>
      </c>
      <c r="J108">
        <v>287748</v>
      </c>
      <c r="K108">
        <v>216184</v>
      </c>
      <c r="L108">
        <v>239188</v>
      </c>
    </row>
    <row r="109" spans="1:12" x14ac:dyDescent="0.35">
      <c r="A109">
        <v>2024</v>
      </c>
      <c r="B109">
        <v>9</v>
      </c>
      <c r="C109" t="s">
        <v>72</v>
      </c>
      <c r="D109" t="s">
        <v>280</v>
      </c>
      <c r="E109" t="s">
        <v>271</v>
      </c>
      <c r="F109">
        <v>715</v>
      </c>
      <c r="G109">
        <v>232133</v>
      </c>
      <c r="H109">
        <v>227895</v>
      </c>
      <c r="I109">
        <v>207526</v>
      </c>
      <c r="J109">
        <v>287797</v>
      </c>
      <c r="K109">
        <v>220210</v>
      </c>
      <c r="L109">
        <v>243031</v>
      </c>
    </row>
    <row r="110" spans="1:12" x14ac:dyDescent="0.35">
      <c r="A110">
        <v>2024</v>
      </c>
      <c r="B110">
        <v>9</v>
      </c>
      <c r="C110" t="s">
        <v>72</v>
      </c>
      <c r="D110" t="s">
        <v>280</v>
      </c>
      <c r="E110" t="s">
        <v>273</v>
      </c>
      <c r="F110">
        <v>15716</v>
      </c>
      <c r="G110">
        <v>293046</v>
      </c>
      <c r="H110">
        <v>288438</v>
      </c>
      <c r="I110">
        <v>210212</v>
      </c>
      <c r="J110">
        <v>374681</v>
      </c>
      <c r="K110">
        <v>274276</v>
      </c>
      <c r="L110">
        <v>313389</v>
      </c>
    </row>
    <row r="111" spans="1:12" x14ac:dyDescent="0.35">
      <c r="A111">
        <v>2024</v>
      </c>
      <c r="B111">
        <v>9</v>
      </c>
      <c r="C111" t="s">
        <v>72</v>
      </c>
      <c r="D111" t="s">
        <v>280</v>
      </c>
      <c r="E111" t="s">
        <v>275</v>
      </c>
      <c r="F111">
        <v>1933</v>
      </c>
      <c r="G111">
        <v>210701</v>
      </c>
      <c r="H111">
        <v>210210</v>
      </c>
      <c r="I111">
        <v>191418</v>
      </c>
      <c r="J111">
        <v>250950</v>
      </c>
      <c r="K111">
        <v>202895</v>
      </c>
      <c r="L111">
        <v>217710</v>
      </c>
    </row>
    <row r="112" spans="1:12" x14ac:dyDescent="0.35">
      <c r="A112">
        <v>2024</v>
      </c>
      <c r="B112">
        <v>9</v>
      </c>
      <c r="C112" t="s">
        <v>72</v>
      </c>
      <c r="D112" t="s">
        <v>280</v>
      </c>
      <c r="E112" t="s">
        <v>277</v>
      </c>
      <c r="F112">
        <v>6</v>
      </c>
      <c r="G112">
        <v>235067</v>
      </c>
      <c r="H112">
        <v>235900</v>
      </c>
      <c r="I112">
        <v>228400</v>
      </c>
      <c r="J112">
        <v>238400</v>
      </c>
      <c r="K112">
        <v>233400</v>
      </c>
      <c r="L112">
        <v>238400</v>
      </c>
    </row>
    <row r="113" spans="1:12" x14ac:dyDescent="0.35">
      <c r="A113">
        <v>2024</v>
      </c>
      <c r="B113">
        <v>10</v>
      </c>
      <c r="C113" t="s">
        <v>73</v>
      </c>
      <c r="D113" t="s">
        <v>280</v>
      </c>
      <c r="E113" t="s">
        <v>255</v>
      </c>
      <c r="F113">
        <v>14396</v>
      </c>
      <c r="G113">
        <v>451444</v>
      </c>
      <c r="H113">
        <v>428833</v>
      </c>
      <c r="I113">
        <v>297836</v>
      </c>
      <c r="J113">
        <v>773687</v>
      </c>
      <c r="K113">
        <v>398883</v>
      </c>
      <c r="L113">
        <v>508403</v>
      </c>
    </row>
    <row r="114" spans="1:12" x14ac:dyDescent="0.35">
      <c r="A114">
        <v>2024</v>
      </c>
      <c r="B114">
        <v>10</v>
      </c>
      <c r="C114" t="s">
        <v>73</v>
      </c>
      <c r="D114" t="s">
        <v>280</v>
      </c>
      <c r="E114" t="s">
        <v>257</v>
      </c>
      <c r="F114">
        <v>8537</v>
      </c>
      <c r="G114">
        <v>531117</v>
      </c>
      <c r="H114">
        <v>499658</v>
      </c>
      <c r="I114">
        <v>325286</v>
      </c>
      <c r="J114">
        <v>1044108</v>
      </c>
      <c r="K114">
        <v>443044</v>
      </c>
      <c r="L114">
        <v>618292</v>
      </c>
    </row>
    <row r="115" spans="1:12" x14ac:dyDescent="0.35">
      <c r="A115">
        <v>2024</v>
      </c>
      <c r="B115">
        <v>10</v>
      </c>
      <c r="C115" t="s">
        <v>73</v>
      </c>
      <c r="D115" t="s">
        <v>280</v>
      </c>
      <c r="E115" t="s">
        <v>259</v>
      </c>
      <c r="F115">
        <v>3601</v>
      </c>
      <c r="G115">
        <v>711566</v>
      </c>
      <c r="H115">
        <v>678058</v>
      </c>
      <c r="I115">
        <v>382502</v>
      </c>
      <c r="J115">
        <v>1106831</v>
      </c>
      <c r="K115">
        <v>655237</v>
      </c>
      <c r="L115">
        <v>805719</v>
      </c>
    </row>
    <row r="116" spans="1:12" x14ac:dyDescent="0.35">
      <c r="A116">
        <v>2024</v>
      </c>
      <c r="B116">
        <v>10</v>
      </c>
      <c r="C116" t="s">
        <v>73</v>
      </c>
      <c r="D116" t="s">
        <v>280</v>
      </c>
      <c r="E116" t="s">
        <v>261</v>
      </c>
      <c r="F116">
        <v>461</v>
      </c>
      <c r="G116">
        <v>884623</v>
      </c>
      <c r="H116">
        <v>882000</v>
      </c>
      <c r="I116">
        <v>554326</v>
      </c>
      <c r="J116">
        <v>1347672</v>
      </c>
      <c r="K116">
        <v>728835</v>
      </c>
      <c r="L116">
        <v>1104701</v>
      </c>
    </row>
    <row r="117" spans="1:12" x14ac:dyDescent="0.35">
      <c r="A117">
        <v>2024</v>
      </c>
      <c r="B117">
        <v>10</v>
      </c>
      <c r="C117" t="s">
        <v>73</v>
      </c>
      <c r="D117" t="s">
        <v>280</v>
      </c>
      <c r="E117" t="s">
        <v>263</v>
      </c>
      <c r="F117">
        <v>430</v>
      </c>
      <c r="G117">
        <v>940832</v>
      </c>
      <c r="H117">
        <v>952101</v>
      </c>
      <c r="I117">
        <v>623713</v>
      </c>
      <c r="J117">
        <v>1447418</v>
      </c>
      <c r="K117">
        <v>757099</v>
      </c>
      <c r="L117">
        <v>1044725</v>
      </c>
    </row>
    <row r="118" spans="1:12" x14ac:dyDescent="0.35">
      <c r="A118">
        <v>2024</v>
      </c>
      <c r="B118">
        <v>10</v>
      </c>
      <c r="C118" t="s">
        <v>73</v>
      </c>
      <c r="D118" t="s">
        <v>280</v>
      </c>
      <c r="E118" t="s">
        <v>265</v>
      </c>
      <c r="F118">
        <v>2084</v>
      </c>
      <c r="G118">
        <v>253583</v>
      </c>
      <c r="H118">
        <v>247243</v>
      </c>
      <c r="I118">
        <v>229743</v>
      </c>
      <c r="J118">
        <v>344448</v>
      </c>
      <c r="K118">
        <v>239190</v>
      </c>
      <c r="L118">
        <v>262243</v>
      </c>
    </row>
    <row r="119" spans="1:12" x14ac:dyDescent="0.35">
      <c r="A119">
        <v>2024</v>
      </c>
      <c r="B119">
        <v>10</v>
      </c>
      <c r="C119" t="s">
        <v>73</v>
      </c>
      <c r="D119" t="s">
        <v>280</v>
      </c>
      <c r="E119" t="s">
        <v>267</v>
      </c>
      <c r="F119">
        <v>46042</v>
      </c>
      <c r="G119">
        <v>369700</v>
      </c>
      <c r="H119">
        <v>373426</v>
      </c>
      <c r="I119">
        <v>260064</v>
      </c>
      <c r="J119">
        <v>579646</v>
      </c>
      <c r="K119">
        <v>300519</v>
      </c>
      <c r="L119">
        <v>416936</v>
      </c>
    </row>
    <row r="120" spans="1:12" x14ac:dyDescent="0.35">
      <c r="A120">
        <v>2024</v>
      </c>
      <c r="B120">
        <v>10</v>
      </c>
      <c r="C120" t="s">
        <v>73</v>
      </c>
      <c r="D120" t="s">
        <v>280</v>
      </c>
      <c r="E120" t="s">
        <v>269</v>
      </c>
      <c r="F120">
        <v>6945</v>
      </c>
      <c r="G120">
        <v>228051</v>
      </c>
      <c r="H120">
        <v>226688</v>
      </c>
      <c r="I120">
        <v>203500</v>
      </c>
      <c r="J120">
        <v>287748</v>
      </c>
      <c r="K120">
        <v>216000</v>
      </c>
      <c r="L120">
        <v>239188</v>
      </c>
    </row>
    <row r="121" spans="1:12" x14ac:dyDescent="0.35">
      <c r="A121">
        <v>2024</v>
      </c>
      <c r="B121">
        <v>10</v>
      </c>
      <c r="C121" t="s">
        <v>73</v>
      </c>
      <c r="D121" t="s">
        <v>280</v>
      </c>
      <c r="E121" t="s">
        <v>271</v>
      </c>
      <c r="F121">
        <v>715</v>
      </c>
      <c r="G121">
        <v>232101</v>
      </c>
      <c r="H121">
        <v>227895</v>
      </c>
      <c r="I121">
        <v>207526</v>
      </c>
      <c r="J121">
        <v>287797</v>
      </c>
      <c r="K121">
        <v>220210</v>
      </c>
      <c r="L121">
        <v>240765</v>
      </c>
    </row>
    <row r="122" spans="1:12" x14ac:dyDescent="0.35">
      <c r="A122">
        <v>2024</v>
      </c>
      <c r="B122">
        <v>10</v>
      </c>
      <c r="C122" t="s">
        <v>73</v>
      </c>
      <c r="D122" t="s">
        <v>280</v>
      </c>
      <c r="E122" t="s">
        <v>273</v>
      </c>
      <c r="F122">
        <v>17299</v>
      </c>
      <c r="G122">
        <v>293504</v>
      </c>
      <c r="H122">
        <v>288672</v>
      </c>
      <c r="I122">
        <v>210212</v>
      </c>
      <c r="J122">
        <v>374681</v>
      </c>
      <c r="K122">
        <v>276725</v>
      </c>
      <c r="L122">
        <v>313389</v>
      </c>
    </row>
    <row r="123" spans="1:12" x14ac:dyDescent="0.35">
      <c r="A123">
        <v>2024</v>
      </c>
      <c r="B123">
        <v>10</v>
      </c>
      <c r="C123" t="s">
        <v>73</v>
      </c>
      <c r="D123" t="s">
        <v>280</v>
      </c>
      <c r="E123" t="s">
        <v>275</v>
      </c>
      <c r="F123">
        <v>1931</v>
      </c>
      <c r="G123">
        <v>210779</v>
      </c>
      <c r="H123">
        <v>210210</v>
      </c>
      <c r="I123">
        <v>191418</v>
      </c>
      <c r="J123">
        <v>250950</v>
      </c>
      <c r="K123">
        <v>202895</v>
      </c>
      <c r="L123">
        <v>217710</v>
      </c>
    </row>
    <row r="124" spans="1:12" x14ac:dyDescent="0.35">
      <c r="A124">
        <v>2024</v>
      </c>
      <c r="B124">
        <v>10</v>
      </c>
      <c r="C124" t="s">
        <v>73</v>
      </c>
      <c r="D124" t="s">
        <v>280</v>
      </c>
      <c r="E124" t="s">
        <v>277</v>
      </c>
      <c r="F124">
        <v>6</v>
      </c>
      <c r="G124">
        <v>235067</v>
      </c>
      <c r="H124">
        <v>235900</v>
      </c>
      <c r="I124">
        <v>228400</v>
      </c>
      <c r="J124">
        <v>238400</v>
      </c>
      <c r="K124">
        <v>233400</v>
      </c>
      <c r="L124">
        <v>238400</v>
      </c>
    </row>
    <row r="125" spans="1:12" x14ac:dyDescent="0.35">
      <c r="A125">
        <v>2024</v>
      </c>
      <c r="B125">
        <v>11</v>
      </c>
      <c r="C125" t="s">
        <v>74</v>
      </c>
      <c r="D125" t="s">
        <v>280</v>
      </c>
      <c r="E125" t="s">
        <v>255</v>
      </c>
      <c r="F125">
        <v>14597</v>
      </c>
      <c r="G125">
        <v>452149</v>
      </c>
      <c r="H125">
        <v>431335</v>
      </c>
      <c r="I125">
        <v>297836</v>
      </c>
      <c r="J125">
        <v>797766</v>
      </c>
      <c r="K125">
        <v>399485</v>
      </c>
      <c r="L125">
        <v>506555</v>
      </c>
    </row>
    <row r="126" spans="1:12" x14ac:dyDescent="0.35">
      <c r="A126">
        <v>2024</v>
      </c>
      <c r="B126">
        <v>11</v>
      </c>
      <c r="C126" t="s">
        <v>74</v>
      </c>
      <c r="D126" t="s">
        <v>280</v>
      </c>
      <c r="E126" t="s">
        <v>257</v>
      </c>
      <c r="F126">
        <v>8550</v>
      </c>
      <c r="G126">
        <v>532789</v>
      </c>
      <c r="H126">
        <v>500903</v>
      </c>
      <c r="I126">
        <v>325286</v>
      </c>
      <c r="J126">
        <v>1044108</v>
      </c>
      <c r="K126">
        <v>447073</v>
      </c>
      <c r="L126">
        <v>618292</v>
      </c>
    </row>
    <row r="127" spans="1:12" x14ac:dyDescent="0.35">
      <c r="A127">
        <v>2024</v>
      </c>
      <c r="B127">
        <v>11</v>
      </c>
      <c r="C127" t="s">
        <v>74</v>
      </c>
      <c r="D127" t="s">
        <v>280</v>
      </c>
      <c r="E127" t="s">
        <v>259</v>
      </c>
      <c r="F127">
        <v>3614</v>
      </c>
      <c r="G127">
        <v>711365</v>
      </c>
      <c r="H127">
        <v>677942</v>
      </c>
      <c r="I127">
        <v>382502</v>
      </c>
      <c r="J127">
        <v>1106831</v>
      </c>
      <c r="K127">
        <v>655237</v>
      </c>
      <c r="L127">
        <v>805719</v>
      </c>
    </row>
    <row r="128" spans="1:12" x14ac:dyDescent="0.35">
      <c r="A128">
        <v>2024</v>
      </c>
      <c r="B128">
        <v>11</v>
      </c>
      <c r="C128" t="s">
        <v>74</v>
      </c>
      <c r="D128" t="s">
        <v>280</v>
      </c>
      <c r="E128" t="s">
        <v>261</v>
      </c>
      <c r="F128">
        <v>472</v>
      </c>
      <c r="G128">
        <v>879741</v>
      </c>
      <c r="H128">
        <v>873811</v>
      </c>
      <c r="I128">
        <v>514190</v>
      </c>
      <c r="J128">
        <v>1347672</v>
      </c>
      <c r="K128">
        <v>728835</v>
      </c>
      <c r="L128">
        <v>1104701</v>
      </c>
    </row>
    <row r="129" spans="1:12" x14ac:dyDescent="0.35">
      <c r="A129">
        <v>2024</v>
      </c>
      <c r="B129">
        <v>11</v>
      </c>
      <c r="C129" t="s">
        <v>74</v>
      </c>
      <c r="D129" t="s">
        <v>280</v>
      </c>
      <c r="E129" t="s">
        <v>263</v>
      </c>
      <c r="F129">
        <v>436</v>
      </c>
      <c r="G129">
        <v>937404</v>
      </c>
      <c r="H129">
        <v>952101</v>
      </c>
      <c r="I129">
        <v>623713</v>
      </c>
      <c r="J129">
        <v>1402707</v>
      </c>
      <c r="K129">
        <v>757099</v>
      </c>
      <c r="L129">
        <v>1044725</v>
      </c>
    </row>
    <row r="130" spans="1:12" x14ac:dyDescent="0.35">
      <c r="A130">
        <v>2024</v>
      </c>
      <c r="B130">
        <v>11</v>
      </c>
      <c r="C130" t="s">
        <v>74</v>
      </c>
      <c r="D130" t="s">
        <v>280</v>
      </c>
      <c r="E130" t="s">
        <v>265</v>
      </c>
      <c r="F130">
        <v>2077</v>
      </c>
      <c r="G130">
        <v>253606</v>
      </c>
      <c r="H130">
        <v>247243</v>
      </c>
      <c r="I130">
        <v>229743</v>
      </c>
      <c r="J130">
        <v>344448</v>
      </c>
      <c r="K130">
        <v>239190</v>
      </c>
      <c r="L130">
        <v>261824</v>
      </c>
    </row>
    <row r="131" spans="1:12" x14ac:dyDescent="0.35">
      <c r="A131">
        <v>2024</v>
      </c>
      <c r="B131">
        <v>11</v>
      </c>
      <c r="C131" t="s">
        <v>74</v>
      </c>
      <c r="D131" t="s">
        <v>280</v>
      </c>
      <c r="E131" t="s">
        <v>267</v>
      </c>
      <c r="F131">
        <v>45908</v>
      </c>
      <c r="G131">
        <v>369696</v>
      </c>
      <c r="H131">
        <v>373426</v>
      </c>
      <c r="I131">
        <v>260064</v>
      </c>
      <c r="J131">
        <v>579646</v>
      </c>
      <c r="K131">
        <v>300519</v>
      </c>
      <c r="L131">
        <v>416936</v>
      </c>
    </row>
    <row r="132" spans="1:12" x14ac:dyDescent="0.35">
      <c r="A132">
        <v>2024</v>
      </c>
      <c r="B132">
        <v>11</v>
      </c>
      <c r="C132" t="s">
        <v>74</v>
      </c>
      <c r="D132" t="s">
        <v>280</v>
      </c>
      <c r="E132" t="s">
        <v>269</v>
      </c>
      <c r="F132">
        <v>6969</v>
      </c>
      <c r="G132">
        <v>228119</v>
      </c>
      <c r="H132">
        <v>226688</v>
      </c>
      <c r="I132">
        <v>203498</v>
      </c>
      <c r="J132">
        <v>287748</v>
      </c>
      <c r="K132">
        <v>216000</v>
      </c>
      <c r="L132">
        <v>239188</v>
      </c>
    </row>
    <row r="133" spans="1:12" x14ac:dyDescent="0.35">
      <c r="A133">
        <v>2024</v>
      </c>
      <c r="B133">
        <v>11</v>
      </c>
      <c r="C133" t="s">
        <v>74</v>
      </c>
      <c r="D133" t="s">
        <v>280</v>
      </c>
      <c r="E133" t="s">
        <v>271</v>
      </c>
      <c r="F133">
        <v>713</v>
      </c>
      <c r="G133">
        <v>232116</v>
      </c>
      <c r="H133">
        <v>227895</v>
      </c>
      <c r="I133">
        <v>207526</v>
      </c>
      <c r="J133">
        <v>287797</v>
      </c>
      <c r="K133">
        <v>220210</v>
      </c>
      <c r="L133">
        <v>240765</v>
      </c>
    </row>
    <row r="134" spans="1:12" x14ac:dyDescent="0.35">
      <c r="A134">
        <v>2024</v>
      </c>
      <c r="B134">
        <v>11</v>
      </c>
      <c r="C134" t="s">
        <v>74</v>
      </c>
      <c r="D134" t="s">
        <v>280</v>
      </c>
      <c r="E134" t="s">
        <v>273</v>
      </c>
      <c r="F134">
        <v>18582</v>
      </c>
      <c r="G134">
        <v>292495</v>
      </c>
      <c r="H134">
        <v>284225</v>
      </c>
      <c r="I134">
        <v>210212</v>
      </c>
      <c r="J134">
        <v>374681</v>
      </c>
      <c r="K134">
        <v>276172</v>
      </c>
      <c r="L134">
        <v>311258</v>
      </c>
    </row>
    <row r="135" spans="1:12" x14ac:dyDescent="0.35">
      <c r="A135">
        <v>2024</v>
      </c>
      <c r="B135">
        <v>11</v>
      </c>
      <c r="C135" t="s">
        <v>74</v>
      </c>
      <c r="D135" t="s">
        <v>280</v>
      </c>
      <c r="E135" t="s">
        <v>275</v>
      </c>
      <c r="F135">
        <v>1922</v>
      </c>
      <c r="G135">
        <v>210989</v>
      </c>
      <c r="H135">
        <v>210210</v>
      </c>
      <c r="I135">
        <v>191418</v>
      </c>
      <c r="J135">
        <v>250950</v>
      </c>
      <c r="K135">
        <v>202895</v>
      </c>
      <c r="L135">
        <v>217710</v>
      </c>
    </row>
    <row r="136" spans="1:12" x14ac:dyDescent="0.35">
      <c r="A136">
        <v>2024</v>
      </c>
      <c r="B136">
        <v>11</v>
      </c>
      <c r="C136" t="s">
        <v>74</v>
      </c>
      <c r="D136" t="s">
        <v>280</v>
      </c>
      <c r="E136" t="s">
        <v>277</v>
      </c>
      <c r="F136">
        <v>6</v>
      </c>
      <c r="G136">
        <v>235067</v>
      </c>
      <c r="H136">
        <v>235900</v>
      </c>
      <c r="I136">
        <v>228400</v>
      </c>
      <c r="J136">
        <v>238400</v>
      </c>
      <c r="K136">
        <v>233400</v>
      </c>
      <c r="L136">
        <v>238400</v>
      </c>
    </row>
    <row r="137" spans="1:12" x14ac:dyDescent="0.35">
      <c r="A137">
        <v>2024</v>
      </c>
      <c r="B137">
        <v>12</v>
      </c>
      <c r="C137" t="s">
        <v>75</v>
      </c>
      <c r="D137" t="s">
        <v>280</v>
      </c>
      <c r="E137" t="s">
        <v>255</v>
      </c>
      <c r="F137">
        <v>14615</v>
      </c>
      <c r="G137">
        <v>451650</v>
      </c>
      <c r="H137">
        <v>431333</v>
      </c>
      <c r="I137">
        <v>297836</v>
      </c>
      <c r="J137">
        <v>773687</v>
      </c>
      <c r="K137">
        <v>399485</v>
      </c>
      <c r="L137">
        <v>505903</v>
      </c>
    </row>
    <row r="138" spans="1:12" x14ac:dyDescent="0.35">
      <c r="A138">
        <v>2024</v>
      </c>
      <c r="B138">
        <v>12</v>
      </c>
      <c r="C138" t="s">
        <v>75</v>
      </c>
      <c r="D138" t="s">
        <v>280</v>
      </c>
      <c r="E138" t="s">
        <v>257</v>
      </c>
      <c r="F138">
        <v>8562</v>
      </c>
      <c r="G138">
        <v>532446</v>
      </c>
      <c r="H138">
        <v>500903</v>
      </c>
      <c r="I138">
        <v>325286</v>
      </c>
      <c r="J138">
        <v>1044108</v>
      </c>
      <c r="K138">
        <v>447073</v>
      </c>
      <c r="L138">
        <v>618292</v>
      </c>
    </row>
    <row r="139" spans="1:12" x14ac:dyDescent="0.35">
      <c r="A139">
        <v>2024</v>
      </c>
      <c r="B139">
        <v>12</v>
      </c>
      <c r="C139" t="s">
        <v>75</v>
      </c>
      <c r="D139" t="s">
        <v>280</v>
      </c>
      <c r="E139" t="s">
        <v>259</v>
      </c>
      <c r="F139">
        <v>3623</v>
      </c>
      <c r="G139">
        <v>710889</v>
      </c>
      <c r="H139">
        <v>677824</v>
      </c>
      <c r="I139">
        <v>382502</v>
      </c>
      <c r="J139">
        <v>1106831</v>
      </c>
      <c r="K139">
        <v>655140</v>
      </c>
      <c r="L139">
        <v>805719</v>
      </c>
    </row>
    <row r="140" spans="1:12" x14ac:dyDescent="0.35">
      <c r="A140">
        <v>2024</v>
      </c>
      <c r="B140">
        <v>12</v>
      </c>
      <c r="C140" t="s">
        <v>75</v>
      </c>
      <c r="D140" t="s">
        <v>280</v>
      </c>
      <c r="E140" t="s">
        <v>261</v>
      </c>
      <c r="F140">
        <v>471</v>
      </c>
      <c r="G140">
        <v>878776</v>
      </c>
      <c r="H140">
        <v>873811</v>
      </c>
      <c r="I140">
        <v>514190</v>
      </c>
      <c r="J140">
        <v>1347670</v>
      </c>
      <c r="K140">
        <v>728835</v>
      </c>
      <c r="L140">
        <v>1104701</v>
      </c>
    </row>
    <row r="141" spans="1:12" x14ac:dyDescent="0.35">
      <c r="A141">
        <v>2024</v>
      </c>
      <c r="B141">
        <v>12</v>
      </c>
      <c r="C141" t="s">
        <v>75</v>
      </c>
      <c r="D141" t="s">
        <v>280</v>
      </c>
      <c r="E141" t="s">
        <v>263</v>
      </c>
      <c r="F141">
        <v>436</v>
      </c>
      <c r="G141">
        <v>938195</v>
      </c>
      <c r="H141">
        <v>952101</v>
      </c>
      <c r="I141">
        <v>623713</v>
      </c>
      <c r="J141">
        <v>1402707</v>
      </c>
      <c r="K141">
        <v>757099</v>
      </c>
      <c r="L141">
        <v>1044725</v>
      </c>
    </row>
    <row r="142" spans="1:12" x14ac:dyDescent="0.35">
      <c r="A142">
        <v>2024</v>
      </c>
      <c r="B142">
        <v>12</v>
      </c>
      <c r="C142" t="s">
        <v>75</v>
      </c>
      <c r="D142" t="s">
        <v>280</v>
      </c>
      <c r="E142" t="s">
        <v>265</v>
      </c>
      <c r="F142">
        <v>2085</v>
      </c>
      <c r="G142">
        <v>253603</v>
      </c>
      <c r="H142">
        <v>247243</v>
      </c>
      <c r="I142">
        <v>229743</v>
      </c>
      <c r="J142">
        <v>344448</v>
      </c>
      <c r="K142">
        <v>239190</v>
      </c>
      <c r="L142">
        <v>261824</v>
      </c>
    </row>
    <row r="143" spans="1:12" x14ac:dyDescent="0.35">
      <c r="A143">
        <v>2024</v>
      </c>
      <c r="B143">
        <v>12</v>
      </c>
      <c r="C143" t="s">
        <v>75</v>
      </c>
      <c r="D143" t="s">
        <v>280</v>
      </c>
      <c r="E143" t="s">
        <v>267</v>
      </c>
      <c r="F143">
        <v>45921</v>
      </c>
      <c r="G143">
        <v>369549</v>
      </c>
      <c r="H143">
        <v>373426</v>
      </c>
      <c r="I143">
        <v>260064</v>
      </c>
      <c r="J143">
        <v>579646</v>
      </c>
      <c r="K143">
        <v>300519</v>
      </c>
      <c r="L143">
        <v>416936</v>
      </c>
    </row>
    <row r="144" spans="1:12" x14ac:dyDescent="0.35">
      <c r="A144">
        <v>2024</v>
      </c>
      <c r="B144">
        <v>12</v>
      </c>
      <c r="C144" t="s">
        <v>75</v>
      </c>
      <c r="D144" t="s">
        <v>280</v>
      </c>
      <c r="E144" t="s">
        <v>269</v>
      </c>
      <c r="F144">
        <v>6989</v>
      </c>
      <c r="G144">
        <v>228116</v>
      </c>
      <c r="H144">
        <v>226688</v>
      </c>
      <c r="I144">
        <v>203498</v>
      </c>
      <c r="J144">
        <v>287748</v>
      </c>
      <c r="K144">
        <v>216000</v>
      </c>
      <c r="L144">
        <v>239188</v>
      </c>
    </row>
    <row r="145" spans="1:12" x14ac:dyDescent="0.35">
      <c r="A145">
        <v>2024</v>
      </c>
      <c r="B145">
        <v>12</v>
      </c>
      <c r="C145" t="s">
        <v>75</v>
      </c>
      <c r="D145" t="s">
        <v>280</v>
      </c>
      <c r="E145" t="s">
        <v>271</v>
      </c>
      <c r="F145">
        <v>712</v>
      </c>
      <c r="G145">
        <v>232161</v>
      </c>
      <c r="H145">
        <v>227895</v>
      </c>
      <c r="I145">
        <v>207526</v>
      </c>
      <c r="J145">
        <v>287797</v>
      </c>
      <c r="K145">
        <v>220210</v>
      </c>
      <c r="L145">
        <v>240765</v>
      </c>
    </row>
    <row r="146" spans="1:12" x14ac:dyDescent="0.35">
      <c r="A146">
        <v>2024</v>
      </c>
      <c r="B146">
        <v>12</v>
      </c>
      <c r="C146" t="s">
        <v>75</v>
      </c>
      <c r="D146" t="s">
        <v>280</v>
      </c>
      <c r="E146" t="s">
        <v>273</v>
      </c>
      <c r="F146">
        <v>18659</v>
      </c>
      <c r="G146">
        <v>292475</v>
      </c>
      <c r="H146">
        <v>284225</v>
      </c>
      <c r="I146">
        <v>210212</v>
      </c>
      <c r="J146">
        <v>374681</v>
      </c>
      <c r="K146">
        <v>276172</v>
      </c>
      <c r="L146">
        <v>311258</v>
      </c>
    </row>
    <row r="147" spans="1:12" x14ac:dyDescent="0.35">
      <c r="A147">
        <v>2024</v>
      </c>
      <c r="B147">
        <v>12</v>
      </c>
      <c r="C147" t="s">
        <v>75</v>
      </c>
      <c r="D147" t="s">
        <v>280</v>
      </c>
      <c r="E147" t="s">
        <v>275</v>
      </c>
      <c r="F147">
        <v>1926</v>
      </c>
      <c r="G147">
        <v>210965</v>
      </c>
      <c r="H147">
        <v>210210</v>
      </c>
      <c r="I147">
        <v>191418</v>
      </c>
      <c r="J147">
        <v>250950</v>
      </c>
      <c r="K147">
        <v>202895</v>
      </c>
      <c r="L147">
        <v>217710</v>
      </c>
    </row>
    <row r="148" spans="1:12" x14ac:dyDescent="0.35">
      <c r="A148">
        <v>2024</v>
      </c>
      <c r="B148">
        <v>12</v>
      </c>
      <c r="C148" t="s">
        <v>75</v>
      </c>
      <c r="D148" t="s">
        <v>280</v>
      </c>
      <c r="E148" t="s">
        <v>277</v>
      </c>
      <c r="F148">
        <v>6</v>
      </c>
      <c r="G148">
        <v>235067</v>
      </c>
      <c r="H148">
        <v>235900</v>
      </c>
      <c r="I148">
        <v>228400</v>
      </c>
      <c r="J148">
        <v>238400</v>
      </c>
      <c r="K148">
        <v>233400</v>
      </c>
      <c r="L148">
        <v>238400</v>
      </c>
    </row>
    <row r="149" spans="1:12" x14ac:dyDescent="0.35">
      <c r="A149">
        <v>2025</v>
      </c>
      <c r="B149">
        <v>1</v>
      </c>
      <c r="C149" t="s">
        <v>42</v>
      </c>
      <c r="D149" t="s">
        <v>280</v>
      </c>
      <c r="E149" t="s">
        <v>255</v>
      </c>
      <c r="F149">
        <v>14378</v>
      </c>
      <c r="G149">
        <v>456842</v>
      </c>
      <c r="H149">
        <v>441838</v>
      </c>
      <c r="I149">
        <v>297836</v>
      </c>
      <c r="J149">
        <v>797766</v>
      </c>
      <c r="K149">
        <v>399485</v>
      </c>
      <c r="L149">
        <v>510903</v>
      </c>
    </row>
    <row r="150" spans="1:12" x14ac:dyDescent="0.35">
      <c r="A150">
        <v>2025</v>
      </c>
      <c r="B150">
        <v>1</v>
      </c>
      <c r="C150" t="s">
        <v>42</v>
      </c>
      <c r="D150" t="s">
        <v>280</v>
      </c>
      <c r="E150" t="s">
        <v>257</v>
      </c>
      <c r="F150">
        <v>8534</v>
      </c>
      <c r="G150">
        <v>537539</v>
      </c>
      <c r="H150">
        <v>510834</v>
      </c>
      <c r="I150">
        <v>325286</v>
      </c>
      <c r="J150">
        <v>1046461</v>
      </c>
      <c r="K150">
        <v>449889</v>
      </c>
      <c r="L150">
        <v>623292</v>
      </c>
    </row>
    <row r="151" spans="1:12" x14ac:dyDescent="0.35">
      <c r="A151">
        <v>2025</v>
      </c>
      <c r="B151">
        <v>1</v>
      </c>
      <c r="C151" t="s">
        <v>42</v>
      </c>
      <c r="D151" t="s">
        <v>280</v>
      </c>
      <c r="E151" t="s">
        <v>259</v>
      </c>
      <c r="F151">
        <v>3481</v>
      </c>
      <c r="G151">
        <v>710216</v>
      </c>
      <c r="H151">
        <v>678058</v>
      </c>
      <c r="I151">
        <v>382502</v>
      </c>
      <c r="J151">
        <v>1106831</v>
      </c>
      <c r="K151">
        <v>657737</v>
      </c>
      <c r="L151">
        <v>803133</v>
      </c>
    </row>
    <row r="152" spans="1:12" x14ac:dyDescent="0.35">
      <c r="A152">
        <v>2025</v>
      </c>
      <c r="B152">
        <v>1</v>
      </c>
      <c r="C152" t="s">
        <v>42</v>
      </c>
      <c r="D152" t="s">
        <v>280</v>
      </c>
      <c r="E152" t="s">
        <v>261</v>
      </c>
      <c r="F152">
        <v>450</v>
      </c>
      <c r="G152">
        <v>883149</v>
      </c>
      <c r="H152">
        <v>893577</v>
      </c>
      <c r="I152">
        <v>554326</v>
      </c>
      <c r="J152">
        <v>1347669</v>
      </c>
      <c r="K152">
        <v>725484</v>
      </c>
      <c r="L152">
        <v>1104701</v>
      </c>
    </row>
    <row r="153" spans="1:12" x14ac:dyDescent="0.35">
      <c r="A153">
        <v>2025</v>
      </c>
      <c r="B153">
        <v>1</v>
      </c>
      <c r="C153" t="s">
        <v>42</v>
      </c>
      <c r="D153" t="s">
        <v>280</v>
      </c>
      <c r="E153" t="s">
        <v>263</v>
      </c>
      <c r="F153">
        <v>403</v>
      </c>
      <c r="G153">
        <v>938676</v>
      </c>
      <c r="H153">
        <v>952101</v>
      </c>
      <c r="I153">
        <v>651113</v>
      </c>
      <c r="J153">
        <v>1402707</v>
      </c>
      <c r="K153">
        <v>757099</v>
      </c>
      <c r="L153">
        <v>1044725</v>
      </c>
    </row>
    <row r="154" spans="1:12" x14ac:dyDescent="0.35">
      <c r="A154">
        <v>2025</v>
      </c>
      <c r="B154">
        <v>1</v>
      </c>
      <c r="C154" t="s">
        <v>42</v>
      </c>
      <c r="D154" t="s">
        <v>280</v>
      </c>
      <c r="E154" t="s">
        <v>265</v>
      </c>
      <c r="F154">
        <v>2096</v>
      </c>
      <c r="G154">
        <v>254126</v>
      </c>
      <c r="H154">
        <v>247243</v>
      </c>
      <c r="I154">
        <v>229743</v>
      </c>
      <c r="J154">
        <v>348039</v>
      </c>
      <c r="K154">
        <v>239743</v>
      </c>
      <c r="L154">
        <v>261959</v>
      </c>
    </row>
    <row r="155" spans="1:12" x14ac:dyDescent="0.35">
      <c r="A155">
        <v>2025</v>
      </c>
      <c r="B155">
        <v>1</v>
      </c>
      <c r="C155" t="s">
        <v>42</v>
      </c>
      <c r="D155" t="s">
        <v>280</v>
      </c>
      <c r="E155" t="s">
        <v>267</v>
      </c>
      <c r="F155">
        <v>45564</v>
      </c>
      <c r="G155">
        <v>370793</v>
      </c>
      <c r="H155">
        <v>374098</v>
      </c>
      <c r="I155">
        <v>260064</v>
      </c>
      <c r="J155">
        <v>584076</v>
      </c>
      <c r="K155">
        <v>300519</v>
      </c>
      <c r="L155">
        <v>420074</v>
      </c>
    </row>
    <row r="156" spans="1:12" x14ac:dyDescent="0.35">
      <c r="A156">
        <v>2025</v>
      </c>
      <c r="B156">
        <v>1</v>
      </c>
      <c r="C156" t="s">
        <v>42</v>
      </c>
      <c r="D156" t="s">
        <v>280</v>
      </c>
      <c r="E156" t="s">
        <v>269</v>
      </c>
      <c r="F156">
        <v>6977</v>
      </c>
      <c r="G156">
        <v>228341</v>
      </c>
      <c r="H156">
        <v>227107</v>
      </c>
      <c r="I156">
        <v>203004</v>
      </c>
      <c r="J156">
        <v>287748</v>
      </c>
      <c r="K156">
        <v>216184</v>
      </c>
      <c r="L156">
        <v>239188</v>
      </c>
    </row>
    <row r="157" spans="1:12" x14ac:dyDescent="0.35">
      <c r="A157">
        <v>2025</v>
      </c>
      <c r="B157">
        <v>1</v>
      </c>
      <c r="C157" t="s">
        <v>42</v>
      </c>
      <c r="D157" t="s">
        <v>280</v>
      </c>
      <c r="E157" t="s">
        <v>271</v>
      </c>
      <c r="F157">
        <v>703</v>
      </c>
      <c r="G157">
        <v>234122</v>
      </c>
      <c r="H157">
        <v>231631</v>
      </c>
      <c r="I157">
        <v>207710</v>
      </c>
      <c r="J157">
        <v>288741</v>
      </c>
      <c r="K157">
        <v>220210</v>
      </c>
      <c r="L157">
        <v>244131</v>
      </c>
    </row>
    <row r="158" spans="1:12" x14ac:dyDescent="0.35">
      <c r="A158">
        <v>2025</v>
      </c>
      <c r="B158">
        <v>1</v>
      </c>
      <c r="C158" t="s">
        <v>42</v>
      </c>
      <c r="D158" t="s">
        <v>280</v>
      </c>
      <c r="E158" t="s">
        <v>273</v>
      </c>
      <c r="F158">
        <v>18850</v>
      </c>
      <c r="G158">
        <v>295703</v>
      </c>
      <c r="H158">
        <v>289623</v>
      </c>
      <c r="I158">
        <v>210212</v>
      </c>
      <c r="J158">
        <v>377359</v>
      </c>
      <c r="K158">
        <v>279623</v>
      </c>
      <c r="L158">
        <v>311725</v>
      </c>
    </row>
    <row r="159" spans="1:12" x14ac:dyDescent="0.35">
      <c r="A159">
        <v>2025</v>
      </c>
      <c r="B159">
        <v>1</v>
      </c>
      <c r="C159" t="s">
        <v>42</v>
      </c>
      <c r="D159" t="s">
        <v>280</v>
      </c>
      <c r="E159" t="s">
        <v>275</v>
      </c>
      <c r="F159">
        <v>1905</v>
      </c>
      <c r="G159">
        <v>211483</v>
      </c>
      <c r="H159">
        <v>210395</v>
      </c>
      <c r="I159">
        <v>191418</v>
      </c>
      <c r="J159">
        <v>250950</v>
      </c>
      <c r="K159">
        <v>204841</v>
      </c>
      <c r="L159">
        <v>218450</v>
      </c>
    </row>
    <row r="160" spans="1:12" x14ac:dyDescent="0.35">
      <c r="A160">
        <v>2025</v>
      </c>
      <c r="B160">
        <v>1</v>
      </c>
      <c r="C160" t="s">
        <v>42</v>
      </c>
      <c r="D160" t="s">
        <v>280</v>
      </c>
      <c r="E160" t="s">
        <v>277</v>
      </c>
      <c r="F160">
        <v>5</v>
      </c>
      <c r="G160">
        <v>236400</v>
      </c>
      <c r="H160">
        <v>238400</v>
      </c>
      <c r="I160">
        <v>233400</v>
      </c>
      <c r="J160">
        <v>238400</v>
      </c>
      <c r="K160">
        <v>233400</v>
      </c>
      <c r="L160">
        <v>238400</v>
      </c>
    </row>
    <row r="161" spans="1:12" x14ac:dyDescent="0.35">
      <c r="A161">
        <v>2025</v>
      </c>
      <c r="B161">
        <v>2</v>
      </c>
      <c r="C161" t="s">
        <v>63</v>
      </c>
      <c r="D161" t="s">
        <v>280</v>
      </c>
      <c r="E161" t="s">
        <v>255</v>
      </c>
      <c r="F161">
        <v>14545</v>
      </c>
      <c r="G161">
        <v>458339</v>
      </c>
      <c r="H161">
        <v>441284</v>
      </c>
      <c r="I161">
        <v>297836</v>
      </c>
      <c r="J161">
        <v>793875</v>
      </c>
      <c r="K161">
        <v>401985</v>
      </c>
      <c r="L161">
        <v>512537</v>
      </c>
    </row>
    <row r="162" spans="1:12" x14ac:dyDescent="0.35">
      <c r="A162">
        <v>2025</v>
      </c>
      <c r="B162">
        <v>2</v>
      </c>
      <c r="C162" t="s">
        <v>63</v>
      </c>
      <c r="D162" t="s">
        <v>280</v>
      </c>
      <c r="E162" t="s">
        <v>257</v>
      </c>
      <c r="F162">
        <v>8677</v>
      </c>
      <c r="G162">
        <v>543062</v>
      </c>
      <c r="H162">
        <v>519658</v>
      </c>
      <c r="I162">
        <v>325286</v>
      </c>
      <c r="J162">
        <v>1055032</v>
      </c>
      <c r="K162">
        <v>450544</v>
      </c>
      <c r="L162">
        <v>625792</v>
      </c>
    </row>
    <row r="163" spans="1:12" x14ac:dyDescent="0.35">
      <c r="A163">
        <v>2025</v>
      </c>
      <c r="B163">
        <v>2</v>
      </c>
      <c r="C163" t="s">
        <v>63</v>
      </c>
      <c r="D163" t="s">
        <v>280</v>
      </c>
      <c r="E163" t="s">
        <v>259</v>
      </c>
      <c r="F163">
        <v>3449</v>
      </c>
      <c r="G163">
        <v>729546</v>
      </c>
      <c r="H163">
        <v>693933</v>
      </c>
      <c r="I163">
        <v>382502</v>
      </c>
      <c r="J163">
        <v>1106831</v>
      </c>
      <c r="K163">
        <v>667455</v>
      </c>
      <c r="L163">
        <v>837702</v>
      </c>
    </row>
    <row r="164" spans="1:12" x14ac:dyDescent="0.35">
      <c r="A164">
        <v>2025</v>
      </c>
      <c r="B164">
        <v>2</v>
      </c>
      <c r="C164" t="s">
        <v>63</v>
      </c>
      <c r="D164" t="s">
        <v>280</v>
      </c>
      <c r="E164" t="s">
        <v>261</v>
      </c>
      <c r="F164">
        <v>503</v>
      </c>
      <c r="G164">
        <v>877307</v>
      </c>
      <c r="H164">
        <v>873813</v>
      </c>
      <c r="I164">
        <v>546872</v>
      </c>
      <c r="J164">
        <v>1347669</v>
      </c>
      <c r="K164">
        <v>693379</v>
      </c>
      <c r="L164">
        <v>1104700</v>
      </c>
    </row>
    <row r="165" spans="1:12" x14ac:dyDescent="0.35">
      <c r="A165">
        <v>2025</v>
      </c>
      <c r="B165">
        <v>2</v>
      </c>
      <c r="C165" t="s">
        <v>63</v>
      </c>
      <c r="D165" t="s">
        <v>280</v>
      </c>
      <c r="E165" t="s">
        <v>263</v>
      </c>
      <c r="F165">
        <v>449</v>
      </c>
      <c r="G165">
        <v>984890</v>
      </c>
      <c r="H165">
        <v>999082</v>
      </c>
      <c r="I165">
        <v>623713</v>
      </c>
      <c r="J165">
        <v>1520951</v>
      </c>
      <c r="K165">
        <v>764599</v>
      </c>
      <c r="L165">
        <v>1131708</v>
      </c>
    </row>
    <row r="166" spans="1:12" x14ac:dyDescent="0.35">
      <c r="A166">
        <v>2025</v>
      </c>
      <c r="B166">
        <v>2</v>
      </c>
      <c r="C166" t="s">
        <v>63</v>
      </c>
      <c r="D166" t="s">
        <v>280</v>
      </c>
      <c r="E166" t="s">
        <v>265</v>
      </c>
      <c r="F166">
        <v>2173</v>
      </c>
      <c r="G166">
        <v>254198</v>
      </c>
      <c r="H166">
        <v>247243</v>
      </c>
      <c r="I166">
        <v>229743</v>
      </c>
      <c r="J166">
        <v>344448</v>
      </c>
      <c r="K166">
        <v>239743</v>
      </c>
      <c r="L166">
        <v>262243</v>
      </c>
    </row>
    <row r="167" spans="1:12" x14ac:dyDescent="0.35">
      <c r="A167">
        <v>2025</v>
      </c>
      <c r="B167">
        <v>2</v>
      </c>
      <c r="C167" t="s">
        <v>63</v>
      </c>
      <c r="D167" t="s">
        <v>280</v>
      </c>
      <c r="E167" t="s">
        <v>267</v>
      </c>
      <c r="F167">
        <v>46426</v>
      </c>
      <c r="G167">
        <v>370973</v>
      </c>
      <c r="H167">
        <v>370926</v>
      </c>
      <c r="I167">
        <v>260064</v>
      </c>
      <c r="J167">
        <v>581639</v>
      </c>
      <c r="K167">
        <v>300519</v>
      </c>
      <c r="L167">
        <v>416936</v>
      </c>
    </row>
    <row r="168" spans="1:12" x14ac:dyDescent="0.35">
      <c r="A168">
        <v>2025</v>
      </c>
      <c r="B168">
        <v>2</v>
      </c>
      <c r="C168" t="s">
        <v>63</v>
      </c>
      <c r="D168" t="s">
        <v>280</v>
      </c>
      <c r="E168" t="s">
        <v>269</v>
      </c>
      <c r="F168">
        <v>7169</v>
      </c>
      <c r="G168">
        <v>228257</v>
      </c>
      <c r="H168">
        <v>226688</v>
      </c>
      <c r="I168">
        <v>202916</v>
      </c>
      <c r="J168">
        <v>287748</v>
      </c>
      <c r="K168">
        <v>215765</v>
      </c>
      <c r="L168">
        <v>239188</v>
      </c>
    </row>
    <row r="169" spans="1:12" x14ac:dyDescent="0.35">
      <c r="A169">
        <v>2025</v>
      </c>
      <c r="B169">
        <v>2</v>
      </c>
      <c r="C169" t="s">
        <v>63</v>
      </c>
      <c r="D169" t="s">
        <v>280</v>
      </c>
      <c r="E169" t="s">
        <v>271</v>
      </c>
      <c r="F169">
        <v>713</v>
      </c>
      <c r="G169">
        <v>234511</v>
      </c>
      <c r="H169">
        <v>232661</v>
      </c>
      <c r="I169">
        <v>207526</v>
      </c>
      <c r="J169">
        <v>287797</v>
      </c>
      <c r="K169">
        <v>220210</v>
      </c>
      <c r="L169">
        <v>247058</v>
      </c>
    </row>
    <row r="170" spans="1:12" x14ac:dyDescent="0.35">
      <c r="A170">
        <v>2025</v>
      </c>
      <c r="B170">
        <v>2</v>
      </c>
      <c r="C170" t="s">
        <v>63</v>
      </c>
      <c r="D170" t="s">
        <v>280</v>
      </c>
      <c r="E170" t="s">
        <v>273</v>
      </c>
      <c r="F170">
        <v>18869</v>
      </c>
      <c r="G170">
        <v>292577</v>
      </c>
      <c r="H170">
        <v>284225</v>
      </c>
      <c r="I170">
        <v>210212</v>
      </c>
      <c r="J170">
        <v>377932</v>
      </c>
      <c r="K170">
        <v>276172</v>
      </c>
      <c r="L170">
        <v>310889</v>
      </c>
    </row>
    <row r="171" spans="1:12" x14ac:dyDescent="0.35">
      <c r="A171">
        <v>2025</v>
      </c>
      <c r="B171">
        <v>2</v>
      </c>
      <c r="C171" t="s">
        <v>63</v>
      </c>
      <c r="D171" t="s">
        <v>280</v>
      </c>
      <c r="E171" t="s">
        <v>275</v>
      </c>
      <c r="F171">
        <v>1953</v>
      </c>
      <c r="G171">
        <v>211201</v>
      </c>
      <c r="H171">
        <v>210210</v>
      </c>
      <c r="I171">
        <v>191418</v>
      </c>
      <c r="J171">
        <v>250950</v>
      </c>
      <c r="K171">
        <v>204287</v>
      </c>
      <c r="L171">
        <v>217710</v>
      </c>
    </row>
    <row r="172" spans="1:12" x14ac:dyDescent="0.35">
      <c r="A172">
        <v>2025</v>
      </c>
      <c r="B172">
        <v>2</v>
      </c>
      <c r="C172" t="s">
        <v>63</v>
      </c>
      <c r="D172" t="s">
        <v>280</v>
      </c>
      <c r="E172" t="s">
        <v>277</v>
      </c>
      <c r="F172">
        <v>5</v>
      </c>
      <c r="G172">
        <v>236400</v>
      </c>
      <c r="H172">
        <v>238400</v>
      </c>
      <c r="I172">
        <v>233400</v>
      </c>
      <c r="J172">
        <v>238400</v>
      </c>
      <c r="K172">
        <v>233400</v>
      </c>
      <c r="L172">
        <v>238400</v>
      </c>
    </row>
    <row r="173" spans="1:12" x14ac:dyDescent="0.35">
      <c r="A173">
        <v>2025</v>
      </c>
      <c r="B173">
        <v>3</v>
      </c>
      <c r="C173" t="s">
        <v>66</v>
      </c>
      <c r="D173" t="s">
        <v>280</v>
      </c>
      <c r="E173" t="s">
        <v>255</v>
      </c>
      <c r="F173">
        <v>14795</v>
      </c>
      <c r="G173">
        <v>453807</v>
      </c>
      <c r="H173">
        <v>433833</v>
      </c>
      <c r="I173">
        <v>297836</v>
      </c>
      <c r="J173">
        <v>788633</v>
      </c>
      <c r="K173">
        <v>399485</v>
      </c>
      <c r="L173">
        <v>506555</v>
      </c>
    </row>
    <row r="174" spans="1:12" x14ac:dyDescent="0.35">
      <c r="A174">
        <v>2025</v>
      </c>
      <c r="B174">
        <v>3</v>
      </c>
      <c r="C174" t="s">
        <v>66</v>
      </c>
      <c r="D174" t="s">
        <v>280</v>
      </c>
      <c r="E174" t="s">
        <v>257</v>
      </c>
      <c r="F174">
        <v>8872</v>
      </c>
      <c r="G174">
        <v>537025</v>
      </c>
      <c r="H174">
        <v>515894</v>
      </c>
      <c r="I174">
        <v>325286</v>
      </c>
      <c r="J174">
        <v>1070853</v>
      </c>
      <c r="K174">
        <v>447073</v>
      </c>
      <c r="L174">
        <v>623292</v>
      </c>
    </row>
    <row r="175" spans="1:12" x14ac:dyDescent="0.35">
      <c r="A175">
        <v>2025</v>
      </c>
      <c r="B175">
        <v>3</v>
      </c>
      <c r="C175" t="s">
        <v>66</v>
      </c>
      <c r="D175" t="s">
        <v>280</v>
      </c>
      <c r="E175" t="s">
        <v>259</v>
      </c>
      <c r="F175">
        <v>3434</v>
      </c>
      <c r="G175">
        <v>719120</v>
      </c>
      <c r="H175">
        <v>686208</v>
      </c>
      <c r="I175">
        <v>382502</v>
      </c>
      <c r="J175">
        <v>1113960</v>
      </c>
      <c r="K175">
        <v>662640</v>
      </c>
      <c r="L175">
        <v>810719</v>
      </c>
    </row>
    <row r="176" spans="1:12" x14ac:dyDescent="0.35">
      <c r="A176">
        <v>2025</v>
      </c>
      <c r="B176">
        <v>3</v>
      </c>
      <c r="C176" t="s">
        <v>66</v>
      </c>
      <c r="D176" t="s">
        <v>280</v>
      </c>
      <c r="E176" t="s">
        <v>261</v>
      </c>
      <c r="F176">
        <v>490</v>
      </c>
      <c r="G176">
        <v>846419</v>
      </c>
      <c r="H176">
        <v>752998</v>
      </c>
      <c r="I176">
        <v>528685</v>
      </c>
      <c r="J176">
        <v>1347669</v>
      </c>
      <c r="K176">
        <v>681851</v>
      </c>
      <c r="L176">
        <v>936903</v>
      </c>
    </row>
    <row r="177" spans="1:12" x14ac:dyDescent="0.35">
      <c r="A177">
        <v>2025</v>
      </c>
      <c r="B177">
        <v>3</v>
      </c>
      <c r="C177" t="s">
        <v>66</v>
      </c>
      <c r="D177" t="s">
        <v>280</v>
      </c>
      <c r="E177" t="s">
        <v>263</v>
      </c>
      <c r="F177">
        <v>433</v>
      </c>
      <c r="G177">
        <v>926420</v>
      </c>
      <c r="H177">
        <v>911400</v>
      </c>
      <c r="I177">
        <v>623713</v>
      </c>
      <c r="J177">
        <v>1402707</v>
      </c>
      <c r="K177">
        <v>756853</v>
      </c>
      <c r="L177">
        <v>1044725</v>
      </c>
    </row>
    <row r="178" spans="1:12" x14ac:dyDescent="0.35">
      <c r="A178">
        <v>2025</v>
      </c>
      <c r="B178">
        <v>3</v>
      </c>
      <c r="C178" t="s">
        <v>66</v>
      </c>
      <c r="D178" t="s">
        <v>280</v>
      </c>
      <c r="E178" t="s">
        <v>265</v>
      </c>
      <c r="F178">
        <v>2226</v>
      </c>
      <c r="G178">
        <v>253514</v>
      </c>
      <c r="H178">
        <v>247243</v>
      </c>
      <c r="I178">
        <v>229743</v>
      </c>
      <c r="J178">
        <v>350839</v>
      </c>
      <c r="K178">
        <v>239743</v>
      </c>
      <c r="L178">
        <v>261590</v>
      </c>
    </row>
    <row r="179" spans="1:12" x14ac:dyDescent="0.35">
      <c r="A179">
        <v>2025</v>
      </c>
      <c r="B179">
        <v>3</v>
      </c>
      <c r="C179" t="s">
        <v>66</v>
      </c>
      <c r="D179" t="s">
        <v>280</v>
      </c>
      <c r="E179" t="s">
        <v>267</v>
      </c>
      <c r="F179">
        <v>47438</v>
      </c>
      <c r="G179">
        <v>368796</v>
      </c>
      <c r="H179">
        <v>368426</v>
      </c>
      <c r="I179">
        <v>260064</v>
      </c>
      <c r="J179">
        <v>580118</v>
      </c>
      <c r="K179">
        <v>300519</v>
      </c>
      <c r="L179">
        <v>416936</v>
      </c>
    </row>
    <row r="180" spans="1:12" x14ac:dyDescent="0.35">
      <c r="A180">
        <v>2025</v>
      </c>
      <c r="B180">
        <v>3</v>
      </c>
      <c r="C180" t="s">
        <v>66</v>
      </c>
      <c r="D180" t="s">
        <v>280</v>
      </c>
      <c r="E180" t="s">
        <v>269</v>
      </c>
      <c r="F180">
        <v>7199</v>
      </c>
      <c r="G180">
        <v>227565</v>
      </c>
      <c r="H180">
        <v>226319</v>
      </c>
      <c r="I180">
        <v>203006</v>
      </c>
      <c r="J180">
        <v>285063</v>
      </c>
      <c r="K180">
        <v>213684</v>
      </c>
      <c r="L180">
        <v>238400</v>
      </c>
    </row>
    <row r="181" spans="1:12" x14ac:dyDescent="0.35">
      <c r="A181">
        <v>2025</v>
      </c>
      <c r="B181">
        <v>3</v>
      </c>
      <c r="C181" t="s">
        <v>66</v>
      </c>
      <c r="D181" t="s">
        <v>280</v>
      </c>
      <c r="E181" t="s">
        <v>271</v>
      </c>
      <c r="F181">
        <v>719</v>
      </c>
      <c r="G181">
        <v>234432</v>
      </c>
      <c r="H181">
        <v>232661</v>
      </c>
      <c r="I181">
        <v>207526</v>
      </c>
      <c r="J181">
        <v>287797</v>
      </c>
      <c r="K181">
        <v>220765</v>
      </c>
      <c r="L181">
        <v>245716</v>
      </c>
    </row>
    <row r="182" spans="1:12" x14ac:dyDescent="0.35">
      <c r="A182">
        <v>2025</v>
      </c>
      <c r="B182">
        <v>3</v>
      </c>
      <c r="C182" t="s">
        <v>66</v>
      </c>
      <c r="D182" t="s">
        <v>280</v>
      </c>
      <c r="E182" t="s">
        <v>273</v>
      </c>
      <c r="F182">
        <v>19067</v>
      </c>
      <c r="G182">
        <v>292349</v>
      </c>
      <c r="H182">
        <v>284225</v>
      </c>
      <c r="I182">
        <v>210212</v>
      </c>
      <c r="J182">
        <v>374681</v>
      </c>
      <c r="K182">
        <v>276172</v>
      </c>
      <c r="L182">
        <v>310889</v>
      </c>
    </row>
    <row r="183" spans="1:12" x14ac:dyDescent="0.35">
      <c r="A183">
        <v>2025</v>
      </c>
      <c r="B183">
        <v>3</v>
      </c>
      <c r="C183" t="s">
        <v>66</v>
      </c>
      <c r="D183" t="s">
        <v>280</v>
      </c>
      <c r="E183" t="s">
        <v>275</v>
      </c>
      <c r="F183">
        <v>1984</v>
      </c>
      <c r="G183">
        <v>211334</v>
      </c>
      <c r="H183">
        <v>210813</v>
      </c>
      <c r="I183">
        <v>191418</v>
      </c>
      <c r="J183">
        <v>250950</v>
      </c>
      <c r="K183">
        <v>204287</v>
      </c>
      <c r="L183">
        <v>217710</v>
      </c>
    </row>
    <row r="184" spans="1:12" x14ac:dyDescent="0.35">
      <c r="A184">
        <v>2025</v>
      </c>
      <c r="B184">
        <v>3</v>
      </c>
      <c r="C184" t="s">
        <v>66</v>
      </c>
      <c r="D184" t="s">
        <v>280</v>
      </c>
      <c r="E184" t="s">
        <v>277</v>
      </c>
      <c r="F184">
        <v>5</v>
      </c>
      <c r="G184">
        <v>236400</v>
      </c>
      <c r="H184">
        <v>238400</v>
      </c>
      <c r="I184">
        <v>233400</v>
      </c>
      <c r="J184">
        <v>238400</v>
      </c>
      <c r="K184">
        <v>233400</v>
      </c>
      <c r="L184">
        <v>238400</v>
      </c>
    </row>
    <row r="185" spans="1:12" x14ac:dyDescent="0.35">
      <c r="A185">
        <v>2025</v>
      </c>
      <c r="B185">
        <v>4</v>
      </c>
      <c r="C185" t="s">
        <v>67</v>
      </c>
      <c r="D185" t="s">
        <v>280</v>
      </c>
      <c r="E185" t="s">
        <v>255</v>
      </c>
      <c r="F185">
        <v>14545</v>
      </c>
      <c r="G185">
        <v>458365</v>
      </c>
      <c r="H185">
        <v>441284</v>
      </c>
      <c r="I185">
        <v>297836</v>
      </c>
      <c r="J185">
        <v>793875</v>
      </c>
      <c r="K185">
        <v>401996</v>
      </c>
      <c r="L185">
        <v>512537</v>
      </c>
    </row>
    <row r="186" spans="1:12" x14ac:dyDescent="0.35">
      <c r="A186">
        <v>2025</v>
      </c>
      <c r="B186">
        <v>4</v>
      </c>
      <c r="C186" t="s">
        <v>67</v>
      </c>
      <c r="D186" t="s">
        <v>280</v>
      </c>
      <c r="E186" t="s">
        <v>257</v>
      </c>
      <c r="F186">
        <v>8671</v>
      </c>
      <c r="G186">
        <v>543082</v>
      </c>
      <c r="H186">
        <v>519658</v>
      </c>
      <c r="I186">
        <v>325286</v>
      </c>
      <c r="J186">
        <v>1055032</v>
      </c>
      <c r="K186">
        <v>450544</v>
      </c>
      <c r="L186">
        <v>625792</v>
      </c>
    </row>
    <row r="187" spans="1:12" x14ac:dyDescent="0.35">
      <c r="A187">
        <v>2025</v>
      </c>
      <c r="B187">
        <v>4</v>
      </c>
      <c r="C187" t="s">
        <v>67</v>
      </c>
      <c r="D187" t="s">
        <v>280</v>
      </c>
      <c r="E187" t="s">
        <v>259</v>
      </c>
      <c r="F187">
        <v>3444</v>
      </c>
      <c r="G187">
        <v>729646</v>
      </c>
      <c r="H187">
        <v>693933</v>
      </c>
      <c r="I187">
        <v>382502</v>
      </c>
      <c r="J187">
        <v>1106831</v>
      </c>
      <c r="K187">
        <v>667455</v>
      </c>
      <c r="L187">
        <v>837702</v>
      </c>
    </row>
    <row r="188" spans="1:12" x14ac:dyDescent="0.35">
      <c r="A188">
        <v>2025</v>
      </c>
      <c r="B188">
        <v>4</v>
      </c>
      <c r="C188" t="s">
        <v>67</v>
      </c>
      <c r="D188" t="s">
        <v>280</v>
      </c>
      <c r="E188" t="s">
        <v>261</v>
      </c>
      <c r="F188">
        <v>503</v>
      </c>
      <c r="G188">
        <v>877355</v>
      </c>
      <c r="H188">
        <v>873813</v>
      </c>
      <c r="I188">
        <v>546872</v>
      </c>
      <c r="J188">
        <v>1347669</v>
      </c>
      <c r="K188">
        <v>693379</v>
      </c>
      <c r="L188">
        <v>1104700</v>
      </c>
    </row>
    <row r="189" spans="1:12" x14ac:dyDescent="0.35">
      <c r="A189">
        <v>2025</v>
      </c>
      <c r="B189">
        <v>4</v>
      </c>
      <c r="C189" t="s">
        <v>67</v>
      </c>
      <c r="D189" t="s">
        <v>280</v>
      </c>
      <c r="E189" t="s">
        <v>263</v>
      </c>
      <c r="F189">
        <v>452</v>
      </c>
      <c r="G189">
        <v>987484</v>
      </c>
      <c r="H189">
        <v>999085</v>
      </c>
      <c r="I189">
        <v>623713</v>
      </c>
      <c r="J189">
        <v>1520951</v>
      </c>
      <c r="K189">
        <v>759711</v>
      </c>
      <c r="L189">
        <v>1176241</v>
      </c>
    </row>
    <row r="190" spans="1:12" x14ac:dyDescent="0.35">
      <c r="A190">
        <v>2025</v>
      </c>
      <c r="B190">
        <v>4</v>
      </c>
      <c r="C190" t="s">
        <v>67</v>
      </c>
      <c r="D190" t="s">
        <v>280</v>
      </c>
      <c r="E190" t="s">
        <v>265</v>
      </c>
      <c r="F190">
        <v>2173</v>
      </c>
      <c r="G190">
        <v>254198</v>
      </c>
      <c r="H190">
        <v>247243</v>
      </c>
      <c r="I190">
        <v>229743</v>
      </c>
      <c r="J190">
        <v>344448</v>
      </c>
      <c r="K190">
        <v>239743</v>
      </c>
      <c r="L190">
        <v>262243</v>
      </c>
    </row>
    <row r="191" spans="1:12" x14ac:dyDescent="0.35">
      <c r="A191">
        <v>2025</v>
      </c>
      <c r="B191">
        <v>4</v>
      </c>
      <c r="C191" t="s">
        <v>67</v>
      </c>
      <c r="D191" t="s">
        <v>280</v>
      </c>
      <c r="E191" t="s">
        <v>267</v>
      </c>
      <c r="F191">
        <v>46425</v>
      </c>
      <c r="G191">
        <v>370982</v>
      </c>
      <c r="H191">
        <v>370926</v>
      </c>
      <c r="I191">
        <v>260064</v>
      </c>
      <c r="J191">
        <v>581639</v>
      </c>
      <c r="K191">
        <v>300519</v>
      </c>
      <c r="L191">
        <v>416936</v>
      </c>
    </row>
    <row r="192" spans="1:12" x14ac:dyDescent="0.35">
      <c r="A192">
        <v>2025</v>
      </c>
      <c r="B192">
        <v>4</v>
      </c>
      <c r="C192" t="s">
        <v>67</v>
      </c>
      <c r="D192" t="s">
        <v>280</v>
      </c>
      <c r="E192" t="s">
        <v>269</v>
      </c>
      <c r="F192">
        <v>7168</v>
      </c>
      <c r="G192">
        <v>228253</v>
      </c>
      <c r="H192">
        <v>226688</v>
      </c>
      <c r="I192">
        <v>202916</v>
      </c>
      <c r="J192">
        <v>287748</v>
      </c>
      <c r="K192">
        <v>215765</v>
      </c>
      <c r="L192">
        <v>239188</v>
      </c>
    </row>
    <row r="193" spans="1:12" x14ac:dyDescent="0.35">
      <c r="A193">
        <v>2025</v>
      </c>
      <c r="B193">
        <v>4</v>
      </c>
      <c r="C193" t="s">
        <v>67</v>
      </c>
      <c r="D193" t="s">
        <v>280</v>
      </c>
      <c r="E193" t="s">
        <v>271</v>
      </c>
      <c r="F193">
        <v>713</v>
      </c>
      <c r="G193">
        <v>234532</v>
      </c>
      <c r="H193">
        <v>232661</v>
      </c>
      <c r="I193">
        <v>207526</v>
      </c>
      <c r="J193">
        <v>287797</v>
      </c>
      <c r="K193">
        <v>220210</v>
      </c>
      <c r="L193">
        <v>247058</v>
      </c>
    </row>
    <row r="194" spans="1:12" x14ac:dyDescent="0.35">
      <c r="A194">
        <v>2025</v>
      </c>
      <c r="B194">
        <v>4</v>
      </c>
      <c r="C194" t="s">
        <v>67</v>
      </c>
      <c r="D194" t="s">
        <v>280</v>
      </c>
      <c r="E194" t="s">
        <v>273</v>
      </c>
      <c r="F194">
        <v>18868</v>
      </c>
      <c r="G194">
        <v>292577</v>
      </c>
      <c r="H194">
        <v>284225</v>
      </c>
      <c r="I194">
        <v>210212</v>
      </c>
      <c r="J194">
        <v>377932</v>
      </c>
      <c r="K194">
        <v>276172</v>
      </c>
      <c r="L194">
        <v>310889</v>
      </c>
    </row>
    <row r="195" spans="1:12" x14ac:dyDescent="0.35">
      <c r="A195">
        <v>2025</v>
      </c>
      <c r="B195">
        <v>4</v>
      </c>
      <c r="C195" t="s">
        <v>67</v>
      </c>
      <c r="D195" t="s">
        <v>280</v>
      </c>
      <c r="E195" t="s">
        <v>275</v>
      </c>
      <c r="F195">
        <v>1953</v>
      </c>
      <c r="G195">
        <v>211201</v>
      </c>
      <c r="H195">
        <v>210210</v>
      </c>
      <c r="I195">
        <v>191418</v>
      </c>
      <c r="J195">
        <v>250950</v>
      </c>
      <c r="K195">
        <v>204287</v>
      </c>
      <c r="L195">
        <v>217710</v>
      </c>
    </row>
    <row r="196" spans="1:12" x14ac:dyDescent="0.35">
      <c r="A196">
        <v>2025</v>
      </c>
      <c r="B196">
        <v>4</v>
      </c>
      <c r="C196" t="s">
        <v>67</v>
      </c>
      <c r="D196" t="s">
        <v>280</v>
      </c>
      <c r="E196" t="s">
        <v>277</v>
      </c>
      <c r="F196">
        <v>5</v>
      </c>
      <c r="G196">
        <v>236400</v>
      </c>
      <c r="H196">
        <v>238400</v>
      </c>
      <c r="I196">
        <v>233400</v>
      </c>
      <c r="J196">
        <v>238400</v>
      </c>
      <c r="K196">
        <v>233400</v>
      </c>
      <c r="L196">
        <v>238400</v>
      </c>
    </row>
    <row r="197" spans="1:12" x14ac:dyDescent="0.35">
      <c r="A197">
        <v>2025</v>
      </c>
      <c r="B197">
        <v>5</v>
      </c>
      <c r="C197" t="s">
        <v>68</v>
      </c>
      <c r="D197" t="s">
        <v>280</v>
      </c>
      <c r="E197" t="s">
        <v>255</v>
      </c>
      <c r="F197">
        <v>15353</v>
      </c>
      <c r="G197">
        <v>476993</v>
      </c>
      <c r="H197">
        <v>450495</v>
      </c>
      <c r="I197">
        <v>297836</v>
      </c>
      <c r="J197">
        <v>797766</v>
      </c>
      <c r="K197">
        <v>399487</v>
      </c>
      <c r="L197">
        <v>560570</v>
      </c>
    </row>
    <row r="198" spans="1:12" x14ac:dyDescent="0.35">
      <c r="A198">
        <v>2025</v>
      </c>
      <c r="B198">
        <v>5</v>
      </c>
      <c r="C198" t="s">
        <v>68</v>
      </c>
      <c r="D198" t="s">
        <v>280</v>
      </c>
      <c r="E198" t="s">
        <v>257</v>
      </c>
      <c r="F198">
        <v>9047</v>
      </c>
      <c r="G198">
        <v>566061</v>
      </c>
      <c r="H198">
        <v>555804</v>
      </c>
      <c r="I198">
        <v>325286</v>
      </c>
      <c r="J198">
        <v>1044108</v>
      </c>
      <c r="K198">
        <v>448094</v>
      </c>
      <c r="L198">
        <v>671064</v>
      </c>
    </row>
    <row r="199" spans="1:12" x14ac:dyDescent="0.35">
      <c r="A199">
        <v>2025</v>
      </c>
      <c r="B199">
        <v>5</v>
      </c>
      <c r="C199" t="s">
        <v>68</v>
      </c>
      <c r="D199" t="s">
        <v>280</v>
      </c>
      <c r="E199" t="s">
        <v>259</v>
      </c>
      <c r="F199">
        <v>3472</v>
      </c>
      <c r="G199">
        <v>738990</v>
      </c>
      <c r="H199">
        <v>702455</v>
      </c>
      <c r="I199">
        <v>382502</v>
      </c>
      <c r="J199">
        <v>1159881</v>
      </c>
      <c r="K199">
        <v>667455</v>
      </c>
      <c r="L199">
        <v>848675</v>
      </c>
    </row>
    <row r="200" spans="1:12" x14ac:dyDescent="0.35">
      <c r="A200">
        <v>2025</v>
      </c>
      <c r="B200">
        <v>5</v>
      </c>
      <c r="C200" t="s">
        <v>68</v>
      </c>
      <c r="D200" t="s">
        <v>280</v>
      </c>
      <c r="E200" t="s">
        <v>261</v>
      </c>
      <c r="F200">
        <v>560</v>
      </c>
      <c r="G200">
        <v>849812</v>
      </c>
      <c r="H200">
        <v>756471</v>
      </c>
      <c r="I200">
        <v>528685</v>
      </c>
      <c r="J200">
        <v>1349769</v>
      </c>
      <c r="K200">
        <v>681851</v>
      </c>
      <c r="L200">
        <v>945117</v>
      </c>
    </row>
    <row r="201" spans="1:12" x14ac:dyDescent="0.35">
      <c r="A201">
        <v>2025</v>
      </c>
      <c r="B201">
        <v>5</v>
      </c>
      <c r="C201" t="s">
        <v>68</v>
      </c>
      <c r="D201" t="s">
        <v>280</v>
      </c>
      <c r="E201" t="s">
        <v>263</v>
      </c>
      <c r="F201">
        <v>487</v>
      </c>
      <c r="G201">
        <v>939597</v>
      </c>
      <c r="H201">
        <v>911397</v>
      </c>
      <c r="I201">
        <v>623713</v>
      </c>
      <c r="J201">
        <v>1442068</v>
      </c>
      <c r="K201">
        <v>757099</v>
      </c>
      <c r="L201">
        <v>1044725</v>
      </c>
    </row>
    <row r="202" spans="1:12" x14ac:dyDescent="0.35">
      <c r="A202">
        <v>2025</v>
      </c>
      <c r="B202">
        <v>5</v>
      </c>
      <c r="C202" t="s">
        <v>68</v>
      </c>
      <c r="D202" t="s">
        <v>280</v>
      </c>
      <c r="E202" t="s">
        <v>265</v>
      </c>
      <c r="F202">
        <v>2337</v>
      </c>
      <c r="G202">
        <v>252880</v>
      </c>
      <c r="H202">
        <v>247243</v>
      </c>
      <c r="I202">
        <v>229743</v>
      </c>
      <c r="J202">
        <v>350839</v>
      </c>
      <c r="K202">
        <v>239576</v>
      </c>
      <c r="L202">
        <v>259324</v>
      </c>
    </row>
    <row r="203" spans="1:12" x14ac:dyDescent="0.35">
      <c r="A203">
        <v>2025</v>
      </c>
      <c r="B203">
        <v>5</v>
      </c>
      <c r="C203" t="s">
        <v>68</v>
      </c>
      <c r="D203" t="s">
        <v>280</v>
      </c>
      <c r="E203" t="s">
        <v>267</v>
      </c>
      <c r="F203">
        <v>48030</v>
      </c>
      <c r="G203">
        <v>379000</v>
      </c>
      <c r="H203">
        <v>365926</v>
      </c>
      <c r="I203">
        <v>260064</v>
      </c>
      <c r="J203">
        <v>584893</v>
      </c>
      <c r="K203">
        <v>298252</v>
      </c>
      <c r="L203">
        <v>430040</v>
      </c>
    </row>
    <row r="204" spans="1:12" x14ac:dyDescent="0.35">
      <c r="A204">
        <v>2025</v>
      </c>
      <c r="B204">
        <v>5</v>
      </c>
      <c r="C204" t="s">
        <v>68</v>
      </c>
      <c r="D204" t="s">
        <v>280</v>
      </c>
      <c r="E204" t="s">
        <v>269</v>
      </c>
      <c r="F204">
        <v>6935</v>
      </c>
      <c r="G204">
        <v>226302</v>
      </c>
      <c r="H204">
        <v>224976</v>
      </c>
      <c r="I204">
        <v>203333</v>
      </c>
      <c r="J204">
        <v>280248</v>
      </c>
      <c r="K204">
        <v>213265</v>
      </c>
      <c r="L204">
        <v>236688</v>
      </c>
    </row>
    <row r="205" spans="1:12" x14ac:dyDescent="0.35">
      <c r="A205">
        <v>2025</v>
      </c>
      <c r="B205">
        <v>5</v>
      </c>
      <c r="C205" t="s">
        <v>68</v>
      </c>
      <c r="D205" t="s">
        <v>280</v>
      </c>
      <c r="E205" t="s">
        <v>271</v>
      </c>
      <c r="F205">
        <v>719</v>
      </c>
      <c r="G205">
        <v>234127</v>
      </c>
      <c r="H205">
        <v>231201</v>
      </c>
      <c r="I205">
        <v>207526</v>
      </c>
      <c r="J205">
        <v>287797</v>
      </c>
      <c r="K205">
        <v>222526</v>
      </c>
      <c r="L205">
        <v>245716</v>
      </c>
    </row>
    <row r="206" spans="1:12" x14ac:dyDescent="0.35">
      <c r="A206">
        <v>2025</v>
      </c>
      <c r="B206">
        <v>5</v>
      </c>
      <c r="C206" t="s">
        <v>68</v>
      </c>
      <c r="D206" t="s">
        <v>280</v>
      </c>
      <c r="E206" t="s">
        <v>273</v>
      </c>
      <c r="F206">
        <v>20857</v>
      </c>
      <c r="G206">
        <v>309778</v>
      </c>
      <c r="H206">
        <v>305889</v>
      </c>
      <c r="I206">
        <v>211922</v>
      </c>
      <c r="J206">
        <v>379896</v>
      </c>
      <c r="K206">
        <v>279275</v>
      </c>
      <c r="L206">
        <v>345701</v>
      </c>
    </row>
    <row r="207" spans="1:12" x14ac:dyDescent="0.35">
      <c r="A207">
        <v>2025</v>
      </c>
      <c r="B207">
        <v>5</v>
      </c>
      <c r="C207" t="s">
        <v>68</v>
      </c>
      <c r="D207" t="s">
        <v>280</v>
      </c>
      <c r="E207" t="s">
        <v>275</v>
      </c>
      <c r="F207">
        <v>2030</v>
      </c>
      <c r="G207">
        <v>211327</v>
      </c>
      <c r="H207">
        <v>210950</v>
      </c>
      <c r="I207">
        <v>191418</v>
      </c>
      <c r="J207">
        <v>253450</v>
      </c>
      <c r="K207">
        <v>204472</v>
      </c>
      <c r="L207">
        <v>217710</v>
      </c>
    </row>
    <row r="208" spans="1:12" x14ac:dyDescent="0.35">
      <c r="A208">
        <v>2025</v>
      </c>
      <c r="B208">
        <v>5</v>
      </c>
      <c r="C208" t="s">
        <v>68</v>
      </c>
      <c r="D208" t="s">
        <v>280</v>
      </c>
      <c r="E208" t="s">
        <v>277</v>
      </c>
      <c r="F208">
        <v>5</v>
      </c>
      <c r="G208">
        <v>235400</v>
      </c>
      <c r="H208">
        <v>233400</v>
      </c>
      <c r="I208">
        <v>233400</v>
      </c>
      <c r="J208">
        <v>238400</v>
      </c>
      <c r="K208">
        <v>233400</v>
      </c>
      <c r="L208">
        <v>238400</v>
      </c>
    </row>
    <row r="209" spans="1:12" x14ac:dyDescent="0.35">
      <c r="A209">
        <v>2025</v>
      </c>
      <c r="B209">
        <v>6</v>
      </c>
      <c r="C209" t="s">
        <v>69</v>
      </c>
      <c r="D209" t="s">
        <v>280</v>
      </c>
      <c r="E209" t="s">
        <v>255</v>
      </c>
      <c r="F209">
        <v>15526</v>
      </c>
      <c r="G209">
        <v>451905</v>
      </c>
      <c r="H209">
        <v>433044</v>
      </c>
      <c r="I209">
        <v>297836</v>
      </c>
      <c r="J209">
        <v>794929</v>
      </c>
      <c r="K209">
        <v>399485</v>
      </c>
      <c r="L209">
        <v>502848</v>
      </c>
    </row>
    <row r="210" spans="1:12" x14ac:dyDescent="0.35">
      <c r="A210">
        <v>2025</v>
      </c>
      <c r="B210">
        <v>6</v>
      </c>
      <c r="C210" t="s">
        <v>69</v>
      </c>
      <c r="D210" t="s">
        <v>280</v>
      </c>
      <c r="E210" t="s">
        <v>257</v>
      </c>
      <c r="F210">
        <v>9117</v>
      </c>
      <c r="G210">
        <v>535768</v>
      </c>
      <c r="H210">
        <v>507158</v>
      </c>
      <c r="I210">
        <v>325286</v>
      </c>
      <c r="J210">
        <v>1044108</v>
      </c>
      <c r="K210">
        <v>447073</v>
      </c>
      <c r="L210">
        <v>623292</v>
      </c>
    </row>
    <row r="211" spans="1:12" x14ac:dyDescent="0.35">
      <c r="A211">
        <v>2025</v>
      </c>
      <c r="B211">
        <v>6</v>
      </c>
      <c r="C211" t="s">
        <v>69</v>
      </c>
      <c r="D211" t="s">
        <v>280</v>
      </c>
      <c r="E211" t="s">
        <v>259</v>
      </c>
      <c r="F211">
        <v>3501</v>
      </c>
      <c r="G211">
        <v>719518</v>
      </c>
      <c r="H211">
        <v>687455</v>
      </c>
      <c r="I211">
        <v>382502</v>
      </c>
      <c r="J211">
        <v>1106831</v>
      </c>
      <c r="K211">
        <v>662455</v>
      </c>
      <c r="L211">
        <v>810719</v>
      </c>
    </row>
    <row r="212" spans="1:12" x14ac:dyDescent="0.35">
      <c r="A212">
        <v>2025</v>
      </c>
      <c r="B212">
        <v>6</v>
      </c>
      <c r="C212" t="s">
        <v>69</v>
      </c>
      <c r="D212" t="s">
        <v>280</v>
      </c>
      <c r="E212" t="s">
        <v>261</v>
      </c>
      <c r="F212">
        <v>579</v>
      </c>
      <c r="G212">
        <v>846225</v>
      </c>
      <c r="H212">
        <v>756470</v>
      </c>
      <c r="I212">
        <v>528685</v>
      </c>
      <c r="J212">
        <v>1347669</v>
      </c>
      <c r="K212">
        <v>681851</v>
      </c>
      <c r="L212">
        <v>936903</v>
      </c>
    </row>
    <row r="213" spans="1:12" x14ac:dyDescent="0.35">
      <c r="A213">
        <v>2025</v>
      </c>
      <c r="B213">
        <v>6</v>
      </c>
      <c r="C213" t="s">
        <v>69</v>
      </c>
      <c r="D213" t="s">
        <v>280</v>
      </c>
      <c r="E213" t="s">
        <v>263</v>
      </c>
      <c r="F213">
        <v>487</v>
      </c>
      <c r="G213">
        <v>937122</v>
      </c>
      <c r="H213">
        <v>911397</v>
      </c>
      <c r="I213">
        <v>623713</v>
      </c>
      <c r="J213">
        <v>1433581</v>
      </c>
      <c r="K213">
        <v>757099</v>
      </c>
      <c r="L213">
        <v>1044725</v>
      </c>
    </row>
    <row r="214" spans="1:12" x14ac:dyDescent="0.35">
      <c r="A214">
        <v>2025</v>
      </c>
      <c r="B214">
        <v>6</v>
      </c>
      <c r="C214" t="s">
        <v>69</v>
      </c>
      <c r="D214" t="s">
        <v>280</v>
      </c>
      <c r="E214" t="s">
        <v>265</v>
      </c>
      <c r="F214">
        <v>2353</v>
      </c>
      <c r="G214">
        <v>253291</v>
      </c>
      <c r="H214">
        <v>247243</v>
      </c>
      <c r="I214">
        <v>229743</v>
      </c>
      <c r="J214">
        <v>350839</v>
      </c>
      <c r="K214">
        <v>239743</v>
      </c>
      <c r="L214">
        <v>261590</v>
      </c>
    </row>
    <row r="215" spans="1:12" x14ac:dyDescent="0.35">
      <c r="A215">
        <v>2025</v>
      </c>
      <c r="B215">
        <v>6</v>
      </c>
      <c r="C215" t="s">
        <v>69</v>
      </c>
      <c r="D215" t="s">
        <v>280</v>
      </c>
      <c r="E215" t="s">
        <v>267</v>
      </c>
      <c r="F215">
        <v>49230</v>
      </c>
      <c r="G215">
        <v>366029</v>
      </c>
      <c r="H215">
        <v>364634</v>
      </c>
      <c r="I215">
        <v>260064</v>
      </c>
      <c r="J215">
        <v>584793</v>
      </c>
      <c r="K215">
        <v>298252</v>
      </c>
      <c r="L215">
        <v>415040</v>
      </c>
    </row>
    <row r="216" spans="1:12" x14ac:dyDescent="0.35">
      <c r="A216">
        <v>2025</v>
      </c>
      <c r="B216">
        <v>6</v>
      </c>
      <c r="C216" t="s">
        <v>69</v>
      </c>
      <c r="D216" t="s">
        <v>280</v>
      </c>
      <c r="E216" t="s">
        <v>269</v>
      </c>
      <c r="F216">
        <v>6957</v>
      </c>
      <c r="G216">
        <v>226138</v>
      </c>
      <c r="H216">
        <v>224976</v>
      </c>
      <c r="I216">
        <v>203090</v>
      </c>
      <c r="J216">
        <v>280248</v>
      </c>
      <c r="K216">
        <v>211564</v>
      </c>
      <c r="L216">
        <v>236553</v>
      </c>
    </row>
    <row r="217" spans="1:12" x14ac:dyDescent="0.35">
      <c r="A217">
        <v>2025</v>
      </c>
      <c r="B217">
        <v>6</v>
      </c>
      <c r="C217" t="s">
        <v>69</v>
      </c>
      <c r="D217" t="s">
        <v>280</v>
      </c>
      <c r="E217" t="s">
        <v>271</v>
      </c>
      <c r="F217">
        <v>717</v>
      </c>
      <c r="G217">
        <v>234235</v>
      </c>
      <c r="H217">
        <v>232661</v>
      </c>
      <c r="I217">
        <v>207526</v>
      </c>
      <c r="J217">
        <v>287797</v>
      </c>
      <c r="K217">
        <v>222661</v>
      </c>
      <c r="L217">
        <v>245716</v>
      </c>
    </row>
    <row r="218" spans="1:12" x14ac:dyDescent="0.35">
      <c r="A218">
        <v>2025</v>
      </c>
      <c r="B218">
        <v>6</v>
      </c>
      <c r="C218" t="s">
        <v>69</v>
      </c>
      <c r="D218" t="s">
        <v>280</v>
      </c>
      <c r="E218" t="s">
        <v>273</v>
      </c>
      <c r="F218">
        <v>20120</v>
      </c>
      <c r="G218">
        <v>289407</v>
      </c>
      <c r="H218">
        <v>284225</v>
      </c>
      <c r="I218">
        <v>211922</v>
      </c>
      <c r="J218">
        <v>374681</v>
      </c>
      <c r="K218">
        <v>274276</v>
      </c>
      <c r="L218">
        <v>306258</v>
      </c>
    </row>
    <row r="219" spans="1:12" x14ac:dyDescent="0.35">
      <c r="A219">
        <v>2025</v>
      </c>
      <c r="B219">
        <v>6</v>
      </c>
      <c r="C219" t="s">
        <v>69</v>
      </c>
      <c r="D219" t="s">
        <v>280</v>
      </c>
      <c r="E219" t="s">
        <v>275</v>
      </c>
      <c r="F219">
        <v>2042</v>
      </c>
      <c r="G219">
        <v>211433</v>
      </c>
      <c r="H219">
        <v>210950</v>
      </c>
      <c r="I219">
        <v>191418</v>
      </c>
      <c r="J219">
        <v>253450</v>
      </c>
      <c r="K219">
        <v>204287</v>
      </c>
      <c r="L219">
        <v>217760</v>
      </c>
    </row>
    <row r="220" spans="1:12" x14ac:dyDescent="0.35">
      <c r="A220">
        <v>2025</v>
      </c>
      <c r="B220">
        <v>6</v>
      </c>
      <c r="C220" t="s">
        <v>69</v>
      </c>
      <c r="D220" t="s">
        <v>280</v>
      </c>
      <c r="E220" t="s">
        <v>277</v>
      </c>
      <c r="F220">
        <v>5</v>
      </c>
      <c r="G220">
        <v>235400</v>
      </c>
      <c r="H220">
        <v>233400</v>
      </c>
      <c r="I220">
        <v>233400</v>
      </c>
      <c r="J220">
        <v>238400</v>
      </c>
      <c r="K220">
        <v>233400</v>
      </c>
      <c r="L220">
        <v>238400</v>
      </c>
    </row>
    <row r="221" spans="1:12" x14ac:dyDescent="0.35">
      <c r="A221">
        <v>2025</v>
      </c>
      <c r="B221">
        <v>7</v>
      </c>
      <c r="C221" t="s">
        <v>70</v>
      </c>
      <c r="D221" t="s">
        <v>280</v>
      </c>
      <c r="E221" t="s">
        <v>255</v>
      </c>
      <c r="F221">
        <v>15694</v>
      </c>
      <c r="G221">
        <v>452047</v>
      </c>
      <c r="H221">
        <v>433044</v>
      </c>
      <c r="I221">
        <v>297836</v>
      </c>
      <c r="J221">
        <v>773722</v>
      </c>
      <c r="K221">
        <v>399485</v>
      </c>
      <c r="L221">
        <v>502848</v>
      </c>
    </row>
    <row r="222" spans="1:12" x14ac:dyDescent="0.35">
      <c r="A222">
        <v>2025</v>
      </c>
      <c r="B222">
        <v>7</v>
      </c>
      <c r="C222" t="s">
        <v>70</v>
      </c>
      <c r="D222" t="s">
        <v>280</v>
      </c>
      <c r="E222" t="s">
        <v>257</v>
      </c>
      <c r="F222">
        <v>9158</v>
      </c>
      <c r="G222">
        <v>536637</v>
      </c>
      <c r="H222">
        <v>511739</v>
      </c>
      <c r="I222">
        <v>325286</v>
      </c>
      <c r="J222">
        <v>1044108</v>
      </c>
      <c r="K222">
        <v>448094</v>
      </c>
      <c r="L222">
        <v>623292</v>
      </c>
    </row>
    <row r="223" spans="1:12" x14ac:dyDescent="0.35">
      <c r="A223">
        <v>2025</v>
      </c>
      <c r="B223">
        <v>7</v>
      </c>
      <c r="C223" t="s">
        <v>70</v>
      </c>
      <c r="D223" t="s">
        <v>280</v>
      </c>
      <c r="E223" t="s">
        <v>259</v>
      </c>
      <c r="F223">
        <v>3516</v>
      </c>
      <c r="G223">
        <v>719340</v>
      </c>
      <c r="H223">
        <v>687455</v>
      </c>
      <c r="I223">
        <v>382502</v>
      </c>
      <c r="J223">
        <v>1134701</v>
      </c>
      <c r="K223">
        <v>662455</v>
      </c>
      <c r="L223">
        <v>810719</v>
      </c>
    </row>
    <row r="224" spans="1:12" x14ac:dyDescent="0.35">
      <c r="A224">
        <v>2025</v>
      </c>
      <c r="B224">
        <v>7</v>
      </c>
      <c r="C224" t="s">
        <v>70</v>
      </c>
      <c r="D224" t="s">
        <v>280</v>
      </c>
      <c r="E224" t="s">
        <v>261</v>
      </c>
      <c r="F224">
        <v>589</v>
      </c>
      <c r="G224">
        <v>841304</v>
      </c>
      <c r="H224">
        <v>752997</v>
      </c>
      <c r="I224">
        <v>476050</v>
      </c>
      <c r="J224">
        <v>1272496</v>
      </c>
      <c r="K224">
        <v>676851</v>
      </c>
      <c r="L224">
        <v>936903</v>
      </c>
    </row>
    <row r="225" spans="1:12" x14ac:dyDescent="0.35">
      <c r="A225">
        <v>2025</v>
      </c>
      <c r="B225">
        <v>7</v>
      </c>
      <c r="C225" t="s">
        <v>70</v>
      </c>
      <c r="D225" t="s">
        <v>280</v>
      </c>
      <c r="E225" t="s">
        <v>263</v>
      </c>
      <c r="F225">
        <v>495</v>
      </c>
      <c r="G225">
        <v>939792</v>
      </c>
      <c r="H225">
        <v>911397</v>
      </c>
      <c r="I225">
        <v>623713</v>
      </c>
      <c r="J225">
        <v>1523585</v>
      </c>
      <c r="K225">
        <v>756853</v>
      </c>
      <c r="L225">
        <v>1044725</v>
      </c>
    </row>
    <row r="226" spans="1:12" x14ac:dyDescent="0.35">
      <c r="A226">
        <v>2025</v>
      </c>
      <c r="B226">
        <v>7</v>
      </c>
      <c r="C226" t="s">
        <v>70</v>
      </c>
      <c r="D226" t="s">
        <v>280</v>
      </c>
      <c r="E226" t="s">
        <v>265</v>
      </c>
      <c r="F226">
        <v>2373</v>
      </c>
      <c r="G226">
        <v>253194</v>
      </c>
      <c r="H226">
        <v>247243</v>
      </c>
      <c r="I226">
        <v>229743</v>
      </c>
      <c r="J226">
        <v>350839</v>
      </c>
      <c r="K226">
        <v>239743</v>
      </c>
      <c r="L226">
        <v>261590</v>
      </c>
    </row>
    <row r="227" spans="1:12" x14ac:dyDescent="0.35">
      <c r="A227">
        <v>2025</v>
      </c>
      <c r="B227">
        <v>7</v>
      </c>
      <c r="C227" t="s">
        <v>70</v>
      </c>
      <c r="D227" t="s">
        <v>280</v>
      </c>
      <c r="E227" t="s">
        <v>267</v>
      </c>
      <c r="F227">
        <v>49327</v>
      </c>
      <c r="G227">
        <v>365088</v>
      </c>
      <c r="H227">
        <v>363426</v>
      </c>
      <c r="I227">
        <v>260064</v>
      </c>
      <c r="J227">
        <v>577146</v>
      </c>
      <c r="K227">
        <v>295986</v>
      </c>
      <c r="L227">
        <v>415040</v>
      </c>
    </row>
    <row r="228" spans="1:12" x14ac:dyDescent="0.35">
      <c r="A228">
        <v>2025</v>
      </c>
      <c r="B228">
        <v>7</v>
      </c>
      <c r="C228" t="s">
        <v>70</v>
      </c>
      <c r="D228" t="s">
        <v>280</v>
      </c>
      <c r="E228" t="s">
        <v>269</v>
      </c>
      <c r="F228">
        <v>6949</v>
      </c>
      <c r="G228">
        <v>226131</v>
      </c>
      <c r="H228">
        <v>224976</v>
      </c>
      <c r="I228">
        <v>203153</v>
      </c>
      <c r="J228">
        <v>280248</v>
      </c>
      <c r="K228">
        <v>213265</v>
      </c>
      <c r="L228">
        <v>236319</v>
      </c>
    </row>
    <row r="229" spans="1:12" x14ac:dyDescent="0.35">
      <c r="A229">
        <v>2025</v>
      </c>
      <c r="B229">
        <v>7</v>
      </c>
      <c r="C229" t="s">
        <v>70</v>
      </c>
      <c r="D229" t="s">
        <v>280</v>
      </c>
      <c r="E229" t="s">
        <v>271</v>
      </c>
      <c r="F229">
        <v>713</v>
      </c>
      <c r="G229">
        <v>234244</v>
      </c>
      <c r="H229">
        <v>232661</v>
      </c>
      <c r="I229">
        <v>207526</v>
      </c>
      <c r="J229">
        <v>287797</v>
      </c>
      <c r="K229">
        <v>222661</v>
      </c>
      <c r="L229">
        <v>246824</v>
      </c>
    </row>
    <row r="230" spans="1:12" x14ac:dyDescent="0.35">
      <c r="A230">
        <v>2025</v>
      </c>
      <c r="B230">
        <v>7</v>
      </c>
      <c r="C230" t="s">
        <v>70</v>
      </c>
      <c r="D230" t="s">
        <v>280</v>
      </c>
      <c r="E230" t="s">
        <v>273</v>
      </c>
      <c r="F230">
        <v>20262</v>
      </c>
      <c r="G230">
        <v>289229</v>
      </c>
      <c r="H230">
        <v>284225</v>
      </c>
      <c r="I230">
        <v>211922</v>
      </c>
      <c r="J230">
        <v>374681</v>
      </c>
      <c r="K230">
        <v>274276</v>
      </c>
      <c r="L230">
        <v>306258</v>
      </c>
    </row>
    <row r="231" spans="1:12" x14ac:dyDescent="0.35">
      <c r="A231">
        <v>2025</v>
      </c>
      <c r="B231">
        <v>7</v>
      </c>
      <c r="C231" t="s">
        <v>70</v>
      </c>
      <c r="D231" t="s">
        <v>280</v>
      </c>
      <c r="E231" t="s">
        <v>275</v>
      </c>
      <c r="F231">
        <v>2046</v>
      </c>
      <c r="G231">
        <v>211516</v>
      </c>
      <c r="H231">
        <v>210950</v>
      </c>
      <c r="I231">
        <v>191418</v>
      </c>
      <c r="J231">
        <v>253450</v>
      </c>
      <c r="K231">
        <v>204287</v>
      </c>
      <c r="L231">
        <v>217895</v>
      </c>
    </row>
    <row r="232" spans="1:12" x14ac:dyDescent="0.35">
      <c r="A232">
        <v>2025</v>
      </c>
      <c r="B232">
        <v>7</v>
      </c>
      <c r="C232" t="s">
        <v>70</v>
      </c>
      <c r="D232" t="s">
        <v>280</v>
      </c>
      <c r="E232" t="s">
        <v>277</v>
      </c>
      <c r="F232">
        <v>5</v>
      </c>
      <c r="G232">
        <v>235400</v>
      </c>
      <c r="H232">
        <v>233400</v>
      </c>
      <c r="I232">
        <v>233400</v>
      </c>
      <c r="J232">
        <v>238400</v>
      </c>
      <c r="K232">
        <v>233400</v>
      </c>
      <c r="L232">
        <v>238400</v>
      </c>
    </row>
    <row r="233" spans="1:12" x14ac:dyDescent="0.35">
      <c r="A233">
        <v>2025</v>
      </c>
      <c r="B233">
        <v>8</v>
      </c>
      <c r="C233" t="s">
        <v>71</v>
      </c>
      <c r="D233" t="s">
        <v>280</v>
      </c>
      <c r="E233" t="s">
        <v>255</v>
      </c>
      <c r="F233">
        <v>15996</v>
      </c>
      <c r="G233">
        <v>452374</v>
      </c>
      <c r="H233">
        <v>433044</v>
      </c>
      <c r="I233">
        <v>297836</v>
      </c>
      <c r="J233">
        <v>798308</v>
      </c>
      <c r="K233">
        <v>399485</v>
      </c>
      <c r="L233">
        <v>502848</v>
      </c>
    </row>
    <row r="234" spans="1:12" x14ac:dyDescent="0.35">
      <c r="A234">
        <v>2025</v>
      </c>
      <c r="B234">
        <v>8</v>
      </c>
      <c r="C234" t="s">
        <v>71</v>
      </c>
      <c r="D234" t="s">
        <v>280</v>
      </c>
      <c r="E234" t="s">
        <v>257</v>
      </c>
      <c r="F234">
        <v>9205</v>
      </c>
      <c r="G234">
        <v>537217</v>
      </c>
      <c r="H234">
        <v>511739</v>
      </c>
      <c r="I234">
        <v>325286</v>
      </c>
      <c r="J234">
        <v>1044108</v>
      </c>
      <c r="K234">
        <v>452073</v>
      </c>
      <c r="L234">
        <v>623292</v>
      </c>
    </row>
    <row r="235" spans="1:12" x14ac:dyDescent="0.35">
      <c r="A235">
        <v>2025</v>
      </c>
      <c r="B235">
        <v>8</v>
      </c>
      <c r="C235" t="s">
        <v>71</v>
      </c>
      <c r="D235" t="s">
        <v>280</v>
      </c>
      <c r="E235" t="s">
        <v>259</v>
      </c>
      <c r="F235">
        <v>3550</v>
      </c>
      <c r="G235">
        <v>719183</v>
      </c>
      <c r="H235">
        <v>688564</v>
      </c>
      <c r="I235">
        <v>382502</v>
      </c>
      <c r="J235">
        <v>1134701</v>
      </c>
      <c r="K235">
        <v>662455</v>
      </c>
      <c r="L235">
        <v>810719</v>
      </c>
    </row>
    <row r="236" spans="1:12" x14ac:dyDescent="0.35">
      <c r="A236">
        <v>2025</v>
      </c>
      <c r="B236">
        <v>8</v>
      </c>
      <c r="C236" t="s">
        <v>71</v>
      </c>
      <c r="D236" t="s">
        <v>280</v>
      </c>
      <c r="E236" t="s">
        <v>261</v>
      </c>
      <c r="F236">
        <v>605</v>
      </c>
      <c r="G236">
        <v>842894</v>
      </c>
      <c r="H236">
        <v>752997</v>
      </c>
      <c r="I236">
        <v>496185</v>
      </c>
      <c r="J236">
        <v>1272496</v>
      </c>
      <c r="K236">
        <v>679216</v>
      </c>
      <c r="L236">
        <v>936903</v>
      </c>
    </row>
    <row r="237" spans="1:12" x14ac:dyDescent="0.35">
      <c r="A237">
        <v>2025</v>
      </c>
      <c r="B237">
        <v>8</v>
      </c>
      <c r="C237" t="s">
        <v>71</v>
      </c>
      <c r="D237" t="s">
        <v>280</v>
      </c>
      <c r="E237" t="s">
        <v>263</v>
      </c>
      <c r="F237">
        <v>498</v>
      </c>
      <c r="G237">
        <v>938842</v>
      </c>
      <c r="H237">
        <v>911397</v>
      </c>
      <c r="I237">
        <v>623713</v>
      </c>
      <c r="J237">
        <v>1529212</v>
      </c>
      <c r="K237">
        <v>756853</v>
      </c>
      <c r="L237">
        <v>1044725</v>
      </c>
    </row>
    <row r="238" spans="1:12" x14ac:dyDescent="0.35">
      <c r="A238">
        <v>2025</v>
      </c>
      <c r="B238">
        <v>8</v>
      </c>
      <c r="C238" t="s">
        <v>71</v>
      </c>
      <c r="D238" t="s">
        <v>280</v>
      </c>
      <c r="E238" t="s">
        <v>265</v>
      </c>
      <c r="F238">
        <v>2394</v>
      </c>
      <c r="G238">
        <v>253433</v>
      </c>
      <c r="H238">
        <v>247243</v>
      </c>
      <c r="I238">
        <v>229743</v>
      </c>
      <c r="J238">
        <v>351155</v>
      </c>
      <c r="K238">
        <v>239743</v>
      </c>
      <c r="L238">
        <v>261590</v>
      </c>
    </row>
    <row r="239" spans="1:12" x14ac:dyDescent="0.35">
      <c r="A239">
        <v>2025</v>
      </c>
      <c r="B239">
        <v>8</v>
      </c>
      <c r="C239" t="s">
        <v>71</v>
      </c>
      <c r="D239" t="s">
        <v>280</v>
      </c>
      <c r="E239" t="s">
        <v>267</v>
      </c>
      <c r="F239">
        <v>49177</v>
      </c>
      <c r="G239">
        <v>365088</v>
      </c>
      <c r="H239">
        <v>361442</v>
      </c>
      <c r="I239">
        <v>260064</v>
      </c>
      <c r="J239">
        <v>577146</v>
      </c>
      <c r="K239">
        <v>298252</v>
      </c>
      <c r="L239">
        <v>415040</v>
      </c>
    </row>
    <row r="240" spans="1:12" x14ac:dyDescent="0.35">
      <c r="A240">
        <v>2025</v>
      </c>
      <c r="B240">
        <v>8</v>
      </c>
      <c r="C240" t="s">
        <v>71</v>
      </c>
      <c r="D240" t="s">
        <v>280</v>
      </c>
      <c r="E240" t="s">
        <v>269</v>
      </c>
      <c r="F240">
        <v>6969</v>
      </c>
      <c r="G240">
        <v>226065</v>
      </c>
      <c r="H240">
        <v>224976</v>
      </c>
      <c r="I240">
        <v>203090</v>
      </c>
      <c r="J240">
        <v>280248</v>
      </c>
      <c r="K240">
        <v>212234</v>
      </c>
      <c r="L240">
        <v>236184</v>
      </c>
    </row>
    <row r="241" spans="1:12" x14ac:dyDescent="0.35">
      <c r="A241">
        <v>2025</v>
      </c>
      <c r="B241">
        <v>8</v>
      </c>
      <c r="C241" t="s">
        <v>71</v>
      </c>
      <c r="D241" t="s">
        <v>280</v>
      </c>
      <c r="E241" t="s">
        <v>271</v>
      </c>
      <c r="F241">
        <v>714</v>
      </c>
      <c r="G241">
        <v>234202</v>
      </c>
      <c r="H241">
        <v>231713</v>
      </c>
      <c r="I241">
        <v>207526</v>
      </c>
      <c r="J241">
        <v>287797</v>
      </c>
      <c r="K241">
        <v>222661</v>
      </c>
      <c r="L241">
        <v>247661</v>
      </c>
    </row>
    <row r="242" spans="1:12" x14ac:dyDescent="0.35">
      <c r="A242">
        <v>2025</v>
      </c>
      <c r="B242">
        <v>8</v>
      </c>
      <c r="C242" t="s">
        <v>71</v>
      </c>
      <c r="D242" t="s">
        <v>280</v>
      </c>
      <c r="E242" t="s">
        <v>273</v>
      </c>
      <c r="F242">
        <v>20407</v>
      </c>
      <c r="G242">
        <v>289136</v>
      </c>
      <c r="H242">
        <v>284225</v>
      </c>
      <c r="I242">
        <v>211922</v>
      </c>
      <c r="J242">
        <v>374681</v>
      </c>
      <c r="K242">
        <v>274276</v>
      </c>
      <c r="L242">
        <v>306258</v>
      </c>
    </row>
    <row r="243" spans="1:12" x14ac:dyDescent="0.35">
      <c r="A243">
        <v>2025</v>
      </c>
      <c r="B243">
        <v>8</v>
      </c>
      <c r="C243" t="s">
        <v>71</v>
      </c>
      <c r="D243" t="s">
        <v>280</v>
      </c>
      <c r="E243" t="s">
        <v>275</v>
      </c>
      <c r="F243">
        <v>2041</v>
      </c>
      <c r="G243">
        <v>211559</v>
      </c>
      <c r="H243">
        <v>210950</v>
      </c>
      <c r="I243">
        <v>191418</v>
      </c>
      <c r="J243">
        <v>253450</v>
      </c>
      <c r="K243">
        <v>204287</v>
      </c>
      <c r="L243">
        <v>218450</v>
      </c>
    </row>
    <row r="244" spans="1:12" x14ac:dyDescent="0.35">
      <c r="A244">
        <v>2025</v>
      </c>
      <c r="B244">
        <v>8</v>
      </c>
      <c r="C244" t="s">
        <v>71</v>
      </c>
      <c r="D244" t="s">
        <v>280</v>
      </c>
      <c r="E244" t="s">
        <v>277</v>
      </c>
      <c r="F244">
        <v>5</v>
      </c>
      <c r="G244">
        <v>235400</v>
      </c>
      <c r="H244">
        <v>233400</v>
      </c>
      <c r="I244">
        <v>233400</v>
      </c>
      <c r="J244">
        <v>238400</v>
      </c>
      <c r="K244">
        <v>233400</v>
      </c>
      <c r="L244">
        <v>238400</v>
      </c>
    </row>
    <row r="245" spans="1:12" x14ac:dyDescent="0.35">
      <c r="A245">
        <v>2025</v>
      </c>
      <c r="B245">
        <v>9</v>
      </c>
      <c r="C245" t="s">
        <v>72</v>
      </c>
      <c r="D245" t="s">
        <v>280</v>
      </c>
      <c r="E245" t="s">
        <v>255</v>
      </c>
      <c r="F245">
        <v>16113</v>
      </c>
      <c r="G245">
        <v>451223</v>
      </c>
      <c r="H245">
        <v>433044</v>
      </c>
      <c r="I245">
        <v>297836</v>
      </c>
      <c r="J245">
        <v>797748</v>
      </c>
      <c r="K245">
        <v>399485</v>
      </c>
      <c r="L245">
        <v>500903</v>
      </c>
    </row>
    <row r="246" spans="1:12" x14ac:dyDescent="0.35">
      <c r="A246">
        <v>2025</v>
      </c>
      <c r="B246">
        <v>9</v>
      </c>
      <c r="C246" t="s">
        <v>72</v>
      </c>
      <c r="D246" t="s">
        <v>280</v>
      </c>
      <c r="E246" t="s">
        <v>257</v>
      </c>
      <c r="F246">
        <v>9249</v>
      </c>
      <c r="G246">
        <v>536775</v>
      </c>
      <c r="H246">
        <v>511739</v>
      </c>
      <c r="I246">
        <v>325286</v>
      </c>
      <c r="J246">
        <v>1044108</v>
      </c>
      <c r="K246">
        <v>451985</v>
      </c>
      <c r="L246">
        <v>623292</v>
      </c>
    </row>
    <row r="247" spans="1:12" x14ac:dyDescent="0.35">
      <c r="A247">
        <v>2025</v>
      </c>
      <c r="B247">
        <v>9</v>
      </c>
      <c r="C247" t="s">
        <v>72</v>
      </c>
      <c r="D247" t="s">
        <v>280</v>
      </c>
      <c r="E247" t="s">
        <v>259</v>
      </c>
      <c r="F247">
        <v>3566</v>
      </c>
      <c r="G247">
        <v>719189</v>
      </c>
      <c r="H247">
        <v>688564</v>
      </c>
      <c r="I247">
        <v>397268</v>
      </c>
      <c r="J247">
        <v>1106831</v>
      </c>
      <c r="K247">
        <v>662455</v>
      </c>
      <c r="L247">
        <v>810719</v>
      </c>
    </row>
    <row r="248" spans="1:12" x14ac:dyDescent="0.35">
      <c r="A248">
        <v>2025</v>
      </c>
      <c r="B248">
        <v>9</v>
      </c>
      <c r="C248" t="s">
        <v>72</v>
      </c>
      <c r="D248" t="s">
        <v>280</v>
      </c>
      <c r="E248" t="s">
        <v>261</v>
      </c>
      <c r="F248">
        <v>615</v>
      </c>
      <c r="G248">
        <v>844343</v>
      </c>
      <c r="H248">
        <v>752997</v>
      </c>
      <c r="I248">
        <v>496185</v>
      </c>
      <c r="J248">
        <v>1272496</v>
      </c>
      <c r="K248">
        <v>679216</v>
      </c>
      <c r="L248">
        <v>937617</v>
      </c>
    </row>
    <row r="249" spans="1:12" x14ac:dyDescent="0.35">
      <c r="A249">
        <v>2025</v>
      </c>
      <c r="B249">
        <v>9</v>
      </c>
      <c r="C249" t="s">
        <v>72</v>
      </c>
      <c r="D249" t="s">
        <v>280</v>
      </c>
      <c r="E249" t="s">
        <v>263</v>
      </c>
      <c r="F249">
        <v>508</v>
      </c>
      <c r="G249">
        <v>938851</v>
      </c>
      <c r="H249">
        <v>911397</v>
      </c>
      <c r="I249">
        <v>623713</v>
      </c>
      <c r="J249">
        <v>1433581</v>
      </c>
      <c r="K249">
        <v>756853</v>
      </c>
      <c r="L249">
        <v>1044725</v>
      </c>
    </row>
    <row r="250" spans="1:12" x14ac:dyDescent="0.35">
      <c r="A250">
        <v>2025</v>
      </c>
      <c r="B250">
        <v>9</v>
      </c>
      <c r="C250" t="s">
        <v>72</v>
      </c>
      <c r="D250" t="s">
        <v>280</v>
      </c>
      <c r="E250" t="s">
        <v>265</v>
      </c>
      <c r="F250">
        <v>2391</v>
      </c>
      <c r="G250">
        <v>253116</v>
      </c>
      <c r="H250">
        <v>247243</v>
      </c>
      <c r="I250">
        <v>229743</v>
      </c>
      <c r="J250">
        <v>350839</v>
      </c>
      <c r="K250">
        <v>239743</v>
      </c>
      <c r="L250">
        <v>261590</v>
      </c>
    </row>
    <row r="251" spans="1:12" x14ac:dyDescent="0.35">
      <c r="A251">
        <v>2025</v>
      </c>
      <c r="B251">
        <v>9</v>
      </c>
      <c r="C251" t="s">
        <v>72</v>
      </c>
      <c r="D251" t="s">
        <v>280</v>
      </c>
      <c r="E251" t="s">
        <v>267</v>
      </c>
      <c r="F251">
        <v>49103</v>
      </c>
      <c r="G251">
        <v>365170</v>
      </c>
      <c r="H251">
        <v>362134</v>
      </c>
      <c r="I251">
        <v>260064</v>
      </c>
      <c r="J251">
        <v>583064</v>
      </c>
      <c r="K251">
        <v>295986</v>
      </c>
      <c r="L251">
        <v>415040</v>
      </c>
    </row>
    <row r="252" spans="1:12" x14ac:dyDescent="0.35">
      <c r="A252">
        <v>2025</v>
      </c>
      <c r="B252">
        <v>9</v>
      </c>
      <c r="C252" t="s">
        <v>72</v>
      </c>
      <c r="D252" t="s">
        <v>280</v>
      </c>
      <c r="E252" t="s">
        <v>269</v>
      </c>
      <c r="F252">
        <v>7006</v>
      </c>
      <c r="G252">
        <v>226148</v>
      </c>
      <c r="H252">
        <v>224976</v>
      </c>
      <c r="I252">
        <v>203498</v>
      </c>
      <c r="J252">
        <v>280248</v>
      </c>
      <c r="K252">
        <v>213265</v>
      </c>
      <c r="L252">
        <v>236184</v>
      </c>
    </row>
    <row r="253" spans="1:12" x14ac:dyDescent="0.35">
      <c r="A253">
        <v>2025</v>
      </c>
      <c r="B253">
        <v>9</v>
      </c>
      <c r="C253" t="s">
        <v>72</v>
      </c>
      <c r="D253" t="s">
        <v>280</v>
      </c>
      <c r="E253" t="s">
        <v>271</v>
      </c>
      <c r="F253">
        <v>714</v>
      </c>
      <c r="G253">
        <v>234269</v>
      </c>
      <c r="H253">
        <v>232661</v>
      </c>
      <c r="I253">
        <v>207526</v>
      </c>
      <c r="J253">
        <v>287797</v>
      </c>
      <c r="K253">
        <v>222661</v>
      </c>
      <c r="L253">
        <v>247797</v>
      </c>
    </row>
    <row r="254" spans="1:12" x14ac:dyDescent="0.35">
      <c r="A254">
        <v>2025</v>
      </c>
      <c r="B254">
        <v>9</v>
      </c>
      <c r="C254" t="s">
        <v>72</v>
      </c>
      <c r="D254" t="s">
        <v>280</v>
      </c>
      <c r="E254" t="s">
        <v>273</v>
      </c>
      <c r="F254">
        <v>20544</v>
      </c>
      <c r="G254">
        <v>289242</v>
      </c>
      <c r="H254">
        <v>284225</v>
      </c>
      <c r="I254">
        <v>210212</v>
      </c>
      <c r="J254">
        <v>377891</v>
      </c>
      <c r="K254">
        <v>274276</v>
      </c>
      <c r="L254">
        <v>306258</v>
      </c>
    </row>
    <row r="255" spans="1:12" x14ac:dyDescent="0.35">
      <c r="A255">
        <v>2025</v>
      </c>
      <c r="B255">
        <v>9</v>
      </c>
      <c r="C255" t="s">
        <v>72</v>
      </c>
      <c r="D255" t="s">
        <v>280</v>
      </c>
      <c r="E255" t="s">
        <v>275</v>
      </c>
      <c r="F255">
        <v>2048</v>
      </c>
      <c r="G255">
        <v>211504</v>
      </c>
      <c r="H255">
        <v>210950</v>
      </c>
      <c r="I255">
        <v>191418</v>
      </c>
      <c r="J255">
        <v>253450</v>
      </c>
      <c r="K255">
        <v>204237</v>
      </c>
      <c r="L255">
        <v>218450</v>
      </c>
    </row>
    <row r="256" spans="1:12" x14ac:dyDescent="0.35">
      <c r="A256">
        <v>2025</v>
      </c>
      <c r="B256">
        <v>9</v>
      </c>
      <c r="C256" t="s">
        <v>72</v>
      </c>
      <c r="D256" t="s">
        <v>280</v>
      </c>
      <c r="E256" t="s">
        <v>277</v>
      </c>
      <c r="F256">
        <v>5</v>
      </c>
      <c r="G256">
        <v>235400</v>
      </c>
      <c r="H256">
        <v>233400</v>
      </c>
      <c r="I256">
        <v>233400</v>
      </c>
      <c r="J256">
        <v>238400</v>
      </c>
      <c r="K256">
        <v>233400</v>
      </c>
      <c r="L256">
        <v>238400</v>
      </c>
    </row>
    <row r="257" spans="1:12" x14ac:dyDescent="0.35">
      <c r="A257">
        <v>2025</v>
      </c>
      <c r="B257">
        <v>10</v>
      </c>
      <c r="C257" t="s">
        <v>73</v>
      </c>
      <c r="D257" t="s">
        <v>280</v>
      </c>
      <c r="E257" t="s">
        <v>255</v>
      </c>
      <c r="F257">
        <v>16205</v>
      </c>
      <c r="G257">
        <v>451351</v>
      </c>
      <c r="H257">
        <v>433044</v>
      </c>
      <c r="I257">
        <v>297836</v>
      </c>
      <c r="J257">
        <v>792491</v>
      </c>
      <c r="K257">
        <v>399485</v>
      </c>
      <c r="L257">
        <v>500903</v>
      </c>
    </row>
    <row r="258" spans="1:12" x14ac:dyDescent="0.35">
      <c r="A258">
        <v>2025</v>
      </c>
      <c r="B258">
        <v>10</v>
      </c>
      <c r="C258" t="s">
        <v>73</v>
      </c>
      <c r="D258" t="s">
        <v>280</v>
      </c>
      <c r="E258" t="s">
        <v>257</v>
      </c>
      <c r="F258">
        <v>9243</v>
      </c>
      <c r="G258">
        <v>537433</v>
      </c>
      <c r="H258">
        <v>512158</v>
      </c>
      <c r="I258">
        <v>325286</v>
      </c>
      <c r="J258">
        <v>1044108</v>
      </c>
      <c r="K258">
        <v>453094</v>
      </c>
      <c r="L258">
        <v>623292</v>
      </c>
    </row>
    <row r="259" spans="1:12" x14ac:dyDescent="0.35">
      <c r="A259">
        <v>2025</v>
      </c>
      <c r="B259">
        <v>10</v>
      </c>
      <c r="C259" t="s">
        <v>73</v>
      </c>
      <c r="D259" t="s">
        <v>280</v>
      </c>
      <c r="E259" t="s">
        <v>259</v>
      </c>
      <c r="F259">
        <v>3555</v>
      </c>
      <c r="G259">
        <v>720069</v>
      </c>
      <c r="H259">
        <v>687455</v>
      </c>
      <c r="I259">
        <v>422774</v>
      </c>
      <c r="J259">
        <v>1106831</v>
      </c>
      <c r="K259">
        <v>662455</v>
      </c>
      <c r="L259">
        <v>810719</v>
      </c>
    </row>
    <row r="260" spans="1:12" x14ac:dyDescent="0.35">
      <c r="A260">
        <v>2025</v>
      </c>
      <c r="B260">
        <v>10</v>
      </c>
      <c r="C260" t="s">
        <v>73</v>
      </c>
      <c r="D260" t="s">
        <v>280</v>
      </c>
      <c r="E260" t="s">
        <v>261</v>
      </c>
      <c r="F260">
        <v>617</v>
      </c>
      <c r="G260">
        <v>844788</v>
      </c>
      <c r="H260">
        <v>752997</v>
      </c>
      <c r="I260">
        <v>496185</v>
      </c>
      <c r="J260">
        <v>1423599</v>
      </c>
      <c r="K260">
        <v>680880</v>
      </c>
      <c r="L260">
        <v>936903</v>
      </c>
    </row>
    <row r="261" spans="1:12" x14ac:dyDescent="0.35">
      <c r="A261">
        <v>2025</v>
      </c>
      <c r="B261">
        <v>10</v>
      </c>
      <c r="C261" t="s">
        <v>73</v>
      </c>
      <c r="D261" t="s">
        <v>280</v>
      </c>
      <c r="E261" t="s">
        <v>263</v>
      </c>
      <c r="F261">
        <v>507</v>
      </c>
      <c r="G261">
        <v>934641</v>
      </c>
      <c r="H261">
        <v>911397</v>
      </c>
      <c r="I261">
        <v>623713</v>
      </c>
      <c r="J261">
        <v>1433581</v>
      </c>
      <c r="K261">
        <v>754709</v>
      </c>
      <c r="L261">
        <v>1044725</v>
      </c>
    </row>
    <row r="262" spans="1:12" x14ac:dyDescent="0.35">
      <c r="A262">
        <v>2025</v>
      </c>
      <c r="B262">
        <v>10</v>
      </c>
      <c r="C262" t="s">
        <v>73</v>
      </c>
      <c r="D262" t="s">
        <v>280</v>
      </c>
      <c r="E262" t="s">
        <v>265</v>
      </c>
      <c r="F262">
        <v>2405</v>
      </c>
      <c r="G262">
        <v>253182</v>
      </c>
      <c r="H262">
        <v>247797</v>
      </c>
      <c r="I262">
        <v>229743</v>
      </c>
      <c r="J262">
        <v>350839</v>
      </c>
      <c r="K262">
        <v>239743</v>
      </c>
      <c r="L262">
        <v>261590</v>
      </c>
    </row>
    <row r="263" spans="1:12" x14ac:dyDescent="0.35">
      <c r="A263">
        <v>2025</v>
      </c>
      <c r="B263">
        <v>10</v>
      </c>
      <c r="C263" t="s">
        <v>73</v>
      </c>
      <c r="D263" t="s">
        <v>280</v>
      </c>
      <c r="E263" t="s">
        <v>267</v>
      </c>
      <c r="F263">
        <v>49163</v>
      </c>
      <c r="G263">
        <v>366218</v>
      </c>
      <c r="H263">
        <v>361295</v>
      </c>
      <c r="I263">
        <v>260063</v>
      </c>
      <c r="J263">
        <v>577146</v>
      </c>
      <c r="K263">
        <v>295752</v>
      </c>
      <c r="L263">
        <v>419017</v>
      </c>
    </row>
    <row r="264" spans="1:12" x14ac:dyDescent="0.35">
      <c r="A264">
        <v>2025</v>
      </c>
      <c r="B264">
        <v>10</v>
      </c>
      <c r="C264" t="s">
        <v>73</v>
      </c>
      <c r="D264" t="s">
        <v>280</v>
      </c>
      <c r="E264" t="s">
        <v>269</v>
      </c>
      <c r="F264">
        <v>7027</v>
      </c>
      <c r="G264">
        <v>226147</v>
      </c>
      <c r="H264">
        <v>224976</v>
      </c>
      <c r="I264">
        <v>203498</v>
      </c>
      <c r="J264">
        <v>283318</v>
      </c>
      <c r="K264">
        <v>213265</v>
      </c>
      <c r="L264">
        <v>236184</v>
      </c>
    </row>
    <row r="265" spans="1:12" x14ac:dyDescent="0.35">
      <c r="A265">
        <v>2025</v>
      </c>
      <c r="B265">
        <v>10</v>
      </c>
      <c r="C265" t="s">
        <v>73</v>
      </c>
      <c r="D265" t="s">
        <v>280</v>
      </c>
      <c r="E265" t="s">
        <v>271</v>
      </c>
      <c r="F265">
        <v>712</v>
      </c>
      <c r="G265">
        <v>234214</v>
      </c>
      <c r="H265">
        <v>230765</v>
      </c>
      <c r="I265">
        <v>207526</v>
      </c>
      <c r="J265">
        <v>287009</v>
      </c>
      <c r="K265">
        <v>222526</v>
      </c>
      <c r="L265">
        <v>247661</v>
      </c>
    </row>
    <row r="266" spans="1:12" x14ac:dyDescent="0.35">
      <c r="A266">
        <v>2025</v>
      </c>
      <c r="B266">
        <v>10</v>
      </c>
      <c r="C266" t="s">
        <v>73</v>
      </c>
      <c r="D266" t="s">
        <v>280</v>
      </c>
      <c r="E266" t="s">
        <v>273</v>
      </c>
      <c r="F266">
        <v>22696</v>
      </c>
      <c r="G266">
        <v>289229</v>
      </c>
      <c r="H266">
        <v>283672</v>
      </c>
      <c r="I266">
        <v>210212</v>
      </c>
      <c r="J266">
        <v>374681</v>
      </c>
      <c r="K266">
        <v>273672</v>
      </c>
      <c r="L266">
        <v>305938</v>
      </c>
    </row>
    <row r="267" spans="1:12" x14ac:dyDescent="0.35">
      <c r="A267">
        <v>2025</v>
      </c>
      <c r="B267">
        <v>10</v>
      </c>
      <c r="C267" t="s">
        <v>73</v>
      </c>
      <c r="D267" t="s">
        <v>280</v>
      </c>
      <c r="E267" t="s">
        <v>275</v>
      </c>
      <c r="F267">
        <v>2062</v>
      </c>
      <c r="G267">
        <v>211496</v>
      </c>
      <c r="H267">
        <v>210950</v>
      </c>
      <c r="I267">
        <v>191418</v>
      </c>
      <c r="J267">
        <v>253450</v>
      </c>
      <c r="K267">
        <v>204237</v>
      </c>
      <c r="L267">
        <v>218450</v>
      </c>
    </row>
    <row r="268" spans="1:12" x14ac:dyDescent="0.35">
      <c r="A268">
        <v>2025</v>
      </c>
      <c r="B268">
        <v>10</v>
      </c>
      <c r="C268" t="s">
        <v>73</v>
      </c>
      <c r="D268" t="s">
        <v>280</v>
      </c>
      <c r="E268" t="s">
        <v>277</v>
      </c>
      <c r="F268">
        <v>5</v>
      </c>
      <c r="G268">
        <v>235400</v>
      </c>
      <c r="H268">
        <v>233400</v>
      </c>
      <c r="I268">
        <v>233400</v>
      </c>
      <c r="J268">
        <v>238400</v>
      </c>
      <c r="K268">
        <v>233400</v>
      </c>
      <c r="L268">
        <v>238400</v>
      </c>
    </row>
    <row r="269" spans="1:12" x14ac:dyDescent="0.35">
      <c r="A269">
        <v>2025</v>
      </c>
      <c r="B269">
        <v>11</v>
      </c>
      <c r="C269" t="s">
        <v>74</v>
      </c>
      <c r="D269" t="s">
        <v>280</v>
      </c>
      <c r="E269" t="s">
        <v>255</v>
      </c>
      <c r="F269">
        <v>16279</v>
      </c>
      <c r="G269">
        <v>451811</v>
      </c>
      <c r="H269">
        <v>433044</v>
      </c>
      <c r="I269">
        <v>297836</v>
      </c>
      <c r="J269">
        <v>786322</v>
      </c>
      <c r="K269">
        <v>399485</v>
      </c>
      <c r="L269">
        <v>501555</v>
      </c>
    </row>
    <row r="270" spans="1:12" x14ac:dyDescent="0.35">
      <c r="A270">
        <v>2025</v>
      </c>
      <c r="B270">
        <v>11</v>
      </c>
      <c r="C270" t="s">
        <v>74</v>
      </c>
      <c r="D270" t="s">
        <v>280</v>
      </c>
      <c r="E270" t="s">
        <v>257</v>
      </c>
      <c r="F270">
        <v>9243</v>
      </c>
      <c r="G270">
        <v>537296</v>
      </c>
      <c r="H270">
        <v>512158</v>
      </c>
      <c r="I270">
        <v>325286</v>
      </c>
      <c r="J270">
        <v>1053923</v>
      </c>
      <c r="K270">
        <v>453094</v>
      </c>
      <c r="L270">
        <v>623292</v>
      </c>
    </row>
    <row r="271" spans="1:12" x14ac:dyDescent="0.35">
      <c r="A271">
        <v>2025</v>
      </c>
      <c r="B271">
        <v>11</v>
      </c>
      <c r="C271" t="s">
        <v>74</v>
      </c>
      <c r="D271" t="s">
        <v>280</v>
      </c>
      <c r="E271" t="s">
        <v>259</v>
      </c>
      <c r="F271">
        <v>3564</v>
      </c>
      <c r="G271">
        <v>719908</v>
      </c>
      <c r="H271">
        <v>688564</v>
      </c>
      <c r="I271">
        <v>422774</v>
      </c>
      <c r="J271">
        <v>1106831</v>
      </c>
      <c r="K271">
        <v>662455</v>
      </c>
      <c r="L271">
        <v>810721</v>
      </c>
    </row>
    <row r="272" spans="1:12" x14ac:dyDescent="0.35">
      <c r="A272">
        <v>2025</v>
      </c>
      <c r="B272">
        <v>11</v>
      </c>
      <c r="C272" t="s">
        <v>74</v>
      </c>
      <c r="D272" t="s">
        <v>280</v>
      </c>
      <c r="E272" t="s">
        <v>261</v>
      </c>
      <c r="F272">
        <v>634</v>
      </c>
      <c r="G272">
        <v>843114</v>
      </c>
      <c r="H272">
        <v>752997</v>
      </c>
      <c r="I272">
        <v>496185</v>
      </c>
      <c r="J272">
        <v>1382920</v>
      </c>
      <c r="K272">
        <v>681851</v>
      </c>
      <c r="L272">
        <v>936903</v>
      </c>
    </row>
    <row r="273" spans="1:12" x14ac:dyDescent="0.35">
      <c r="A273">
        <v>2025</v>
      </c>
      <c r="B273">
        <v>11</v>
      </c>
      <c r="C273" t="s">
        <v>74</v>
      </c>
      <c r="D273" t="s">
        <v>280</v>
      </c>
      <c r="E273" t="s">
        <v>263</v>
      </c>
      <c r="F273">
        <v>525</v>
      </c>
      <c r="G273">
        <v>959606</v>
      </c>
      <c r="H273">
        <v>912618</v>
      </c>
      <c r="I273">
        <v>623713</v>
      </c>
      <c r="J273">
        <v>1476425</v>
      </c>
      <c r="K273">
        <v>757099</v>
      </c>
      <c r="L273">
        <v>1099723</v>
      </c>
    </row>
    <row r="274" spans="1:12" x14ac:dyDescent="0.35">
      <c r="A274">
        <v>2025</v>
      </c>
      <c r="B274">
        <v>11</v>
      </c>
      <c r="C274" t="s">
        <v>74</v>
      </c>
      <c r="D274" t="s">
        <v>280</v>
      </c>
      <c r="E274" t="s">
        <v>265</v>
      </c>
      <c r="F274">
        <v>2423</v>
      </c>
      <c r="G274">
        <v>253328</v>
      </c>
      <c r="H274">
        <v>247797</v>
      </c>
      <c r="I274">
        <v>229743</v>
      </c>
      <c r="J274">
        <v>350839</v>
      </c>
      <c r="K274">
        <v>239743</v>
      </c>
      <c r="L274">
        <v>261590</v>
      </c>
    </row>
    <row r="275" spans="1:12" x14ac:dyDescent="0.35">
      <c r="A275">
        <v>2025</v>
      </c>
      <c r="B275">
        <v>11</v>
      </c>
      <c r="C275" t="s">
        <v>74</v>
      </c>
      <c r="D275" t="s">
        <v>280</v>
      </c>
      <c r="E275" t="s">
        <v>267</v>
      </c>
      <c r="F275">
        <v>49253</v>
      </c>
      <c r="G275">
        <v>366101</v>
      </c>
      <c r="H275">
        <v>360927</v>
      </c>
      <c r="I275">
        <v>260063</v>
      </c>
      <c r="J275">
        <v>577146</v>
      </c>
      <c r="K275">
        <v>295752</v>
      </c>
      <c r="L275">
        <v>417540</v>
      </c>
    </row>
    <row r="276" spans="1:12" x14ac:dyDescent="0.35">
      <c r="A276">
        <v>2025</v>
      </c>
      <c r="B276">
        <v>11</v>
      </c>
      <c r="C276" t="s">
        <v>74</v>
      </c>
      <c r="D276" t="s">
        <v>280</v>
      </c>
      <c r="E276" t="s">
        <v>269</v>
      </c>
      <c r="F276">
        <v>7037</v>
      </c>
      <c r="G276">
        <v>226136</v>
      </c>
      <c r="H276">
        <v>224976</v>
      </c>
      <c r="I276">
        <v>203498</v>
      </c>
      <c r="J276">
        <v>279693</v>
      </c>
      <c r="K276">
        <v>213265</v>
      </c>
      <c r="L276">
        <v>236184</v>
      </c>
    </row>
    <row r="277" spans="1:12" x14ac:dyDescent="0.35">
      <c r="A277">
        <v>2025</v>
      </c>
      <c r="B277">
        <v>11</v>
      </c>
      <c r="C277" t="s">
        <v>74</v>
      </c>
      <c r="D277" t="s">
        <v>280</v>
      </c>
      <c r="E277" t="s">
        <v>271</v>
      </c>
      <c r="F277">
        <v>706</v>
      </c>
      <c r="G277">
        <v>234294</v>
      </c>
      <c r="H277">
        <v>232661</v>
      </c>
      <c r="I277">
        <v>207526</v>
      </c>
      <c r="J277">
        <v>287009</v>
      </c>
      <c r="K277">
        <v>222526</v>
      </c>
      <c r="L277">
        <v>247797</v>
      </c>
    </row>
    <row r="278" spans="1:12" x14ac:dyDescent="0.35">
      <c r="A278">
        <v>2025</v>
      </c>
      <c r="B278">
        <v>11</v>
      </c>
      <c r="C278" t="s">
        <v>74</v>
      </c>
      <c r="D278" t="s">
        <v>280</v>
      </c>
      <c r="E278" t="s">
        <v>273</v>
      </c>
      <c r="F278">
        <v>22847</v>
      </c>
      <c r="G278">
        <v>289315</v>
      </c>
      <c r="H278">
        <v>283672</v>
      </c>
      <c r="I278">
        <v>210212</v>
      </c>
      <c r="J278">
        <v>374681</v>
      </c>
      <c r="K278">
        <v>273672</v>
      </c>
      <c r="L278">
        <v>305938</v>
      </c>
    </row>
    <row r="279" spans="1:12" x14ac:dyDescent="0.35">
      <c r="A279">
        <v>2025</v>
      </c>
      <c r="B279">
        <v>11</v>
      </c>
      <c r="C279" t="s">
        <v>74</v>
      </c>
      <c r="D279" t="s">
        <v>280</v>
      </c>
      <c r="E279" t="s">
        <v>275</v>
      </c>
      <c r="F279">
        <v>2063</v>
      </c>
      <c r="G279">
        <v>211580</v>
      </c>
      <c r="H279">
        <v>210950</v>
      </c>
      <c r="I279">
        <v>191418</v>
      </c>
      <c r="J279">
        <v>253450</v>
      </c>
      <c r="K279">
        <v>204237</v>
      </c>
      <c r="L279">
        <v>218611</v>
      </c>
    </row>
    <row r="280" spans="1:12" x14ac:dyDescent="0.35">
      <c r="A280">
        <v>2025</v>
      </c>
      <c r="B280">
        <v>11</v>
      </c>
      <c r="C280" t="s">
        <v>74</v>
      </c>
      <c r="D280" t="s">
        <v>280</v>
      </c>
      <c r="E280" t="s">
        <v>277</v>
      </c>
      <c r="F280">
        <v>5</v>
      </c>
      <c r="G280">
        <v>235400</v>
      </c>
      <c r="H280">
        <v>233400</v>
      </c>
      <c r="I280">
        <v>233400</v>
      </c>
      <c r="J280">
        <v>238400</v>
      </c>
      <c r="K280">
        <v>233400</v>
      </c>
      <c r="L280">
        <v>238400</v>
      </c>
    </row>
    <row r="281" spans="1:12" x14ac:dyDescent="0.35">
      <c r="A281">
        <v>2025</v>
      </c>
      <c r="B281">
        <v>12</v>
      </c>
      <c r="C281" t="s">
        <v>75</v>
      </c>
      <c r="D281" t="s">
        <v>280</v>
      </c>
      <c r="E281" t="s">
        <v>255</v>
      </c>
      <c r="F281">
        <v>16356</v>
      </c>
      <c r="G281">
        <v>452207</v>
      </c>
      <c r="H281">
        <v>433833</v>
      </c>
      <c r="I281">
        <v>297834</v>
      </c>
      <c r="J281">
        <v>773687</v>
      </c>
      <c r="K281">
        <v>401985</v>
      </c>
      <c r="L281">
        <v>500903</v>
      </c>
    </row>
    <row r="282" spans="1:12" x14ac:dyDescent="0.35">
      <c r="A282">
        <v>2025</v>
      </c>
      <c r="B282">
        <v>12</v>
      </c>
      <c r="C282" t="s">
        <v>75</v>
      </c>
      <c r="D282" t="s">
        <v>280</v>
      </c>
      <c r="E282" t="s">
        <v>257</v>
      </c>
      <c r="F282">
        <v>9263</v>
      </c>
      <c r="G282">
        <v>539250</v>
      </c>
      <c r="H282">
        <v>512158</v>
      </c>
      <c r="I282">
        <v>325286</v>
      </c>
      <c r="J282">
        <v>1044108</v>
      </c>
      <c r="K282">
        <v>458046</v>
      </c>
      <c r="L282">
        <v>628292</v>
      </c>
    </row>
    <row r="283" spans="1:12" x14ac:dyDescent="0.35">
      <c r="A283">
        <v>2025</v>
      </c>
      <c r="B283">
        <v>12</v>
      </c>
      <c r="C283" t="s">
        <v>75</v>
      </c>
      <c r="D283" t="s">
        <v>280</v>
      </c>
      <c r="E283" t="s">
        <v>259</v>
      </c>
      <c r="F283">
        <v>3596</v>
      </c>
      <c r="G283">
        <v>723853</v>
      </c>
      <c r="H283">
        <v>693933</v>
      </c>
      <c r="I283">
        <v>422774</v>
      </c>
      <c r="J283">
        <v>1106831</v>
      </c>
      <c r="K283">
        <v>663944</v>
      </c>
      <c r="L283">
        <v>813835</v>
      </c>
    </row>
    <row r="284" spans="1:12" x14ac:dyDescent="0.35">
      <c r="A284">
        <v>2025</v>
      </c>
      <c r="B284">
        <v>12</v>
      </c>
      <c r="C284" t="s">
        <v>75</v>
      </c>
      <c r="D284" t="s">
        <v>280</v>
      </c>
      <c r="E284" t="s">
        <v>261</v>
      </c>
      <c r="F284">
        <v>650</v>
      </c>
      <c r="G284">
        <v>840325</v>
      </c>
      <c r="H284">
        <v>752997</v>
      </c>
      <c r="I284">
        <v>496185</v>
      </c>
      <c r="J284">
        <v>1272496</v>
      </c>
      <c r="K284">
        <v>681851</v>
      </c>
      <c r="L284">
        <v>936903</v>
      </c>
    </row>
    <row r="285" spans="1:12" x14ac:dyDescent="0.35">
      <c r="A285">
        <v>2025</v>
      </c>
      <c r="B285">
        <v>12</v>
      </c>
      <c r="C285" t="s">
        <v>75</v>
      </c>
      <c r="D285" t="s">
        <v>280</v>
      </c>
      <c r="E285" t="s">
        <v>263</v>
      </c>
      <c r="F285">
        <v>524</v>
      </c>
      <c r="G285">
        <v>938777</v>
      </c>
      <c r="H285">
        <v>911397</v>
      </c>
      <c r="I285">
        <v>623713</v>
      </c>
      <c r="J285">
        <v>1433581</v>
      </c>
      <c r="K285">
        <v>757099</v>
      </c>
      <c r="L285">
        <v>1044725</v>
      </c>
    </row>
    <row r="286" spans="1:12" x14ac:dyDescent="0.35">
      <c r="A286">
        <v>2025</v>
      </c>
      <c r="B286">
        <v>12</v>
      </c>
      <c r="C286" t="s">
        <v>75</v>
      </c>
      <c r="D286" t="s">
        <v>280</v>
      </c>
      <c r="E286" t="s">
        <v>265</v>
      </c>
      <c r="F286">
        <v>2435</v>
      </c>
      <c r="G286">
        <v>253401</v>
      </c>
      <c r="H286">
        <v>247797</v>
      </c>
      <c r="I286">
        <v>229743</v>
      </c>
      <c r="J286">
        <v>350839</v>
      </c>
      <c r="K286">
        <v>239743</v>
      </c>
      <c r="L286">
        <v>261590</v>
      </c>
    </row>
    <row r="287" spans="1:12" x14ac:dyDescent="0.35">
      <c r="A287">
        <v>2025</v>
      </c>
      <c r="B287">
        <v>12</v>
      </c>
      <c r="C287" t="s">
        <v>75</v>
      </c>
      <c r="D287" t="s">
        <v>280</v>
      </c>
      <c r="E287" t="s">
        <v>267</v>
      </c>
      <c r="F287">
        <v>49082</v>
      </c>
      <c r="G287">
        <v>366224</v>
      </c>
      <c r="H287">
        <v>361295</v>
      </c>
      <c r="I287">
        <v>260063</v>
      </c>
      <c r="J287">
        <v>577146</v>
      </c>
      <c r="K287">
        <v>295752</v>
      </c>
      <c r="L287">
        <v>419436</v>
      </c>
    </row>
    <row r="288" spans="1:12" x14ac:dyDescent="0.35">
      <c r="A288">
        <v>2025</v>
      </c>
      <c r="B288">
        <v>12</v>
      </c>
      <c r="C288" t="s">
        <v>75</v>
      </c>
      <c r="D288" t="s">
        <v>280</v>
      </c>
      <c r="E288" t="s">
        <v>269</v>
      </c>
      <c r="F288">
        <v>7048</v>
      </c>
      <c r="G288">
        <v>226325</v>
      </c>
      <c r="H288">
        <v>224976</v>
      </c>
      <c r="I288">
        <v>203498</v>
      </c>
      <c r="J288">
        <v>283772</v>
      </c>
      <c r="K288">
        <v>213265</v>
      </c>
      <c r="L288">
        <v>236553</v>
      </c>
    </row>
    <row r="289" spans="1:12" x14ac:dyDescent="0.35">
      <c r="A289">
        <v>2025</v>
      </c>
      <c r="B289">
        <v>12</v>
      </c>
      <c r="C289" t="s">
        <v>75</v>
      </c>
      <c r="D289" t="s">
        <v>280</v>
      </c>
      <c r="E289" t="s">
        <v>271</v>
      </c>
      <c r="F289">
        <v>704</v>
      </c>
      <c r="G289">
        <v>234623</v>
      </c>
      <c r="H289">
        <v>232661</v>
      </c>
      <c r="I289">
        <v>207526</v>
      </c>
      <c r="J289">
        <v>287009</v>
      </c>
      <c r="K289">
        <v>222895</v>
      </c>
      <c r="L289">
        <v>247661</v>
      </c>
    </row>
    <row r="290" spans="1:12" x14ac:dyDescent="0.35">
      <c r="A290">
        <v>2025</v>
      </c>
      <c r="B290">
        <v>12</v>
      </c>
      <c r="C290" t="s">
        <v>75</v>
      </c>
      <c r="D290" t="s">
        <v>280</v>
      </c>
      <c r="E290" t="s">
        <v>273</v>
      </c>
      <c r="F290">
        <v>22886</v>
      </c>
      <c r="G290">
        <v>289582</v>
      </c>
      <c r="H290">
        <v>283672</v>
      </c>
      <c r="I290">
        <v>210212</v>
      </c>
      <c r="J290">
        <v>374681</v>
      </c>
      <c r="K290">
        <v>273672</v>
      </c>
      <c r="L290">
        <v>306172</v>
      </c>
    </row>
    <row r="291" spans="1:12" x14ac:dyDescent="0.35">
      <c r="A291">
        <v>2025</v>
      </c>
      <c r="B291">
        <v>12</v>
      </c>
      <c r="C291" t="s">
        <v>75</v>
      </c>
      <c r="D291" t="s">
        <v>280</v>
      </c>
      <c r="E291" t="s">
        <v>275</v>
      </c>
      <c r="F291">
        <v>2055</v>
      </c>
      <c r="G291">
        <v>211757</v>
      </c>
      <c r="H291">
        <v>211184</v>
      </c>
      <c r="I291">
        <v>191418</v>
      </c>
      <c r="J291">
        <v>253450</v>
      </c>
      <c r="K291">
        <v>204287</v>
      </c>
      <c r="L291">
        <v>218684</v>
      </c>
    </row>
    <row r="292" spans="1:12" x14ac:dyDescent="0.35">
      <c r="A292">
        <v>2025</v>
      </c>
      <c r="B292">
        <v>12</v>
      </c>
      <c r="C292" t="s">
        <v>75</v>
      </c>
      <c r="D292" t="s">
        <v>280</v>
      </c>
      <c r="E292" t="s">
        <v>277</v>
      </c>
      <c r="F292">
        <v>5</v>
      </c>
      <c r="G292">
        <v>235400</v>
      </c>
      <c r="H292">
        <v>233400</v>
      </c>
      <c r="I292">
        <v>233400</v>
      </c>
      <c r="J292">
        <v>238400</v>
      </c>
      <c r="K292">
        <v>233400</v>
      </c>
      <c r="L292">
        <v>238400</v>
      </c>
    </row>
  </sheetData>
  <mergeCells count="1"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6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3" width="15" customWidth="1"/>
    <col min="4" max="5" width="18" customWidth="1"/>
    <col min="6" max="8" width="15" customWidth="1"/>
  </cols>
  <sheetData>
    <row r="1" spans="1:12" ht="28" customHeight="1" x14ac:dyDescent="0.35">
      <c r="A1" s="6" t="s">
        <v>281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279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282</v>
      </c>
      <c r="E5" t="s">
        <v>255</v>
      </c>
      <c r="F5">
        <v>27249</v>
      </c>
      <c r="G5">
        <v>492950</v>
      </c>
      <c r="H5">
        <v>466838</v>
      </c>
      <c r="I5">
        <v>297834</v>
      </c>
      <c r="J5">
        <v>796187</v>
      </c>
      <c r="K5">
        <v>421333</v>
      </c>
      <c r="L5">
        <v>567467</v>
      </c>
    </row>
    <row r="6" spans="1:12" x14ac:dyDescent="0.35">
      <c r="A6">
        <v>2024</v>
      </c>
      <c r="B6">
        <v>1</v>
      </c>
      <c r="C6" t="s">
        <v>42</v>
      </c>
      <c r="D6" t="s">
        <v>282</v>
      </c>
      <c r="E6" t="s">
        <v>257</v>
      </c>
      <c r="F6">
        <v>22150</v>
      </c>
      <c r="G6">
        <v>572474</v>
      </c>
      <c r="H6">
        <v>560015</v>
      </c>
      <c r="I6">
        <v>325286</v>
      </c>
      <c r="J6">
        <v>1068184</v>
      </c>
      <c r="K6">
        <v>468550</v>
      </c>
      <c r="L6">
        <v>653292</v>
      </c>
    </row>
    <row r="7" spans="1:12" x14ac:dyDescent="0.35">
      <c r="A7">
        <v>2024</v>
      </c>
      <c r="B7">
        <v>1</v>
      </c>
      <c r="C7" t="s">
        <v>42</v>
      </c>
      <c r="D7" t="s">
        <v>282</v>
      </c>
      <c r="E7" t="s">
        <v>259</v>
      </c>
      <c r="F7">
        <v>12598</v>
      </c>
      <c r="G7">
        <v>739109</v>
      </c>
      <c r="H7">
        <v>708933</v>
      </c>
      <c r="I7">
        <v>384768</v>
      </c>
      <c r="J7">
        <v>1144330</v>
      </c>
      <c r="K7">
        <v>667455</v>
      </c>
      <c r="L7">
        <v>833355</v>
      </c>
    </row>
    <row r="8" spans="1:12" x14ac:dyDescent="0.35">
      <c r="A8">
        <v>2024</v>
      </c>
      <c r="B8">
        <v>1</v>
      </c>
      <c r="C8" t="s">
        <v>42</v>
      </c>
      <c r="D8" t="s">
        <v>282</v>
      </c>
      <c r="E8" t="s">
        <v>261</v>
      </c>
      <c r="F8">
        <v>1838</v>
      </c>
      <c r="G8">
        <v>918557</v>
      </c>
      <c r="H8">
        <v>889156</v>
      </c>
      <c r="I8">
        <v>452677</v>
      </c>
      <c r="J8">
        <v>1362670</v>
      </c>
      <c r="K8">
        <v>732997</v>
      </c>
      <c r="L8">
        <v>1136965</v>
      </c>
    </row>
    <row r="9" spans="1:12" x14ac:dyDescent="0.35">
      <c r="A9">
        <v>2024</v>
      </c>
      <c r="B9">
        <v>1</v>
      </c>
      <c r="C9" t="s">
        <v>42</v>
      </c>
      <c r="D9" t="s">
        <v>282</v>
      </c>
      <c r="E9" t="s">
        <v>263</v>
      </c>
      <c r="F9">
        <v>1430</v>
      </c>
      <c r="G9">
        <v>981321</v>
      </c>
      <c r="H9">
        <v>974601</v>
      </c>
      <c r="I9">
        <v>616213</v>
      </c>
      <c r="J9">
        <v>1436081</v>
      </c>
      <c r="K9">
        <v>796336</v>
      </c>
      <c r="L9">
        <v>1074725</v>
      </c>
    </row>
    <row r="10" spans="1:12" x14ac:dyDescent="0.35">
      <c r="A10">
        <v>2024</v>
      </c>
      <c r="B10">
        <v>1</v>
      </c>
      <c r="C10" t="s">
        <v>42</v>
      </c>
      <c r="D10" t="s">
        <v>282</v>
      </c>
      <c r="E10" t="s">
        <v>265</v>
      </c>
      <c r="F10">
        <v>806</v>
      </c>
      <c r="G10">
        <v>263023</v>
      </c>
      <c r="H10">
        <v>251757</v>
      </c>
      <c r="I10">
        <v>229743</v>
      </c>
      <c r="J10">
        <v>353758</v>
      </c>
      <c r="K10">
        <v>239743</v>
      </c>
      <c r="L10">
        <v>281172</v>
      </c>
    </row>
    <row r="11" spans="1:12" x14ac:dyDescent="0.35">
      <c r="A11">
        <v>2024</v>
      </c>
      <c r="B11">
        <v>1</v>
      </c>
      <c r="C11" t="s">
        <v>42</v>
      </c>
      <c r="D11" t="s">
        <v>282</v>
      </c>
      <c r="E11" t="s">
        <v>267</v>
      </c>
      <c r="F11">
        <v>58846</v>
      </c>
      <c r="G11">
        <v>410550</v>
      </c>
      <c r="H11">
        <v>410040</v>
      </c>
      <c r="I11">
        <v>260064</v>
      </c>
      <c r="J11">
        <v>584648</v>
      </c>
      <c r="K11">
        <v>331442</v>
      </c>
      <c r="L11">
        <v>472023</v>
      </c>
    </row>
    <row r="12" spans="1:12" x14ac:dyDescent="0.35">
      <c r="A12">
        <v>2024</v>
      </c>
      <c r="B12">
        <v>1</v>
      </c>
      <c r="C12" t="s">
        <v>42</v>
      </c>
      <c r="D12" t="s">
        <v>282</v>
      </c>
      <c r="E12" t="s">
        <v>269</v>
      </c>
      <c r="F12">
        <v>5132</v>
      </c>
      <c r="G12">
        <v>233673</v>
      </c>
      <c r="H12">
        <v>231553</v>
      </c>
      <c r="I12">
        <v>203500</v>
      </c>
      <c r="J12">
        <v>287748</v>
      </c>
      <c r="K12">
        <v>218868</v>
      </c>
      <c r="L12">
        <v>246553</v>
      </c>
    </row>
    <row r="13" spans="1:12" x14ac:dyDescent="0.35">
      <c r="A13">
        <v>2024</v>
      </c>
      <c r="B13">
        <v>1</v>
      </c>
      <c r="C13" t="s">
        <v>42</v>
      </c>
      <c r="D13" t="s">
        <v>282</v>
      </c>
      <c r="E13" t="s">
        <v>271</v>
      </c>
      <c r="F13">
        <v>3934</v>
      </c>
      <c r="G13">
        <v>246242</v>
      </c>
      <c r="H13">
        <v>243240</v>
      </c>
      <c r="I13">
        <v>207526</v>
      </c>
      <c r="J13">
        <v>290297</v>
      </c>
      <c r="K13">
        <v>230210</v>
      </c>
      <c r="L13">
        <v>262661</v>
      </c>
    </row>
    <row r="14" spans="1:12" x14ac:dyDescent="0.35">
      <c r="A14">
        <v>2024</v>
      </c>
      <c r="B14">
        <v>1</v>
      </c>
      <c r="C14" t="s">
        <v>42</v>
      </c>
      <c r="D14" t="s">
        <v>282</v>
      </c>
      <c r="E14" t="s">
        <v>273</v>
      </c>
      <c r="F14">
        <v>22253</v>
      </c>
      <c r="G14">
        <v>297891</v>
      </c>
      <c r="H14">
        <v>291725</v>
      </c>
      <c r="I14">
        <v>210212</v>
      </c>
      <c r="J14">
        <v>380002</v>
      </c>
      <c r="K14">
        <v>274276</v>
      </c>
      <c r="L14">
        <v>328758</v>
      </c>
    </row>
    <row r="15" spans="1:12" x14ac:dyDescent="0.35">
      <c r="A15">
        <v>2024</v>
      </c>
      <c r="B15">
        <v>1</v>
      </c>
      <c r="C15" t="s">
        <v>42</v>
      </c>
      <c r="D15" t="s">
        <v>282</v>
      </c>
      <c r="E15" t="s">
        <v>275</v>
      </c>
      <c r="F15">
        <v>3353</v>
      </c>
      <c r="G15">
        <v>219574</v>
      </c>
      <c r="H15">
        <v>219287</v>
      </c>
      <c r="I15">
        <v>191417</v>
      </c>
      <c r="J15">
        <v>258265</v>
      </c>
      <c r="K15">
        <v>207710</v>
      </c>
      <c r="L15">
        <v>231787</v>
      </c>
    </row>
    <row r="16" spans="1:12" x14ac:dyDescent="0.35">
      <c r="A16">
        <v>2024</v>
      </c>
      <c r="B16">
        <v>2</v>
      </c>
      <c r="C16" t="s">
        <v>63</v>
      </c>
      <c r="D16" t="s">
        <v>282</v>
      </c>
      <c r="E16" t="s">
        <v>255</v>
      </c>
      <c r="F16">
        <v>27793</v>
      </c>
      <c r="G16">
        <v>502022</v>
      </c>
      <c r="H16">
        <v>474055</v>
      </c>
      <c r="I16">
        <v>297836</v>
      </c>
      <c r="J16">
        <v>797550</v>
      </c>
      <c r="K16">
        <v>423833</v>
      </c>
      <c r="L16">
        <v>578722</v>
      </c>
    </row>
    <row r="17" spans="1:12" x14ac:dyDescent="0.35">
      <c r="A17">
        <v>2024</v>
      </c>
      <c r="B17">
        <v>2</v>
      </c>
      <c r="C17" t="s">
        <v>63</v>
      </c>
      <c r="D17" t="s">
        <v>282</v>
      </c>
      <c r="E17" t="s">
        <v>257</v>
      </c>
      <c r="F17">
        <v>22481</v>
      </c>
      <c r="G17">
        <v>578587</v>
      </c>
      <c r="H17">
        <v>562515</v>
      </c>
      <c r="I17">
        <v>325286</v>
      </c>
      <c r="J17">
        <v>1090651</v>
      </c>
      <c r="K17">
        <v>469941</v>
      </c>
      <c r="L17">
        <v>681063</v>
      </c>
    </row>
    <row r="18" spans="1:12" x14ac:dyDescent="0.35">
      <c r="A18">
        <v>2024</v>
      </c>
      <c r="B18">
        <v>2</v>
      </c>
      <c r="C18" t="s">
        <v>63</v>
      </c>
      <c r="D18" t="s">
        <v>282</v>
      </c>
      <c r="E18" t="s">
        <v>259</v>
      </c>
      <c r="F18">
        <v>12690</v>
      </c>
      <c r="G18">
        <v>752022</v>
      </c>
      <c r="H18">
        <v>728633</v>
      </c>
      <c r="I18">
        <v>384768</v>
      </c>
      <c r="J18">
        <v>1144279</v>
      </c>
      <c r="K18">
        <v>685558</v>
      </c>
      <c r="L18">
        <v>845202</v>
      </c>
    </row>
    <row r="19" spans="1:12" x14ac:dyDescent="0.35">
      <c r="A19">
        <v>2024</v>
      </c>
      <c r="B19">
        <v>2</v>
      </c>
      <c r="C19" t="s">
        <v>63</v>
      </c>
      <c r="D19" t="s">
        <v>282</v>
      </c>
      <c r="E19" t="s">
        <v>261</v>
      </c>
      <c r="F19">
        <v>1836</v>
      </c>
      <c r="G19">
        <v>928609</v>
      </c>
      <c r="H19">
        <v>909500</v>
      </c>
      <c r="I19">
        <v>452677</v>
      </c>
      <c r="J19">
        <v>1362670</v>
      </c>
      <c r="K19">
        <v>736335</v>
      </c>
      <c r="L19">
        <v>1143628</v>
      </c>
    </row>
    <row r="20" spans="1:12" x14ac:dyDescent="0.35">
      <c r="A20">
        <v>2024</v>
      </c>
      <c r="B20">
        <v>2</v>
      </c>
      <c r="C20" t="s">
        <v>63</v>
      </c>
      <c r="D20" t="s">
        <v>282</v>
      </c>
      <c r="E20" t="s">
        <v>263</v>
      </c>
      <c r="F20">
        <v>1481</v>
      </c>
      <c r="G20">
        <v>970319</v>
      </c>
      <c r="H20">
        <v>967101</v>
      </c>
      <c r="I20">
        <v>620090</v>
      </c>
      <c r="J20">
        <v>1433582</v>
      </c>
      <c r="K20">
        <v>799476</v>
      </c>
      <c r="L20">
        <v>1067225</v>
      </c>
    </row>
    <row r="21" spans="1:12" x14ac:dyDescent="0.35">
      <c r="A21">
        <v>2024</v>
      </c>
      <c r="B21">
        <v>2</v>
      </c>
      <c r="C21" t="s">
        <v>63</v>
      </c>
      <c r="D21" t="s">
        <v>282</v>
      </c>
      <c r="E21" t="s">
        <v>265</v>
      </c>
      <c r="F21">
        <v>848</v>
      </c>
      <c r="G21">
        <v>262899</v>
      </c>
      <c r="H21">
        <v>249743</v>
      </c>
      <c r="I21">
        <v>229743</v>
      </c>
      <c r="J21">
        <v>353758</v>
      </c>
      <c r="K21">
        <v>239743</v>
      </c>
      <c r="L21">
        <v>281711</v>
      </c>
    </row>
    <row r="22" spans="1:12" x14ac:dyDescent="0.35">
      <c r="A22">
        <v>2024</v>
      </c>
      <c r="B22">
        <v>2</v>
      </c>
      <c r="C22" t="s">
        <v>63</v>
      </c>
      <c r="D22" t="s">
        <v>282</v>
      </c>
      <c r="E22" t="s">
        <v>267</v>
      </c>
      <c r="F22">
        <v>58670</v>
      </c>
      <c r="G22">
        <v>411918</v>
      </c>
      <c r="H22">
        <v>412540</v>
      </c>
      <c r="I22">
        <v>260064</v>
      </c>
      <c r="J22">
        <v>584961</v>
      </c>
      <c r="K22">
        <v>332552</v>
      </c>
      <c r="L22">
        <v>476739</v>
      </c>
    </row>
    <row r="23" spans="1:12" x14ac:dyDescent="0.35">
      <c r="A23">
        <v>2024</v>
      </c>
      <c r="B23">
        <v>2</v>
      </c>
      <c r="C23" t="s">
        <v>63</v>
      </c>
      <c r="D23" t="s">
        <v>282</v>
      </c>
      <c r="E23" t="s">
        <v>269</v>
      </c>
      <c r="F23">
        <v>5151</v>
      </c>
      <c r="G23">
        <v>233608</v>
      </c>
      <c r="H23">
        <v>231873</v>
      </c>
      <c r="I23">
        <v>203153</v>
      </c>
      <c r="J23">
        <v>287748</v>
      </c>
      <c r="K23">
        <v>218868</v>
      </c>
      <c r="L23">
        <v>246553</v>
      </c>
    </row>
    <row r="24" spans="1:12" x14ac:dyDescent="0.35">
      <c r="A24">
        <v>2024</v>
      </c>
      <c r="B24">
        <v>2</v>
      </c>
      <c r="C24" t="s">
        <v>63</v>
      </c>
      <c r="D24" t="s">
        <v>282</v>
      </c>
      <c r="E24" t="s">
        <v>271</v>
      </c>
      <c r="F24">
        <v>3931</v>
      </c>
      <c r="G24">
        <v>247137</v>
      </c>
      <c r="H24">
        <v>245210</v>
      </c>
      <c r="I24">
        <v>207114</v>
      </c>
      <c r="J24">
        <v>290063</v>
      </c>
      <c r="K24">
        <v>230210</v>
      </c>
      <c r="L24">
        <v>262661</v>
      </c>
    </row>
    <row r="25" spans="1:12" x14ac:dyDescent="0.35">
      <c r="A25">
        <v>2024</v>
      </c>
      <c r="B25">
        <v>2</v>
      </c>
      <c r="C25" t="s">
        <v>63</v>
      </c>
      <c r="D25" t="s">
        <v>282</v>
      </c>
      <c r="E25" t="s">
        <v>273</v>
      </c>
      <c r="F25">
        <v>22215</v>
      </c>
      <c r="G25">
        <v>297822</v>
      </c>
      <c r="H25">
        <v>291725</v>
      </c>
      <c r="I25">
        <v>210212</v>
      </c>
      <c r="J25">
        <v>380002</v>
      </c>
      <c r="K25">
        <v>274276</v>
      </c>
      <c r="L25">
        <v>328758</v>
      </c>
    </row>
    <row r="26" spans="1:12" x14ac:dyDescent="0.35">
      <c r="A26">
        <v>2024</v>
      </c>
      <c r="B26">
        <v>2</v>
      </c>
      <c r="C26" t="s">
        <v>63</v>
      </c>
      <c r="D26" t="s">
        <v>282</v>
      </c>
      <c r="E26" t="s">
        <v>275</v>
      </c>
      <c r="F26">
        <v>3378</v>
      </c>
      <c r="G26">
        <v>219609</v>
      </c>
      <c r="H26">
        <v>219287</v>
      </c>
      <c r="I26">
        <v>191417</v>
      </c>
      <c r="J26">
        <v>258265</v>
      </c>
      <c r="K26">
        <v>207526</v>
      </c>
      <c r="L26">
        <v>231922</v>
      </c>
    </row>
    <row r="27" spans="1:12" x14ac:dyDescent="0.35">
      <c r="A27">
        <v>2024</v>
      </c>
      <c r="B27">
        <v>3</v>
      </c>
      <c r="C27" t="s">
        <v>66</v>
      </c>
      <c r="D27" t="s">
        <v>282</v>
      </c>
      <c r="E27" t="s">
        <v>255</v>
      </c>
      <c r="F27">
        <v>28272</v>
      </c>
      <c r="G27">
        <v>497650</v>
      </c>
      <c r="H27">
        <v>470495</v>
      </c>
      <c r="I27">
        <v>297836</v>
      </c>
      <c r="J27">
        <v>798106</v>
      </c>
      <c r="K27">
        <v>421333</v>
      </c>
      <c r="L27">
        <v>574967</v>
      </c>
    </row>
    <row r="28" spans="1:12" x14ac:dyDescent="0.35">
      <c r="A28">
        <v>2024</v>
      </c>
      <c r="B28">
        <v>3</v>
      </c>
      <c r="C28" t="s">
        <v>66</v>
      </c>
      <c r="D28" t="s">
        <v>282</v>
      </c>
      <c r="E28" t="s">
        <v>257</v>
      </c>
      <c r="F28">
        <v>22785</v>
      </c>
      <c r="G28">
        <v>572840</v>
      </c>
      <c r="H28">
        <v>557515</v>
      </c>
      <c r="I28">
        <v>325286</v>
      </c>
      <c r="J28">
        <v>1099983</v>
      </c>
      <c r="K28">
        <v>467073</v>
      </c>
      <c r="L28">
        <v>658292</v>
      </c>
    </row>
    <row r="29" spans="1:12" x14ac:dyDescent="0.35">
      <c r="A29">
        <v>2024</v>
      </c>
      <c r="B29">
        <v>3</v>
      </c>
      <c r="C29" t="s">
        <v>66</v>
      </c>
      <c r="D29" t="s">
        <v>282</v>
      </c>
      <c r="E29" t="s">
        <v>259</v>
      </c>
      <c r="F29">
        <v>12783</v>
      </c>
      <c r="G29">
        <v>743265</v>
      </c>
      <c r="H29">
        <v>711433</v>
      </c>
      <c r="I29">
        <v>384768</v>
      </c>
      <c r="J29">
        <v>1144330</v>
      </c>
      <c r="K29">
        <v>675189</v>
      </c>
      <c r="L29">
        <v>835719</v>
      </c>
    </row>
    <row r="30" spans="1:12" x14ac:dyDescent="0.35">
      <c r="A30">
        <v>2024</v>
      </c>
      <c r="B30">
        <v>3</v>
      </c>
      <c r="C30" t="s">
        <v>66</v>
      </c>
      <c r="D30" t="s">
        <v>282</v>
      </c>
      <c r="E30" t="s">
        <v>261</v>
      </c>
      <c r="F30">
        <v>1777</v>
      </c>
      <c r="G30">
        <v>916022</v>
      </c>
      <c r="H30">
        <v>902000</v>
      </c>
      <c r="I30">
        <v>452677</v>
      </c>
      <c r="J30">
        <v>1362669</v>
      </c>
      <c r="K30">
        <v>731335</v>
      </c>
      <c r="L30">
        <v>1136965</v>
      </c>
    </row>
    <row r="31" spans="1:12" x14ac:dyDescent="0.35">
      <c r="A31">
        <v>2024</v>
      </c>
      <c r="B31">
        <v>3</v>
      </c>
      <c r="C31" t="s">
        <v>66</v>
      </c>
      <c r="D31" t="s">
        <v>282</v>
      </c>
      <c r="E31" t="s">
        <v>263</v>
      </c>
      <c r="F31">
        <v>1550</v>
      </c>
      <c r="G31">
        <v>987787</v>
      </c>
      <c r="H31">
        <v>976201</v>
      </c>
      <c r="I31">
        <v>620090</v>
      </c>
      <c r="J31">
        <v>1436081</v>
      </c>
      <c r="K31">
        <v>860514</v>
      </c>
      <c r="L31">
        <v>1079050</v>
      </c>
    </row>
    <row r="32" spans="1:12" x14ac:dyDescent="0.35">
      <c r="A32">
        <v>2024</v>
      </c>
      <c r="B32">
        <v>3</v>
      </c>
      <c r="C32" t="s">
        <v>66</v>
      </c>
      <c r="D32" t="s">
        <v>282</v>
      </c>
      <c r="E32" t="s">
        <v>265</v>
      </c>
      <c r="F32">
        <v>886</v>
      </c>
      <c r="G32">
        <v>260965</v>
      </c>
      <c r="H32">
        <v>247797</v>
      </c>
      <c r="I32">
        <v>229743</v>
      </c>
      <c r="J32">
        <v>353758</v>
      </c>
      <c r="K32">
        <v>237243</v>
      </c>
      <c r="L32">
        <v>277243</v>
      </c>
    </row>
    <row r="33" spans="1:12" x14ac:dyDescent="0.35">
      <c r="A33">
        <v>2024</v>
      </c>
      <c r="B33">
        <v>3</v>
      </c>
      <c r="C33" t="s">
        <v>66</v>
      </c>
      <c r="D33" t="s">
        <v>282</v>
      </c>
      <c r="E33" t="s">
        <v>267</v>
      </c>
      <c r="F33">
        <v>59034</v>
      </c>
      <c r="G33">
        <v>411386</v>
      </c>
      <c r="H33">
        <v>412540</v>
      </c>
      <c r="I33">
        <v>260064</v>
      </c>
      <c r="J33">
        <v>584648</v>
      </c>
      <c r="K33">
        <v>333252</v>
      </c>
      <c r="L33">
        <v>474523</v>
      </c>
    </row>
    <row r="34" spans="1:12" x14ac:dyDescent="0.35">
      <c r="A34">
        <v>2024</v>
      </c>
      <c r="B34">
        <v>3</v>
      </c>
      <c r="C34" t="s">
        <v>66</v>
      </c>
      <c r="D34" t="s">
        <v>282</v>
      </c>
      <c r="E34" t="s">
        <v>269</v>
      </c>
      <c r="F34">
        <v>5244</v>
      </c>
      <c r="G34">
        <v>233638</v>
      </c>
      <c r="H34">
        <v>231873</v>
      </c>
      <c r="I34">
        <v>202944</v>
      </c>
      <c r="J34">
        <v>287748</v>
      </c>
      <c r="K34">
        <v>218868</v>
      </c>
      <c r="L34">
        <v>246553</v>
      </c>
    </row>
    <row r="35" spans="1:12" x14ac:dyDescent="0.35">
      <c r="A35">
        <v>2024</v>
      </c>
      <c r="B35">
        <v>3</v>
      </c>
      <c r="C35" t="s">
        <v>66</v>
      </c>
      <c r="D35" t="s">
        <v>282</v>
      </c>
      <c r="E35" t="s">
        <v>271</v>
      </c>
      <c r="F35">
        <v>3934</v>
      </c>
      <c r="G35">
        <v>246884</v>
      </c>
      <c r="H35">
        <v>245161</v>
      </c>
      <c r="I35">
        <v>207526</v>
      </c>
      <c r="J35">
        <v>290297</v>
      </c>
      <c r="K35">
        <v>230210</v>
      </c>
      <c r="L35">
        <v>262661</v>
      </c>
    </row>
    <row r="36" spans="1:12" x14ac:dyDescent="0.35">
      <c r="A36">
        <v>2024</v>
      </c>
      <c r="B36">
        <v>3</v>
      </c>
      <c r="C36" t="s">
        <v>66</v>
      </c>
      <c r="D36" t="s">
        <v>282</v>
      </c>
      <c r="E36" t="s">
        <v>273</v>
      </c>
      <c r="F36">
        <v>22282</v>
      </c>
      <c r="G36">
        <v>297816</v>
      </c>
      <c r="H36">
        <v>291725</v>
      </c>
      <c r="I36">
        <v>210212</v>
      </c>
      <c r="J36">
        <v>380002</v>
      </c>
      <c r="K36">
        <v>274276</v>
      </c>
      <c r="L36">
        <v>328758</v>
      </c>
    </row>
    <row r="37" spans="1:12" x14ac:dyDescent="0.35">
      <c r="A37">
        <v>2024</v>
      </c>
      <c r="B37">
        <v>3</v>
      </c>
      <c r="C37" t="s">
        <v>66</v>
      </c>
      <c r="D37" t="s">
        <v>282</v>
      </c>
      <c r="E37" t="s">
        <v>275</v>
      </c>
      <c r="F37">
        <v>3470</v>
      </c>
      <c r="G37">
        <v>219239</v>
      </c>
      <c r="H37">
        <v>219003</v>
      </c>
      <c r="I37">
        <v>191417</v>
      </c>
      <c r="J37">
        <v>258265</v>
      </c>
      <c r="K37">
        <v>207526</v>
      </c>
      <c r="L37">
        <v>231602</v>
      </c>
    </row>
    <row r="38" spans="1:12" x14ac:dyDescent="0.35">
      <c r="A38">
        <v>2024</v>
      </c>
      <c r="B38">
        <v>4</v>
      </c>
      <c r="C38" t="s">
        <v>67</v>
      </c>
      <c r="D38" t="s">
        <v>282</v>
      </c>
      <c r="E38" t="s">
        <v>255</v>
      </c>
      <c r="F38">
        <v>28538</v>
      </c>
      <c r="G38">
        <v>494837</v>
      </c>
      <c r="H38">
        <v>469338</v>
      </c>
      <c r="I38">
        <v>297836</v>
      </c>
      <c r="J38">
        <v>796187</v>
      </c>
      <c r="K38">
        <v>418883</v>
      </c>
      <c r="L38">
        <v>572467</v>
      </c>
    </row>
    <row r="39" spans="1:12" x14ac:dyDescent="0.35">
      <c r="A39">
        <v>2024</v>
      </c>
      <c r="B39">
        <v>4</v>
      </c>
      <c r="C39" t="s">
        <v>67</v>
      </c>
      <c r="D39" t="s">
        <v>282</v>
      </c>
      <c r="E39" t="s">
        <v>257</v>
      </c>
      <c r="F39">
        <v>23043</v>
      </c>
      <c r="G39">
        <v>570794</v>
      </c>
      <c r="H39">
        <v>554655</v>
      </c>
      <c r="I39">
        <v>325286</v>
      </c>
      <c r="J39">
        <v>1074108</v>
      </c>
      <c r="K39">
        <v>464104</v>
      </c>
      <c r="L39">
        <v>654400</v>
      </c>
    </row>
    <row r="40" spans="1:12" x14ac:dyDescent="0.35">
      <c r="A40">
        <v>2024</v>
      </c>
      <c r="B40">
        <v>4</v>
      </c>
      <c r="C40" t="s">
        <v>67</v>
      </c>
      <c r="D40" t="s">
        <v>282</v>
      </c>
      <c r="E40" t="s">
        <v>259</v>
      </c>
      <c r="F40">
        <v>12935</v>
      </c>
      <c r="G40">
        <v>741437</v>
      </c>
      <c r="H40">
        <v>708933</v>
      </c>
      <c r="I40">
        <v>384768</v>
      </c>
      <c r="J40">
        <v>1144330</v>
      </c>
      <c r="K40">
        <v>674955</v>
      </c>
      <c r="L40">
        <v>835719</v>
      </c>
    </row>
    <row r="41" spans="1:12" x14ac:dyDescent="0.35">
      <c r="A41">
        <v>2024</v>
      </c>
      <c r="B41">
        <v>4</v>
      </c>
      <c r="C41" t="s">
        <v>67</v>
      </c>
      <c r="D41" t="s">
        <v>282</v>
      </c>
      <c r="E41" t="s">
        <v>261</v>
      </c>
      <c r="F41">
        <v>1777</v>
      </c>
      <c r="G41">
        <v>914507</v>
      </c>
      <c r="H41">
        <v>899500</v>
      </c>
      <c r="I41">
        <v>452677</v>
      </c>
      <c r="J41">
        <v>1362670</v>
      </c>
      <c r="K41">
        <v>731335</v>
      </c>
      <c r="L41">
        <v>1136965</v>
      </c>
    </row>
    <row r="42" spans="1:12" x14ac:dyDescent="0.35">
      <c r="A42">
        <v>2024</v>
      </c>
      <c r="B42">
        <v>4</v>
      </c>
      <c r="C42" t="s">
        <v>67</v>
      </c>
      <c r="D42" t="s">
        <v>282</v>
      </c>
      <c r="E42" t="s">
        <v>263</v>
      </c>
      <c r="F42">
        <v>1460</v>
      </c>
      <c r="G42">
        <v>963801</v>
      </c>
      <c r="H42">
        <v>967101</v>
      </c>
      <c r="I42">
        <v>620090</v>
      </c>
      <c r="J42">
        <v>1436081</v>
      </c>
      <c r="K42">
        <v>796336</v>
      </c>
      <c r="L42">
        <v>1059725</v>
      </c>
    </row>
    <row r="43" spans="1:12" x14ac:dyDescent="0.35">
      <c r="A43">
        <v>2024</v>
      </c>
      <c r="B43">
        <v>4</v>
      </c>
      <c r="C43" t="s">
        <v>67</v>
      </c>
      <c r="D43" t="s">
        <v>282</v>
      </c>
      <c r="E43" t="s">
        <v>265</v>
      </c>
      <c r="F43">
        <v>896</v>
      </c>
      <c r="G43">
        <v>261930</v>
      </c>
      <c r="H43">
        <v>251824</v>
      </c>
      <c r="I43">
        <v>229743</v>
      </c>
      <c r="J43">
        <v>351628</v>
      </c>
      <c r="K43">
        <v>239190</v>
      </c>
      <c r="L43">
        <v>277243</v>
      </c>
    </row>
    <row r="44" spans="1:12" x14ac:dyDescent="0.35">
      <c r="A44">
        <v>2024</v>
      </c>
      <c r="B44">
        <v>4</v>
      </c>
      <c r="C44" t="s">
        <v>67</v>
      </c>
      <c r="D44" t="s">
        <v>282</v>
      </c>
      <c r="E44" t="s">
        <v>267</v>
      </c>
      <c r="F44">
        <v>59351</v>
      </c>
      <c r="G44">
        <v>409276</v>
      </c>
      <c r="H44">
        <v>410040</v>
      </c>
      <c r="I44">
        <v>260064</v>
      </c>
      <c r="J44">
        <v>584648</v>
      </c>
      <c r="K44">
        <v>331442</v>
      </c>
      <c r="L44">
        <v>469104</v>
      </c>
    </row>
    <row r="45" spans="1:12" x14ac:dyDescent="0.35">
      <c r="A45">
        <v>2024</v>
      </c>
      <c r="B45">
        <v>4</v>
      </c>
      <c r="C45" t="s">
        <v>67</v>
      </c>
      <c r="D45" t="s">
        <v>282</v>
      </c>
      <c r="E45" t="s">
        <v>269</v>
      </c>
      <c r="F45">
        <v>5279</v>
      </c>
      <c r="G45">
        <v>233570</v>
      </c>
      <c r="H45">
        <v>231688</v>
      </c>
      <c r="I45">
        <v>203500</v>
      </c>
      <c r="J45">
        <v>287748</v>
      </c>
      <c r="K45">
        <v>218868</v>
      </c>
      <c r="L45">
        <v>246553</v>
      </c>
    </row>
    <row r="46" spans="1:12" x14ac:dyDescent="0.35">
      <c r="A46">
        <v>2024</v>
      </c>
      <c r="B46">
        <v>4</v>
      </c>
      <c r="C46" t="s">
        <v>67</v>
      </c>
      <c r="D46" t="s">
        <v>282</v>
      </c>
      <c r="E46" t="s">
        <v>271</v>
      </c>
      <c r="F46">
        <v>3925</v>
      </c>
      <c r="G46">
        <v>247067</v>
      </c>
      <c r="H46">
        <v>245163</v>
      </c>
      <c r="I46">
        <v>207202</v>
      </c>
      <c r="J46">
        <v>290297</v>
      </c>
      <c r="K46">
        <v>230210</v>
      </c>
      <c r="L46">
        <v>262661</v>
      </c>
    </row>
    <row r="47" spans="1:12" x14ac:dyDescent="0.35">
      <c r="A47">
        <v>2024</v>
      </c>
      <c r="B47">
        <v>4</v>
      </c>
      <c r="C47" t="s">
        <v>67</v>
      </c>
      <c r="D47" t="s">
        <v>282</v>
      </c>
      <c r="E47" t="s">
        <v>273</v>
      </c>
      <c r="F47">
        <v>22169</v>
      </c>
      <c r="G47">
        <v>297684</v>
      </c>
      <c r="H47">
        <v>291725</v>
      </c>
      <c r="I47">
        <v>210212</v>
      </c>
      <c r="J47">
        <v>380002</v>
      </c>
      <c r="K47">
        <v>274276</v>
      </c>
      <c r="L47">
        <v>328758</v>
      </c>
    </row>
    <row r="48" spans="1:12" x14ac:dyDescent="0.35">
      <c r="A48">
        <v>2024</v>
      </c>
      <c r="B48">
        <v>4</v>
      </c>
      <c r="C48" t="s">
        <v>67</v>
      </c>
      <c r="D48" t="s">
        <v>282</v>
      </c>
      <c r="E48" t="s">
        <v>275</v>
      </c>
      <c r="F48">
        <v>3593</v>
      </c>
      <c r="G48">
        <v>218778</v>
      </c>
      <c r="H48">
        <v>218313</v>
      </c>
      <c r="I48">
        <v>191417</v>
      </c>
      <c r="J48">
        <v>258265</v>
      </c>
      <c r="K48">
        <v>206418</v>
      </c>
      <c r="L48">
        <v>231503</v>
      </c>
    </row>
    <row r="49" spans="1:12" x14ac:dyDescent="0.35">
      <c r="A49">
        <v>2024</v>
      </c>
      <c r="B49">
        <v>5</v>
      </c>
      <c r="C49" t="s">
        <v>68</v>
      </c>
      <c r="D49" t="s">
        <v>282</v>
      </c>
      <c r="E49" t="s">
        <v>255</v>
      </c>
      <c r="F49">
        <v>28763</v>
      </c>
      <c r="G49">
        <v>492589</v>
      </c>
      <c r="H49">
        <v>466838</v>
      </c>
      <c r="I49">
        <v>297836</v>
      </c>
      <c r="J49">
        <v>796187</v>
      </c>
      <c r="K49">
        <v>416333</v>
      </c>
      <c r="L49">
        <v>569967</v>
      </c>
    </row>
    <row r="50" spans="1:12" x14ac:dyDescent="0.35">
      <c r="A50">
        <v>2024</v>
      </c>
      <c r="B50">
        <v>5</v>
      </c>
      <c r="C50" t="s">
        <v>68</v>
      </c>
      <c r="D50" t="s">
        <v>282</v>
      </c>
      <c r="E50" t="s">
        <v>257</v>
      </c>
      <c r="F50">
        <v>23000</v>
      </c>
      <c r="G50">
        <v>568859</v>
      </c>
      <c r="H50">
        <v>551641</v>
      </c>
      <c r="I50">
        <v>325286</v>
      </c>
      <c r="J50">
        <v>1074108</v>
      </c>
      <c r="K50">
        <v>463550</v>
      </c>
      <c r="L50">
        <v>653292</v>
      </c>
    </row>
    <row r="51" spans="1:12" x14ac:dyDescent="0.35">
      <c r="A51">
        <v>2024</v>
      </c>
      <c r="B51">
        <v>5</v>
      </c>
      <c r="C51" t="s">
        <v>68</v>
      </c>
      <c r="D51" t="s">
        <v>282</v>
      </c>
      <c r="E51" t="s">
        <v>259</v>
      </c>
      <c r="F51">
        <v>12876</v>
      </c>
      <c r="G51">
        <v>741081</v>
      </c>
      <c r="H51">
        <v>708933</v>
      </c>
      <c r="I51">
        <v>384768</v>
      </c>
      <c r="J51">
        <v>1144330</v>
      </c>
      <c r="K51">
        <v>674955</v>
      </c>
      <c r="L51">
        <v>833355</v>
      </c>
    </row>
    <row r="52" spans="1:12" x14ac:dyDescent="0.35">
      <c r="A52">
        <v>2024</v>
      </c>
      <c r="B52">
        <v>5</v>
      </c>
      <c r="C52" t="s">
        <v>68</v>
      </c>
      <c r="D52" t="s">
        <v>282</v>
      </c>
      <c r="E52" t="s">
        <v>261</v>
      </c>
      <c r="F52">
        <v>1773</v>
      </c>
      <c r="G52">
        <v>912623</v>
      </c>
      <c r="H52">
        <v>897000</v>
      </c>
      <c r="I52">
        <v>452677</v>
      </c>
      <c r="J52">
        <v>1362670</v>
      </c>
      <c r="K52">
        <v>728835</v>
      </c>
      <c r="L52">
        <v>1134465</v>
      </c>
    </row>
    <row r="53" spans="1:12" x14ac:dyDescent="0.35">
      <c r="A53">
        <v>2024</v>
      </c>
      <c r="B53">
        <v>5</v>
      </c>
      <c r="C53" t="s">
        <v>68</v>
      </c>
      <c r="D53" t="s">
        <v>282</v>
      </c>
      <c r="E53" t="s">
        <v>263</v>
      </c>
      <c r="F53">
        <v>1471</v>
      </c>
      <c r="G53">
        <v>974267</v>
      </c>
      <c r="H53">
        <v>968701</v>
      </c>
      <c r="I53">
        <v>620090</v>
      </c>
      <c r="J53">
        <v>1436081</v>
      </c>
      <c r="K53">
        <v>802099</v>
      </c>
      <c r="L53">
        <v>1074725</v>
      </c>
    </row>
    <row r="54" spans="1:12" x14ac:dyDescent="0.35">
      <c r="A54">
        <v>2024</v>
      </c>
      <c r="B54">
        <v>5</v>
      </c>
      <c r="C54" t="s">
        <v>68</v>
      </c>
      <c r="D54" t="s">
        <v>282</v>
      </c>
      <c r="E54" t="s">
        <v>265</v>
      </c>
      <c r="F54">
        <v>900</v>
      </c>
      <c r="G54">
        <v>261683</v>
      </c>
      <c r="H54">
        <v>249970</v>
      </c>
      <c r="I54">
        <v>229743</v>
      </c>
      <c r="J54">
        <v>351628</v>
      </c>
      <c r="K54">
        <v>239190</v>
      </c>
      <c r="L54">
        <v>276590</v>
      </c>
    </row>
    <row r="55" spans="1:12" x14ac:dyDescent="0.35">
      <c r="A55">
        <v>2024</v>
      </c>
      <c r="B55">
        <v>5</v>
      </c>
      <c r="C55" t="s">
        <v>68</v>
      </c>
      <c r="D55" t="s">
        <v>282</v>
      </c>
      <c r="E55" t="s">
        <v>267</v>
      </c>
      <c r="F55">
        <v>59171</v>
      </c>
      <c r="G55">
        <v>409424</v>
      </c>
      <c r="H55">
        <v>409905</v>
      </c>
      <c r="I55">
        <v>260064</v>
      </c>
      <c r="J55">
        <v>584779</v>
      </c>
      <c r="K55">
        <v>330519</v>
      </c>
      <c r="L55">
        <v>468044</v>
      </c>
    </row>
    <row r="56" spans="1:12" x14ac:dyDescent="0.35">
      <c r="A56">
        <v>2024</v>
      </c>
      <c r="B56">
        <v>5</v>
      </c>
      <c r="C56" t="s">
        <v>68</v>
      </c>
      <c r="D56" t="s">
        <v>282</v>
      </c>
      <c r="E56" t="s">
        <v>269</v>
      </c>
      <c r="F56">
        <v>5264</v>
      </c>
      <c r="G56">
        <v>233572</v>
      </c>
      <c r="H56">
        <v>231688</v>
      </c>
      <c r="I56">
        <v>203500</v>
      </c>
      <c r="J56">
        <v>287748</v>
      </c>
      <c r="K56">
        <v>218868</v>
      </c>
      <c r="L56">
        <v>246553</v>
      </c>
    </row>
    <row r="57" spans="1:12" x14ac:dyDescent="0.35">
      <c r="A57">
        <v>2024</v>
      </c>
      <c r="B57">
        <v>5</v>
      </c>
      <c r="C57" t="s">
        <v>68</v>
      </c>
      <c r="D57" t="s">
        <v>282</v>
      </c>
      <c r="E57" t="s">
        <v>271</v>
      </c>
      <c r="F57">
        <v>3904</v>
      </c>
      <c r="G57">
        <v>246928</v>
      </c>
      <c r="H57">
        <v>245161</v>
      </c>
      <c r="I57">
        <v>207526</v>
      </c>
      <c r="J57">
        <v>290297</v>
      </c>
      <c r="K57">
        <v>230210</v>
      </c>
      <c r="L57">
        <v>262661</v>
      </c>
    </row>
    <row r="58" spans="1:12" x14ac:dyDescent="0.35">
      <c r="A58">
        <v>2024</v>
      </c>
      <c r="B58">
        <v>5</v>
      </c>
      <c r="C58" t="s">
        <v>68</v>
      </c>
      <c r="D58" t="s">
        <v>282</v>
      </c>
      <c r="E58" t="s">
        <v>273</v>
      </c>
      <c r="F58">
        <v>22014</v>
      </c>
      <c r="G58">
        <v>297907</v>
      </c>
      <c r="H58">
        <v>291725</v>
      </c>
      <c r="I58">
        <v>210212</v>
      </c>
      <c r="J58">
        <v>380002</v>
      </c>
      <c r="K58">
        <v>274276</v>
      </c>
      <c r="L58">
        <v>328389</v>
      </c>
    </row>
    <row r="59" spans="1:12" x14ac:dyDescent="0.35">
      <c r="A59">
        <v>2024</v>
      </c>
      <c r="B59">
        <v>5</v>
      </c>
      <c r="C59" t="s">
        <v>68</v>
      </c>
      <c r="D59" t="s">
        <v>282</v>
      </c>
      <c r="E59" t="s">
        <v>275</v>
      </c>
      <c r="F59">
        <v>3604</v>
      </c>
      <c r="G59">
        <v>218615</v>
      </c>
      <c r="H59">
        <v>217895</v>
      </c>
      <c r="I59">
        <v>191417</v>
      </c>
      <c r="J59">
        <v>258266</v>
      </c>
      <c r="K59">
        <v>206184</v>
      </c>
      <c r="L59">
        <v>231602</v>
      </c>
    </row>
    <row r="60" spans="1:12" x14ac:dyDescent="0.35">
      <c r="A60">
        <v>2024</v>
      </c>
      <c r="B60">
        <v>6</v>
      </c>
      <c r="C60" t="s">
        <v>69</v>
      </c>
      <c r="D60" t="s">
        <v>282</v>
      </c>
      <c r="E60" t="s">
        <v>255</v>
      </c>
      <c r="F60">
        <v>28810</v>
      </c>
      <c r="G60">
        <v>491793</v>
      </c>
      <c r="H60">
        <v>466838</v>
      </c>
      <c r="I60">
        <v>297836</v>
      </c>
      <c r="J60">
        <v>799008</v>
      </c>
      <c r="K60">
        <v>416333</v>
      </c>
      <c r="L60">
        <v>568070</v>
      </c>
    </row>
    <row r="61" spans="1:12" x14ac:dyDescent="0.35">
      <c r="A61">
        <v>2024</v>
      </c>
      <c r="B61">
        <v>6</v>
      </c>
      <c r="C61" t="s">
        <v>69</v>
      </c>
      <c r="D61" t="s">
        <v>282</v>
      </c>
      <c r="E61" t="s">
        <v>257</v>
      </c>
      <c r="F61">
        <v>23142</v>
      </c>
      <c r="G61">
        <v>569253</v>
      </c>
      <c r="H61">
        <v>550903</v>
      </c>
      <c r="I61">
        <v>325286</v>
      </c>
      <c r="J61">
        <v>1074108</v>
      </c>
      <c r="K61">
        <v>463550</v>
      </c>
      <c r="L61">
        <v>653292</v>
      </c>
    </row>
    <row r="62" spans="1:12" x14ac:dyDescent="0.35">
      <c r="A62">
        <v>2024</v>
      </c>
      <c r="B62">
        <v>6</v>
      </c>
      <c r="C62" t="s">
        <v>69</v>
      </c>
      <c r="D62" t="s">
        <v>282</v>
      </c>
      <c r="E62" t="s">
        <v>259</v>
      </c>
      <c r="F62">
        <v>12938</v>
      </c>
      <c r="G62">
        <v>740137</v>
      </c>
      <c r="H62">
        <v>707455</v>
      </c>
      <c r="I62">
        <v>384768</v>
      </c>
      <c r="J62">
        <v>1144330</v>
      </c>
      <c r="K62">
        <v>673058</v>
      </c>
      <c r="L62">
        <v>833219</v>
      </c>
    </row>
    <row r="63" spans="1:12" x14ac:dyDescent="0.35">
      <c r="A63">
        <v>2024</v>
      </c>
      <c r="B63">
        <v>6</v>
      </c>
      <c r="C63" t="s">
        <v>69</v>
      </c>
      <c r="D63" t="s">
        <v>282</v>
      </c>
      <c r="E63" t="s">
        <v>261</v>
      </c>
      <c r="F63">
        <v>1757</v>
      </c>
      <c r="G63">
        <v>908808</v>
      </c>
      <c r="H63">
        <v>897000</v>
      </c>
      <c r="I63">
        <v>452677</v>
      </c>
      <c r="J63">
        <v>1362670</v>
      </c>
      <c r="K63">
        <v>726335</v>
      </c>
      <c r="L63">
        <v>1127201</v>
      </c>
    </row>
    <row r="64" spans="1:12" x14ac:dyDescent="0.35">
      <c r="A64">
        <v>2024</v>
      </c>
      <c r="B64">
        <v>6</v>
      </c>
      <c r="C64" t="s">
        <v>69</v>
      </c>
      <c r="D64" t="s">
        <v>282</v>
      </c>
      <c r="E64" t="s">
        <v>263</v>
      </c>
      <c r="F64">
        <v>1514</v>
      </c>
      <c r="G64">
        <v>972831</v>
      </c>
      <c r="H64">
        <v>968701</v>
      </c>
      <c r="I64">
        <v>620090</v>
      </c>
      <c r="J64">
        <v>1436081</v>
      </c>
      <c r="K64">
        <v>788836</v>
      </c>
      <c r="L64">
        <v>1074725</v>
      </c>
    </row>
    <row r="65" spans="1:12" x14ac:dyDescent="0.35">
      <c r="A65">
        <v>2024</v>
      </c>
      <c r="B65">
        <v>6</v>
      </c>
      <c r="C65" t="s">
        <v>69</v>
      </c>
      <c r="D65" t="s">
        <v>282</v>
      </c>
      <c r="E65" t="s">
        <v>265</v>
      </c>
      <c r="F65">
        <v>921</v>
      </c>
      <c r="G65">
        <v>261752</v>
      </c>
      <c r="H65">
        <v>250881</v>
      </c>
      <c r="I65">
        <v>229743</v>
      </c>
      <c r="J65">
        <v>351628</v>
      </c>
      <c r="K65">
        <v>239743</v>
      </c>
      <c r="L65">
        <v>276590</v>
      </c>
    </row>
    <row r="66" spans="1:12" x14ac:dyDescent="0.35">
      <c r="A66">
        <v>2024</v>
      </c>
      <c r="B66">
        <v>6</v>
      </c>
      <c r="C66" t="s">
        <v>69</v>
      </c>
      <c r="D66" t="s">
        <v>282</v>
      </c>
      <c r="E66" t="s">
        <v>267</v>
      </c>
      <c r="F66">
        <v>59281</v>
      </c>
      <c r="G66">
        <v>409555</v>
      </c>
      <c r="H66">
        <v>410040</v>
      </c>
      <c r="I66">
        <v>259793</v>
      </c>
      <c r="J66">
        <v>584914</v>
      </c>
      <c r="K66">
        <v>328942</v>
      </c>
      <c r="L66">
        <v>467023</v>
      </c>
    </row>
    <row r="67" spans="1:12" x14ac:dyDescent="0.35">
      <c r="A67">
        <v>2024</v>
      </c>
      <c r="B67">
        <v>6</v>
      </c>
      <c r="C67" t="s">
        <v>69</v>
      </c>
      <c r="D67" t="s">
        <v>282</v>
      </c>
      <c r="E67" t="s">
        <v>269</v>
      </c>
      <c r="F67">
        <v>5296</v>
      </c>
      <c r="G67">
        <v>233611</v>
      </c>
      <c r="H67">
        <v>232040</v>
      </c>
      <c r="I67">
        <v>202916</v>
      </c>
      <c r="J67">
        <v>287748</v>
      </c>
      <c r="K67">
        <v>218684</v>
      </c>
      <c r="L67">
        <v>246688</v>
      </c>
    </row>
    <row r="68" spans="1:12" x14ac:dyDescent="0.35">
      <c r="A68">
        <v>2024</v>
      </c>
      <c r="B68">
        <v>6</v>
      </c>
      <c r="C68" t="s">
        <v>69</v>
      </c>
      <c r="D68" t="s">
        <v>282</v>
      </c>
      <c r="E68" t="s">
        <v>271</v>
      </c>
      <c r="F68">
        <v>3909</v>
      </c>
      <c r="G68">
        <v>246784</v>
      </c>
      <c r="H68">
        <v>245161</v>
      </c>
      <c r="I68">
        <v>207526</v>
      </c>
      <c r="J68">
        <v>290297</v>
      </c>
      <c r="K68">
        <v>230210</v>
      </c>
      <c r="L68">
        <v>262661</v>
      </c>
    </row>
    <row r="69" spans="1:12" x14ac:dyDescent="0.35">
      <c r="A69">
        <v>2024</v>
      </c>
      <c r="B69">
        <v>6</v>
      </c>
      <c r="C69" t="s">
        <v>69</v>
      </c>
      <c r="D69" t="s">
        <v>282</v>
      </c>
      <c r="E69" t="s">
        <v>273</v>
      </c>
      <c r="F69">
        <v>21964</v>
      </c>
      <c r="G69">
        <v>297626</v>
      </c>
      <c r="H69">
        <v>291725</v>
      </c>
      <c r="I69">
        <v>210212</v>
      </c>
      <c r="J69">
        <v>380002</v>
      </c>
      <c r="K69">
        <v>274276</v>
      </c>
      <c r="L69">
        <v>328389</v>
      </c>
    </row>
    <row r="70" spans="1:12" x14ac:dyDescent="0.35">
      <c r="A70">
        <v>2024</v>
      </c>
      <c r="B70">
        <v>6</v>
      </c>
      <c r="C70" t="s">
        <v>69</v>
      </c>
      <c r="D70" t="s">
        <v>282</v>
      </c>
      <c r="E70" t="s">
        <v>275</v>
      </c>
      <c r="F70">
        <v>3604</v>
      </c>
      <c r="G70">
        <v>218830</v>
      </c>
      <c r="H70">
        <v>218080</v>
      </c>
      <c r="I70">
        <v>191418</v>
      </c>
      <c r="J70">
        <v>258266</v>
      </c>
      <c r="K70">
        <v>206418</v>
      </c>
      <c r="L70">
        <v>231602</v>
      </c>
    </row>
    <row r="71" spans="1:12" x14ac:dyDescent="0.35">
      <c r="A71">
        <v>2024</v>
      </c>
      <c r="B71">
        <v>7</v>
      </c>
      <c r="C71" t="s">
        <v>70</v>
      </c>
      <c r="D71" t="s">
        <v>282</v>
      </c>
      <c r="E71" t="s">
        <v>255</v>
      </c>
      <c r="F71">
        <v>29666</v>
      </c>
      <c r="G71">
        <v>490779</v>
      </c>
      <c r="H71">
        <v>464338</v>
      </c>
      <c r="I71">
        <v>297836</v>
      </c>
      <c r="J71">
        <v>797766</v>
      </c>
      <c r="K71">
        <v>413883</v>
      </c>
      <c r="L71">
        <v>567515</v>
      </c>
    </row>
    <row r="72" spans="1:12" x14ac:dyDescent="0.35">
      <c r="A72">
        <v>2024</v>
      </c>
      <c r="B72">
        <v>7</v>
      </c>
      <c r="C72" t="s">
        <v>70</v>
      </c>
      <c r="D72" t="s">
        <v>282</v>
      </c>
      <c r="E72" t="s">
        <v>257</v>
      </c>
      <c r="F72">
        <v>23754</v>
      </c>
      <c r="G72">
        <v>568965</v>
      </c>
      <c r="H72">
        <v>550804</v>
      </c>
      <c r="I72">
        <v>325286</v>
      </c>
      <c r="J72">
        <v>1074108</v>
      </c>
      <c r="K72">
        <v>460544</v>
      </c>
      <c r="L72">
        <v>653292</v>
      </c>
    </row>
    <row r="73" spans="1:12" x14ac:dyDescent="0.35">
      <c r="A73">
        <v>2024</v>
      </c>
      <c r="B73">
        <v>7</v>
      </c>
      <c r="C73" t="s">
        <v>70</v>
      </c>
      <c r="D73" t="s">
        <v>282</v>
      </c>
      <c r="E73" t="s">
        <v>259</v>
      </c>
      <c r="F73">
        <v>13077</v>
      </c>
      <c r="G73">
        <v>741453</v>
      </c>
      <c r="H73">
        <v>708933</v>
      </c>
      <c r="I73">
        <v>384768</v>
      </c>
      <c r="J73">
        <v>1144330</v>
      </c>
      <c r="K73">
        <v>673058</v>
      </c>
      <c r="L73">
        <v>833355</v>
      </c>
    </row>
    <row r="74" spans="1:12" x14ac:dyDescent="0.35">
      <c r="A74">
        <v>2024</v>
      </c>
      <c r="B74">
        <v>7</v>
      </c>
      <c r="C74" t="s">
        <v>70</v>
      </c>
      <c r="D74" t="s">
        <v>282</v>
      </c>
      <c r="E74" t="s">
        <v>261</v>
      </c>
      <c r="F74">
        <v>1945</v>
      </c>
      <c r="G74">
        <v>934411</v>
      </c>
      <c r="H74">
        <v>904500</v>
      </c>
      <c r="I74">
        <v>452677</v>
      </c>
      <c r="J74">
        <v>1394777</v>
      </c>
      <c r="K74">
        <v>742997</v>
      </c>
      <c r="L74">
        <v>1143628</v>
      </c>
    </row>
    <row r="75" spans="1:12" x14ac:dyDescent="0.35">
      <c r="A75">
        <v>2024</v>
      </c>
      <c r="B75">
        <v>7</v>
      </c>
      <c r="C75" t="s">
        <v>70</v>
      </c>
      <c r="D75" t="s">
        <v>282</v>
      </c>
      <c r="E75" t="s">
        <v>263</v>
      </c>
      <c r="F75">
        <v>1545</v>
      </c>
      <c r="G75">
        <v>979192</v>
      </c>
      <c r="H75">
        <v>968701</v>
      </c>
      <c r="I75">
        <v>620090</v>
      </c>
      <c r="J75">
        <v>1436081</v>
      </c>
      <c r="K75">
        <v>794599</v>
      </c>
      <c r="L75">
        <v>1124208</v>
      </c>
    </row>
    <row r="76" spans="1:12" x14ac:dyDescent="0.35">
      <c r="A76">
        <v>2024</v>
      </c>
      <c r="B76">
        <v>7</v>
      </c>
      <c r="C76" t="s">
        <v>70</v>
      </c>
      <c r="D76" t="s">
        <v>282</v>
      </c>
      <c r="E76" t="s">
        <v>265</v>
      </c>
      <c r="F76">
        <v>939</v>
      </c>
      <c r="G76">
        <v>262056</v>
      </c>
      <c r="H76">
        <v>251690</v>
      </c>
      <c r="I76">
        <v>229743</v>
      </c>
      <c r="J76">
        <v>351628</v>
      </c>
      <c r="K76">
        <v>239743</v>
      </c>
      <c r="L76">
        <v>275248</v>
      </c>
    </row>
    <row r="77" spans="1:12" x14ac:dyDescent="0.35">
      <c r="A77">
        <v>2024</v>
      </c>
      <c r="B77">
        <v>7</v>
      </c>
      <c r="C77" t="s">
        <v>70</v>
      </c>
      <c r="D77" t="s">
        <v>282</v>
      </c>
      <c r="E77" t="s">
        <v>267</v>
      </c>
      <c r="F77">
        <v>59267</v>
      </c>
      <c r="G77">
        <v>409154</v>
      </c>
      <c r="H77">
        <v>410040</v>
      </c>
      <c r="I77">
        <v>259793</v>
      </c>
      <c r="J77">
        <v>584648</v>
      </c>
      <c r="K77">
        <v>328942</v>
      </c>
      <c r="L77">
        <v>467023</v>
      </c>
    </row>
    <row r="78" spans="1:12" x14ac:dyDescent="0.35">
      <c r="A78">
        <v>2024</v>
      </c>
      <c r="B78">
        <v>7</v>
      </c>
      <c r="C78" t="s">
        <v>70</v>
      </c>
      <c r="D78" t="s">
        <v>282</v>
      </c>
      <c r="E78" t="s">
        <v>269</v>
      </c>
      <c r="F78">
        <v>5309</v>
      </c>
      <c r="G78">
        <v>233512</v>
      </c>
      <c r="H78">
        <v>231553</v>
      </c>
      <c r="I78">
        <v>203153</v>
      </c>
      <c r="J78">
        <v>287748</v>
      </c>
      <c r="K78">
        <v>218684</v>
      </c>
      <c r="L78">
        <v>246553</v>
      </c>
    </row>
    <row r="79" spans="1:12" x14ac:dyDescent="0.35">
      <c r="A79">
        <v>2024</v>
      </c>
      <c r="B79">
        <v>7</v>
      </c>
      <c r="C79" t="s">
        <v>70</v>
      </c>
      <c r="D79" t="s">
        <v>282</v>
      </c>
      <c r="E79" t="s">
        <v>271</v>
      </c>
      <c r="F79">
        <v>3932</v>
      </c>
      <c r="G79">
        <v>246971</v>
      </c>
      <c r="H79">
        <v>245210</v>
      </c>
      <c r="I79">
        <v>207526</v>
      </c>
      <c r="J79">
        <v>290297</v>
      </c>
      <c r="K79">
        <v>230210</v>
      </c>
      <c r="L79">
        <v>262661</v>
      </c>
    </row>
    <row r="80" spans="1:12" x14ac:dyDescent="0.35">
      <c r="A80">
        <v>2024</v>
      </c>
      <c r="B80">
        <v>7</v>
      </c>
      <c r="C80" t="s">
        <v>70</v>
      </c>
      <c r="D80" t="s">
        <v>282</v>
      </c>
      <c r="E80" t="s">
        <v>273</v>
      </c>
      <c r="F80">
        <v>21903</v>
      </c>
      <c r="G80">
        <v>297410</v>
      </c>
      <c r="H80">
        <v>291640</v>
      </c>
      <c r="I80">
        <v>210212</v>
      </c>
      <c r="J80">
        <v>380366</v>
      </c>
      <c r="K80">
        <v>274276</v>
      </c>
      <c r="L80">
        <v>328155</v>
      </c>
    </row>
    <row r="81" spans="1:12" x14ac:dyDescent="0.35">
      <c r="A81">
        <v>2024</v>
      </c>
      <c r="B81">
        <v>7</v>
      </c>
      <c r="C81" t="s">
        <v>70</v>
      </c>
      <c r="D81" t="s">
        <v>282</v>
      </c>
      <c r="E81" t="s">
        <v>275</v>
      </c>
      <c r="F81">
        <v>3614</v>
      </c>
      <c r="G81">
        <v>218955</v>
      </c>
      <c r="H81">
        <v>218450</v>
      </c>
      <c r="I81">
        <v>191418</v>
      </c>
      <c r="J81">
        <v>258266</v>
      </c>
      <c r="K81">
        <v>206602</v>
      </c>
      <c r="L81">
        <v>231602</v>
      </c>
    </row>
    <row r="82" spans="1:12" x14ac:dyDescent="0.35">
      <c r="A82">
        <v>2024</v>
      </c>
      <c r="B82">
        <v>8</v>
      </c>
      <c r="C82" t="s">
        <v>71</v>
      </c>
      <c r="D82" t="s">
        <v>282</v>
      </c>
      <c r="E82" t="s">
        <v>255</v>
      </c>
      <c r="F82">
        <v>30007</v>
      </c>
      <c r="G82">
        <v>491245</v>
      </c>
      <c r="H82">
        <v>462995</v>
      </c>
      <c r="I82">
        <v>297836</v>
      </c>
      <c r="J82">
        <v>796187</v>
      </c>
      <c r="K82">
        <v>413883</v>
      </c>
      <c r="L82">
        <v>570015</v>
      </c>
    </row>
    <row r="83" spans="1:12" x14ac:dyDescent="0.35">
      <c r="A83">
        <v>2024</v>
      </c>
      <c r="B83">
        <v>8</v>
      </c>
      <c r="C83" t="s">
        <v>71</v>
      </c>
      <c r="D83" t="s">
        <v>282</v>
      </c>
      <c r="E83" t="s">
        <v>257</v>
      </c>
      <c r="F83">
        <v>24119</v>
      </c>
      <c r="G83">
        <v>571048</v>
      </c>
      <c r="H83">
        <v>551641</v>
      </c>
      <c r="I83">
        <v>325286</v>
      </c>
      <c r="J83">
        <v>1089749</v>
      </c>
      <c r="K83">
        <v>460544</v>
      </c>
      <c r="L83">
        <v>655794</v>
      </c>
    </row>
    <row r="84" spans="1:12" x14ac:dyDescent="0.35">
      <c r="A84">
        <v>2024</v>
      </c>
      <c r="B84">
        <v>8</v>
      </c>
      <c r="C84" t="s">
        <v>71</v>
      </c>
      <c r="D84" t="s">
        <v>282</v>
      </c>
      <c r="E84" t="s">
        <v>259</v>
      </c>
      <c r="F84">
        <v>13098</v>
      </c>
      <c r="G84">
        <v>744733</v>
      </c>
      <c r="H84">
        <v>708933</v>
      </c>
      <c r="I84">
        <v>384768</v>
      </c>
      <c r="J84">
        <v>1161483</v>
      </c>
      <c r="K84">
        <v>673058</v>
      </c>
      <c r="L84">
        <v>835719</v>
      </c>
    </row>
    <row r="85" spans="1:12" x14ac:dyDescent="0.35">
      <c r="A85">
        <v>2024</v>
      </c>
      <c r="B85">
        <v>8</v>
      </c>
      <c r="C85" t="s">
        <v>71</v>
      </c>
      <c r="D85" t="s">
        <v>282</v>
      </c>
      <c r="E85" t="s">
        <v>261</v>
      </c>
      <c r="F85">
        <v>1956</v>
      </c>
      <c r="G85">
        <v>951599</v>
      </c>
      <c r="H85">
        <v>904500</v>
      </c>
      <c r="I85">
        <v>452677</v>
      </c>
      <c r="J85">
        <v>1424543</v>
      </c>
      <c r="K85">
        <v>743835</v>
      </c>
      <c r="L85">
        <v>1158628</v>
      </c>
    </row>
    <row r="86" spans="1:12" x14ac:dyDescent="0.35">
      <c r="A86">
        <v>2024</v>
      </c>
      <c r="B86">
        <v>8</v>
      </c>
      <c r="C86" t="s">
        <v>71</v>
      </c>
      <c r="D86" t="s">
        <v>282</v>
      </c>
      <c r="E86" t="s">
        <v>263</v>
      </c>
      <c r="F86">
        <v>1552</v>
      </c>
      <c r="G86">
        <v>984813</v>
      </c>
      <c r="H86">
        <v>968703</v>
      </c>
      <c r="I86">
        <v>630977</v>
      </c>
      <c r="J86">
        <v>1514138</v>
      </c>
      <c r="K86">
        <v>794599</v>
      </c>
      <c r="L86">
        <v>1166708</v>
      </c>
    </row>
    <row r="87" spans="1:12" x14ac:dyDescent="0.35">
      <c r="A87">
        <v>2024</v>
      </c>
      <c r="B87">
        <v>8</v>
      </c>
      <c r="C87" t="s">
        <v>71</v>
      </c>
      <c r="D87" t="s">
        <v>282</v>
      </c>
      <c r="E87" t="s">
        <v>265</v>
      </c>
      <c r="F87">
        <v>966</v>
      </c>
      <c r="G87">
        <v>262311</v>
      </c>
      <c r="H87">
        <v>250298</v>
      </c>
      <c r="I87">
        <v>229743</v>
      </c>
      <c r="J87">
        <v>353636</v>
      </c>
      <c r="K87">
        <v>239743</v>
      </c>
      <c r="L87">
        <v>273672</v>
      </c>
    </row>
    <row r="88" spans="1:12" x14ac:dyDescent="0.35">
      <c r="A88">
        <v>2024</v>
      </c>
      <c r="B88">
        <v>8</v>
      </c>
      <c r="C88" t="s">
        <v>71</v>
      </c>
      <c r="D88" t="s">
        <v>282</v>
      </c>
      <c r="E88" t="s">
        <v>267</v>
      </c>
      <c r="F88">
        <v>59651</v>
      </c>
      <c r="G88">
        <v>411304</v>
      </c>
      <c r="H88">
        <v>409904</v>
      </c>
      <c r="I88">
        <v>259793</v>
      </c>
      <c r="J88">
        <v>584648</v>
      </c>
      <c r="K88">
        <v>329917</v>
      </c>
      <c r="L88">
        <v>476604</v>
      </c>
    </row>
    <row r="89" spans="1:12" x14ac:dyDescent="0.35">
      <c r="A89">
        <v>2024</v>
      </c>
      <c r="B89">
        <v>8</v>
      </c>
      <c r="C89" t="s">
        <v>71</v>
      </c>
      <c r="D89" t="s">
        <v>282</v>
      </c>
      <c r="E89" t="s">
        <v>269</v>
      </c>
      <c r="F89">
        <v>5294</v>
      </c>
      <c r="G89">
        <v>233842</v>
      </c>
      <c r="H89">
        <v>232292</v>
      </c>
      <c r="I89">
        <v>203500</v>
      </c>
      <c r="J89">
        <v>287748</v>
      </c>
      <c r="K89">
        <v>218684</v>
      </c>
      <c r="L89">
        <v>248265</v>
      </c>
    </row>
    <row r="90" spans="1:12" x14ac:dyDescent="0.35">
      <c r="A90">
        <v>2024</v>
      </c>
      <c r="B90">
        <v>8</v>
      </c>
      <c r="C90" t="s">
        <v>71</v>
      </c>
      <c r="D90" t="s">
        <v>282</v>
      </c>
      <c r="E90" t="s">
        <v>271</v>
      </c>
      <c r="F90">
        <v>3895</v>
      </c>
      <c r="G90">
        <v>247921</v>
      </c>
      <c r="H90">
        <v>245716</v>
      </c>
      <c r="I90">
        <v>206942</v>
      </c>
      <c r="J90">
        <v>290298</v>
      </c>
      <c r="K90">
        <v>230210</v>
      </c>
      <c r="L90">
        <v>262797</v>
      </c>
    </row>
    <row r="91" spans="1:12" x14ac:dyDescent="0.35">
      <c r="A91">
        <v>2024</v>
      </c>
      <c r="B91">
        <v>8</v>
      </c>
      <c r="C91" t="s">
        <v>71</v>
      </c>
      <c r="D91" t="s">
        <v>282</v>
      </c>
      <c r="E91" t="s">
        <v>273</v>
      </c>
      <c r="F91">
        <v>21818</v>
      </c>
      <c r="G91">
        <v>297373</v>
      </c>
      <c r="H91">
        <v>291172</v>
      </c>
      <c r="I91">
        <v>210212</v>
      </c>
      <c r="J91">
        <v>380538</v>
      </c>
      <c r="K91">
        <v>274276</v>
      </c>
      <c r="L91">
        <v>328155</v>
      </c>
    </row>
    <row r="92" spans="1:12" x14ac:dyDescent="0.35">
      <c r="A92">
        <v>2024</v>
      </c>
      <c r="B92">
        <v>8</v>
      </c>
      <c r="C92" t="s">
        <v>71</v>
      </c>
      <c r="D92" t="s">
        <v>282</v>
      </c>
      <c r="E92" t="s">
        <v>275</v>
      </c>
      <c r="F92">
        <v>3648</v>
      </c>
      <c r="G92">
        <v>219096</v>
      </c>
      <c r="H92">
        <v>218567</v>
      </c>
      <c r="I92">
        <v>191418</v>
      </c>
      <c r="J92">
        <v>258266</v>
      </c>
      <c r="K92">
        <v>206787</v>
      </c>
      <c r="L92">
        <v>231602</v>
      </c>
    </row>
    <row r="93" spans="1:12" x14ac:dyDescent="0.35">
      <c r="A93">
        <v>2024</v>
      </c>
      <c r="B93">
        <v>9</v>
      </c>
      <c r="C93" t="s">
        <v>72</v>
      </c>
      <c r="D93" t="s">
        <v>282</v>
      </c>
      <c r="E93" t="s">
        <v>255</v>
      </c>
      <c r="F93">
        <v>30168</v>
      </c>
      <c r="G93">
        <v>490828</v>
      </c>
      <c r="H93">
        <v>461838</v>
      </c>
      <c r="I93">
        <v>297836</v>
      </c>
      <c r="J93">
        <v>797766</v>
      </c>
      <c r="K93">
        <v>413883</v>
      </c>
      <c r="L93">
        <v>567515</v>
      </c>
    </row>
    <row r="94" spans="1:12" x14ac:dyDescent="0.35">
      <c r="A94">
        <v>2024</v>
      </c>
      <c r="B94">
        <v>9</v>
      </c>
      <c r="C94" t="s">
        <v>72</v>
      </c>
      <c r="D94" t="s">
        <v>282</v>
      </c>
      <c r="E94" t="s">
        <v>257</v>
      </c>
      <c r="F94">
        <v>24331</v>
      </c>
      <c r="G94">
        <v>569733</v>
      </c>
      <c r="H94">
        <v>551641</v>
      </c>
      <c r="I94">
        <v>325286</v>
      </c>
      <c r="J94">
        <v>1074108</v>
      </c>
      <c r="K94">
        <v>459573</v>
      </c>
      <c r="L94">
        <v>660792</v>
      </c>
    </row>
    <row r="95" spans="1:12" x14ac:dyDescent="0.35">
      <c r="A95">
        <v>2024</v>
      </c>
      <c r="B95">
        <v>9</v>
      </c>
      <c r="C95" t="s">
        <v>72</v>
      </c>
      <c r="D95" t="s">
        <v>282</v>
      </c>
      <c r="E95" t="s">
        <v>259</v>
      </c>
      <c r="F95">
        <v>13160</v>
      </c>
      <c r="G95">
        <v>741987</v>
      </c>
      <c r="H95">
        <v>707824</v>
      </c>
      <c r="I95">
        <v>384768</v>
      </c>
      <c r="J95">
        <v>1144330</v>
      </c>
      <c r="K95">
        <v>674955</v>
      </c>
      <c r="L95">
        <v>835719</v>
      </c>
    </row>
    <row r="96" spans="1:12" x14ac:dyDescent="0.35">
      <c r="A96">
        <v>2024</v>
      </c>
      <c r="B96">
        <v>9</v>
      </c>
      <c r="C96" t="s">
        <v>72</v>
      </c>
      <c r="D96" t="s">
        <v>282</v>
      </c>
      <c r="E96" t="s">
        <v>261</v>
      </c>
      <c r="F96">
        <v>1953</v>
      </c>
      <c r="G96">
        <v>938675</v>
      </c>
      <c r="H96">
        <v>904500</v>
      </c>
      <c r="I96">
        <v>452677</v>
      </c>
      <c r="J96">
        <v>1362670</v>
      </c>
      <c r="K96">
        <v>743835</v>
      </c>
      <c r="L96">
        <v>1146128</v>
      </c>
    </row>
    <row r="97" spans="1:12" x14ac:dyDescent="0.35">
      <c r="A97">
        <v>2024</v>
      </c>
      <c r="B97">
        <v>9</v>
      </c>
      <c r="C97" t="s">
        <v>72</v>
      </c>
      <c r="D97" t="s">
        <v>282</v>
      </c>
      <c r="E97" t="s">
        <v>263</v>
      </c>
      <c r="F97">
        <v>1560</v>
      </c>
      <c r="G97">
        <v>982364</v>
      </c>
      <c r="H97">
        <v>968703</v>
      </c>
      <c r="I97">
        <v>630977</v>
      </c>
      <c r="J97">
        <v>1436081</v>
      </c>
      <c r="K97">
        <v>788835</v>
      </c>
      <c r="L97">
        <v>1139208</v>
      </c>
    </row>
    <row r="98" spans="1:12" x14ac:dyDescent="0.35">
      <c r="A98">
        <v>2024</v>
      </c>
      <c r="B98">
        <v>9</v>
      </c>
      <c r="C98" t="s">
        <v>72</v>
      </c>
      <c r="D98" t="s">
        <v>282</v>
      </c>
      <c r="E98" t="s">
        <v>265</v>
      </c>
      <c r="F98">
        <v>993</v>
      </c>
      <c r="G98">
        <v>261132</v>
      </c>
      <c r="H98">
        <v>249743</v>
      </c>
      <c r="I98">
        <v>229743</v>
      </c>
      <c r="J98">
        <v>351628</v>
      </c>
      <c r="K98">
        <v>239190</v>
      </c>
      <c r="L98">
        <v>272797</v>
      </c>
    </row>
    <row r="99" spans="1:12" x14ac:dyDescent="0.35">
      <c r="A99">
        <v>2024</v>
      </c>
      <c r="B99">
        <v>9</v>
      </c>
      <c r="C99" t="s">
        <v>72</v>
      </c>
      <c r="D99" t="s">
        <v>282</v>
      </c>
      <c r="E99" t="s">
        <v>267</v>
      </c>
      <c r="F99">
        <v>59926</v>
      </c>
      <c r="G99">
        <v>408944</v>
      </c>
      <c r="H99">
        <v>409719</v>
      </c>
      <c r="I99">
        <v>259793</v>
      </c>
      <c r="J99">
        <v>584648</v>
      </c>
      <c r="K99">
        <v>328942</v>
      </c>
      <c r="L99">
        <v>468044</v>
      </c>
    </row>
    <row r="100" spans="1:12" x14ac:dyDescent="0.35">
      <c r="A100">
        <v>2024</v>
      </c>
      <c r="B100">
        <v>9</v>
      </c>
      <c r="C100" t="s">
        <v>72</v>
      </c>
      <c r="D100" t="s">
        <v>282</v>
      </c>
      <c r="E100" t="s">
        <v>269</v>
      </c>
      <c r="F100">
        <v>5316</v>
      </c>
      <c r="G100">
        <v>233381</v>
      </c>
      <c r="H100">
        <v>231368</v>
      </c>
      <c r="I100">
        <v>203500</v>
      </c>
      <c r="J100">
        <v>288720</v>
      </c>
      <c r="K100">
        <v>218500</v>
      </c>
      <c r="L100">
        <v>246873</v>
      </c>
    </row>
    <row r="101" spans="1:12" x14ac:dyDescent="0.35">
      <c r="A101">
        <v>2024</v>
      </c>
      <c r="B101">
        <v>9</v>
      </c>
      <c r="C101" t="s">
        <v>72</v>
      </c>
      <c r="D101" t="s">
        <v>282</v>
      </c>
      <c r="E101" t="s">
        <v>271</v>
      </c>
      <c r="F101">
        <v>3929</v>
      </c>
      <c r="G101">
        <v>243883</v>
      </c>
      <c r="H101">
        <v>241824</v>
      </c>
      <c r="I101">
        <v>207526</v>
      </c>
      <c r="J101">
        <v>290297</v>
      </c>
      <c r="K101">
        <v>227661</v>
      </c>
      <c r="L101">
        <v>260161</v>
      </c>
    </row>
    <row r="102" spans="1:12" x14ac:dyDescent="0.35">
      <c r="A102">
        <v>2024</v>
      </c>
      <c r="B102">
        <v>9</v>
      </c>
      <c r="C102" t="s">
        <v>72</v>
      </c>
      <c r="D102" t="s">
        <v>282</v>
      </c>
      <c r="E102" t="s">
        <v>273</v>
      </c>
      <c r="F102">
        <v>22009</v>
      </c>
      <c r="G102">
        <v>297163</v>
      </c>
      <c r="H102">
        <v>291172</v>
      </c>
      <c r="I102">
        <v>210212</v>
      </c>
      <c r="J102">
        <v>380002</v>
      </c>
      <c r="K102">
        <v>274276</v>
      </c>
      <c r="L102">
        <v>327181</v>
      </c>
    </row>
    <row r="103" spans="1:12" x14ac:dyDescent="0.35">
      <c r="A103">
        <v>2024</v>
      </c>
      <c r="B103">
        <v>9</v>
      </c>
      <c r="C103" t="s">
        <v>72</v>
      </c>
      <c r="D103" t="s">
        <v>282</v>
      </c>
      <c r="E103" t="s">
        <v>275</v>
      </c>
      <c r="F103">
        <v>3737</v>
      </c>
      <c r="G103">
        <v>218736</v>
      </c>
      <c r="H103">
        <v>217895</v>
      </c>
      <c r="I103">
        <v>191418</v>
      </c>
      <c r="J103">
        <v>258266</v>
      </c>
      <c r="K103">
        <v>206418</v>
      </c>
      <c r="L103">
        <v>231503</v>
      </c>
    </row>
    <row r="104" spans="1:12" x14ac:dyDescent="0.35">
      <c r="A104">
        <v>2024</v>
      </c>
      <c r="B104">
        <v>10</v>
      </c>
      <c r="C104" t="s">
        <v>73</v>
      </c>
      <c r="D104" t="s">
        <v>282</v>
      </c>
      <c r="E104" t="s">
        <v>255</v>
      </c>
      <c r="F104">
        <v>30395</v>
      </c>
      <c r="G104">
        <v>490741</v>
      </c>
      <c r="H104">
        <v>461838</v>
      </c>
      <c r="I104">
        <v>297836</v>
      </c>
      <c r="J104">
        <v>796187</v>
      </c>
      <c r="K104">
        <v>413883</v>
      </c>
      <c r="L104">
        <v>567467</v>
      </c>
    </row>
    <row r="105" spans="1:12" x14ac:dyDescent="0.35">
      <c r="A105">
        <v>2024</v>
      </c>
      <c r="B105">
        <v>10</v>
      </c>
      <c r="C105" t="s">
        <v>73</v>
      </c>
      <c r="D105" t="s">
        <v>282</v>
      </c>
      <c r="E105" t="s">
        <v>257</v>
      </c>
      <c r="F105">
        <v>24498</v>
      </c>
      <c r="G105">
        <v>569163</v>
      </c>
      <c r="H105">
        <v>551641</v>
      </c>
      <c r="I105">
        <v>325286</v>
      </c>
      <c r="J105">
        <v>1076888</v>
      </c>
      <c r="K105">
        <v>459573</v>
      </c>
      <c r="L105">
        <v>660423</v>
      </c>
    </row>
    <row r="106" spans="1:12" x14ac:dyDescent="0.35">
      <c r="A106">
        <v>2024</v>
      </c>
      <c r="B106">
        <v>10</v>
      </c>
      <c r="C106" t="s">
        <v>73</v>
      </c>
      <c r="D106" t="s">
        <v>282</v>
      </c>
      <c r="E106" t="s">
        <v>259</v>
      </c>
      <c r="F106">
        <v>13174</v>
      </c>
      <c r="G106">
        <v>741434</v>
      </c>
      <c r="H106">
        <v>706433</v>
      </c>
      <c r="I106">
        <v>384768</v>
      </c>
      <c r="J106">
        <v>1144330</v>
      </c>
      <c r="K106">
        <v>673058</v>
      </c>
      <c r="L106">
        <v>835719</v>
      </c>
    </row>
    <row r="107" spans="1:12" x14ac:dyDescent="0.35">
      <c r="A107">
        <v>2024</v>
      </c>
      <c r="B107">
        <v>10</v>
      </c>
      <c r="C107" t="s">
        <v>73</v>
      </c>
      <c r="D107" t="s">
        <v>282</v>
      </c>
      <c r="E107" t="s">
        <v>261</v>
      </c>
      <c r="F107">
        <v>1999</v>
      </c>
      <c r="G107">
        <v>936777</v>
      </c>
      <c r="H107">
        <v>904500</v>
      </c>
      <c r="I107">
        <v>476050</v>
      </c>
      <c r="J107">
        <v>1362670</v>
      </c>
      <c r="K107">
        <v>747997</v>
      </c>
      <c r="L107">
        <v>1144465</v>
      </c>
    </row>
    <row r="108" spans="1:12" x14ac:dyDescent="0.35">
      <c r="A108">
        <v>2024</v>
      </c>
      <c r="B108">
        <v>10</v>
      </c>
      <c r="C108" t="s">
        <v>73</v>
      </c>
      <c r="D108" t="s">
        <v>282</v>
      </c>
      <c r="E108" t="s">
        <v>263</v>
      </c>
      <c r="F108">
        <v>1589</v>
      </c>
      <c r="G108">
        <v>980730</v>
      </c>
      <c r="H108">
        <v>968701</v>
      </c>
      <c r="I108">
        <v>630977</v>
      </c>
      <c r="J108">
        <v>1476407</v>
      </c>
      <c r="K108">
        <v>772099</v>
      </c>
      <c r="L108">
        <v>1131708</v>
      </c>
    </row>
    <row r="109" spans="1:12" x14ac:dyDescent="0.35">
      <c r="A109">
        <v>2024</v>
      </c>
      <c r="B109">
        <v>10</v>
      </c>
      <c r="C109" t="s">
        <v>73</v>
      </c>
      <c r="D109" t="s">
        <v>282</v>
      </c>
      <c r="E109" t="s">
        <v>265</v>
      </c>
      <c r="F109">
        <v>1010</v>
      </c>
      <c r="G109">
        <v>260612</v>
      </c>
      <c r="H109">
        <v>249743</v>
      </c>
      <c r="I109">
        <v>229743</v>
      </c>
      <c r="J109">
        <v>348389</v>
      </c>
      <c r="K109">
        <v>239190</v>
      </c>
      <c r="L109">
        <v>270297</v>
      </c>
    </row>
    <row r="110" spans="1:12" x14ac:dyDescent="0.35">
      <c r="A110">
        <v>2024</v>
      </c>
      <c r="B110">
        <v>10</v>
      </c>
      <c r="C110" t="s">
        <v>73</v>
      </c>
      <c r="D110" t="s">
        <v>282</v>
      </c>
      <c r="E110" t="s">
        <v>267</v>
      </c>
      <c r="F110">
        <v>59688</v>
      </c>
      <c r="G110">
        <v>410204</v>
      </c>
      <c r="H110">
        <v>412540</v>
      </c>
      <c r="I110">
        <v>259793</v>
      </c>
      <c r="J110">
        <v>584648</v>
      </c>
      <c r="K110">
        <v>328019</v>
      </c>
      <c r="L110">
        <v>469523</v>
      </c>
    </row>
    <row r="111" spans="1:12" x14ac:dyDescent="0.35">
      <c r="A111">
        <v>2024</v>
      </c>
      <c r="B111">
        <v>10</v>
      </c>
      <c r="C111" t="s">
        <v>73</v>
      </c>
      <c r="D111" t="s">
        <v>282</v>
      </c>
      <c r="E111" t="s">
        <v>269</v>
      </c>
      <c r="F111">
        <v>5341</v>
      </c>
      <c r="G111">
        <v>233303</v>
      </c>
      <c r="H111">
        <v>231184</v>
      </c>
      <c r="I111">
        <v>203500</v>
      </c>
      <c r="J111">
        <v>288720</v>
      </c>
      <c r="K111">
        <v>218500</v>
      </c>
      <c r="L111">
        <v>247292</v>
      </c>
    </row>
    <row r="112" spans="1:12" x14ac:dyDescent="0.35">
      <c r="A112">
        <v>2024</v>
      </c>
      <c r="B112">
        <v>10</v>
      </c>
      <c r="C112" t="s">
        <v>73</v>
      </c>
      <c r="D112" t="s">
        <v>282</v>
      </c>
      <c r="E112" t="s">
        <v>271</v>
      </c>
      <c r="F112">
        <v>3980</v>
      </c>
      <c r="G112">
        <v>243592</v>
      </c>
      <c r="H112">
        <v>240765</v>
      </c>
      <c r="I112">
        <v>207526</v>
      </c>
      <c r="J112">
        <v>290297</v>
      </c>
      <c r="K112">
        <v>227661</v>
      </c>
      <c r="L112">
        <v>259324</v>
      </c>
    </row>
    <row r="113" spans="1:12" x14ac:dyDescent="0.35">
      <c r="A113">
        <v>2024</v>
      </c>
      <c r="B113">
        <v>10</v>
      </c>
      <c r="C113" t="s">
        <v>73</v>
      </c>
      <c r="D113" t="s">
        <v>282</v>
      </c>
      <c r="E113" t="s">
        <v>273</v>
      </c>
      <c r="F113">
        <v>22829</v>
      </c>
      <c r="G113">
        <v>298015</v>
      </c>
      <c r="H113">
        <v>291725</v>
      </c>
      <c r="I113">
        <v>210212</v>
      </c>
      <c r="J113">
        <v>380002</v>
      </c>
      <c r="K113">
        <v>274276</v>
      </c>
      <c r="L113">
        <v>328389</v>
      </c>
    </row>
    <row r="114" spans="1:12" x14ac:dyDescent="0.35">
      <c r="A114">
        <v>2024</v>
      </c>
      <c r="B114">
        <v>10</v>
      </c>
      <c r="C114" t="s">
        <v>73</v>
      </c>
      <c r="D114" t="s">
        <v>282</v>
      </c>
      <c r="E114" t="s">
        <v>275</v>
      </c>
      <c r="F114">
        <v>3707</v>
      </c>
      <c r="G114">
        <v>218735</v>
      </c>
      <c r="H114">
        <v>217895</v>
      </c>
      <c r="I114">
        <v>191418</v>
      </c>
      <c r="J114">
        <v>258266</v>
      </c>
      <c r="K114">
        <v>206418</v>
      </c>
      <c r="L114">
        <v>231503</v>
      </c>
    </row>
    <row r="115" spans="1:12" x14ac:dyDescent="0.35">
      <c r="A115">
        <v>2024</v>
      </c>
      <c r="B115">
        <v>11</v>
      </c>
      <c r="C115" t="s">
        <v>74</v>
      </c>
      <c r="D115" t="s">
        <v>282</v>
      </c>
      <c r="E115" t="s">
        <v>255</v>
      </c>
      <c r="F115">
        <v>30627</v>
      </c>
      <c r="G115">
        <v>491978</v>
      </c>
      <c r="H115">
        <v>463044</v>
      </c>
      <c r="I115">
        <v>297836</v>
      </c>
      <c r="J115">
        <v>797766</v>
      </c>
      <c r="K115">
        <v>421333</v>
      </c>
      <c r="L115">
        <v>566222</v>
      </c>
    </row>
    <row r="116" spans="1:12" x14ac:dyDescent="0.35">
      <c r="A116">
        <v>2024</v>
      </c>
      <c r="B116">
        <v>11</v>
      </c>
      <c r="C116" t="s">
        <v>74</v>
      </c>
      <c r="D116" t="s">
        <v>282</v>
      </c>
      <c r="E116" t="s">
        <v>257</v>
      </c>
      <c r="F116">
        <v>24538</v>
      </c>
      <c r="G116">
        <v>570742</v>
      </c>
      <c r="H116">
        <v>551641</v>
      </c>
      <c r="I116">
        <v>325286</v>
      </c>
      <c r="J116">
        <v>1074108</v>
      </c>
      <c r="K116">
        <v>468550</v>
      </c>
      <c r="L116">
        <v>658564</v>
      </c>
    </row>
    <row r="117" spans="1:12" x14ac:dyDescent="0.35">
      <c r="A117">
        <v>2024</v>
      </c>
      <c r="B117">
        <v>11</v>
      </c>
      <c r="C117" t="s">
        <v>74</v>
      </c>
      <c r="D117" t="s">
        <v>282</v>
      </c>
      <c r="E117" t="s">
        <v>259</v>
      </c>
      <c r="F117">
        <v>13184</v>
      </c>
      <c r="G117">
        <v>741409</v>
      </c>
      <c r="H117">
        <v>706433</v>
      </c>
      <c r="I117">
        <v>399768</v>
      </c>
      <c r="J117">
        <v>1144330</v>
      </c>
      <c r="K117">
        <v>673058</v>
      </c>
      <c r="L117">
        <v>835719</v>
      </c>
    </row>
    <row r="118" spans="1:12" x14ac:dyDescent="0.35">
      <c r="A118">
        <v>2024</v>
      </c>
      <c r="B118">
        <v>11</v>
      </c>
      <c r="C118" t="s">
        <v>74</v>
      </c>
      <c r="D118" t="s">
        <v>282</v>
      </c>
      <c r="E118" t="s">
        <v>261</v>
      </c>
      <c r="F118">
        <v>2050</v>
      </c>
      <c r="G118">
        <v>930531</v>
      </c>
      <c r="H118">
        <v>902000</v>
      </c>
      <c r="I118">
        <v>450544</v>
      </c>
      <c r="J118">
        <v>1362670</v>
      </c>
      <c r="K118">
        <v>738835</v>
      </c>
      <c r="L118">
        <v>1143628</v>
      </c>
    </row>
    <row r="119" spans="1:12" x14ac:dyDescent="0.35">
      <c r="A119">
        <v>2024</v>
      </c>
      <c r="B119">
        <v>11</v>
      </c>
      <c r="C119" t="s">
        <v>74</v>
      </c>
      <c r="D119" t="s">
        <v>282</v>
      </c>
      <c r="E119" t="s">
        <v>263</v>
      </c>
      <c r="F119">
        <v>1600</v>
      </c>
      <c r="G119">
        <v>977519</v>
      </c>
      <c r="H119">
        <v>967101</v>
      </c>
      <c r="I119">
        <v>630977</v>
      </c>
      <c r="J119">
        <v>1436081</v>
      </c>
      <c r="K119">
        <v>771189</v>
      </c>
      <c r="L119">
        <v>1116708</v>
      </c>
    </row>
    <row r="120" spans="1:12" x14ac:dyDescent="0.35">
      <c r="A120">
        <v>2024</v>
      </c>
      <c r="B120">
        <v>11</v>
      </c>
      <c r="C120" t="s">
        <v>74</v>
      </c>
      <c r="D120" t="s">
        <v>282</v>
      </c>
      <c r="E120" t="s">
        <v>265</v>
      </c>
      <c r="F120">
        <v>1018</v>
      </c>
      <c r="G120">
        <v>260765</v>
      </c>
      <c r="H120">
        <v>249743</v>
      </c>
      <c r="I120">
        <v>229743</v>
      </c>
      <c r="J120">
        <v>348758</v>
      </c>
      <c r="K120">
        <v>239743</v>
      </c>
      <c r="L120">
        <v>270297</v>
      </c>
    </row>
    <row r="121" spans="1:12" x14ac:dyDescent="0.35">
      <c r="A121">
        <v>2024</v>
      </c>
      <c r="B121">
        <v>11</v>
      </c>
      <c r="C121" t="s">
        <v>74</v>
      </c>
      <c r="D121" t="s">
        <v>282</v>
      </c>
      <c r="E121" t="s">
        <v>267</v>
      </c>
      <c r="F121">
        <v>59410</v>
      </c>
      <c r="G121">
        <v>410289</v>
      </c>
      <c r="H121">
        <v>412540</v>
      </c>
      <c r="I121">
        <v>259793</v>
      </c>
      <c r="J121">
        <v>584647</v>
      </c>
      <c r="K121">
        <v>328019</v>
      </c>
      <c r="L121">
        <v>469523</v>
      </c>
    </row>
    <row r="122" spans="1:12" x14ac:dyDescent="0.35">
      <c r="A122">
        <v>2024</v>
      </c>
      <c r="B122">
        <v>11</v>
      </c>
      <c r="C122" t="s">
        <v>74</v>
      </c>
      <c r="D122" t="s">
        <v>282</v>
      </c>
      <c r="E122" t="s">
        <v>269</v>
      </c>
      <c r="F122">
        <v>5327</v>
      </c>
      <c r="G122">
        <v>233292</v>
      </c>
      <c r="H122">
        <v>231184</v>
      </c>
      <c r="I122">
        <v>203500</v>
      </c>
      <c r="J122">
        <v>288720</v>
      </c>
      <c r="K122">
        <v>218500</v>
      </c>
      <c r="L122">
        <v>247292</v>
      </c>
    </row>
    <row r="123" spans="1:12" x14ac:dyDescent="0.35">
      <c r="A123">
        <v>2024</v>
      </c>
      <c r="B123">
        <v>11</v>
      </c>
      <c r="C123" t="s">
        <v>74</v>
      </c>
      <c r="D123" t="s">
        <v>282</v>
      </c>
      <c r="E123" t="s">
        <v>271</v>
      </c>
      <c r="F123">
        <v>3983</v>
      </c>
      <c r="G123">
        <v>243582</v>
      </c>
      <c r="H123">
        <v>240765</v>
      </c>
      <c r="I123">
        <v>207526</v>
      </c>
      <c r="J123">
        <v>290297</v>
      </c>
      <c r="K123">
        <v>227661</v>
      </c>
      <c r="L123">
        <v>259324</v>
      </c>
    </row>
    <row r="124" spans="1:12" x14ac:dyDescent="0.35">
      <c r="A124">
        <v>2024</v>
      </c>
      <c r="B124">
        <v>11</v>
      </c>
      <c r="C124" t="s">
        <v>74</v>
      </c>
      <c r="D124" t="s">
        <v>282</v>
      </c>
      <c r="E124" t="s">
        <v>273</v>
      </c>
      <c r="F124">
        <v>23649</v>
      </c>
      <c r="G124">
        <v>298014</v>
      </c>
      <c r="H124">
        <v>291725</v>
      </c>
      <c r="I124">
        <v>210212</v>
      </c>
      <c r="J124">
        <v>380002</v>
      </c>
      <c r="K124">
        <v>276172</v>
      </c>
      <c r="L124">
        <v>326394</v>
      </c>
    </row>
    <row r="125" spans="1:12" x14ac:dyDescent="0.35">
      <c r="A125">
        <v>2024</v>
      </c>
      <c r="B125">
        <v>11</v>
      </c>
      <c r="C125" t="s">
        <v>74</v>
      </c>
      <c r="D125" t="s">
        <v>282</v>
      </c>
      <c r="E125" t="s">
        <v>275</v>
      </c>
      <c r="F125">
        <v>3702</v>
      </c>
      <c r="G125">
        <v>218849</v>
      </c>
      <c r="H125">
        <v>218313</v>
      </c>
      <c r="I125">
        <v>191418</v>
      </c>
      <c r="J125">
        <v>258266</v>
      </c>
      <c r="K125">
        <v>206418</v>
      </c>
      <c r="L125">
        <v>231503</v>
      </c>
    </row>
    <row r="126" spans="1:12" x14ac:dyDescent="0.35">
      <c r="A126">
        <v>2024</v>
      </c>
      <c r="B126">
        <v>12</v>
      </c>
      <c r="C126" t="s">
        <v>75</v>
      </c>
      <c r="D126" t="s">
        <v>282</v>
      </c>
      <c r="E126" t="s">
        <v>255</v>
      </c>
      <c r="F126">
        <v>30592</v>
      </c>
      <c r="G126">
        <v>491249</v>
      </c>
      <c r="H126">
        <v>461838</v>
      </c>
      <c r="I126">
        <v>297836</v>
      </c>
      <c r="J126">
        <v>796187</v>
      </c>
      <c r="K126">
        <v>421333</v>
      </c>
      <c r="L126">
        <v>564967</v>
      </c>
    </row>
    <row r="127" spans="1:12" x14ac:dyDescent="0.35">
      <c r="A127">
        <v>2024</v>
      </c>
      <c r="B127">
        <v>12</v>
      </c>
      <c r="C127" t="s">
        <v>75</v>
      </c>
      <c r="D127" t="s">
        <v>282</v>
      </c>
      <c r="E127" t="s">
        <v>257</v>
      </c>
      <c r="F127">
        <v>24557</v>
      </c>
      <c r="G127">
        <v>570533</v>
      </c>
      <c r="H127">
        <v>551641</v>
      </c>
      <c r="I127">
        <v>325286</v>
      </c>
      <c r="J127">
        <v>1074108</v>
      </c>
      <c r="K127">
        <v>468550</v>
      </c>
      <c r="L127">
        <v>658564</v>
      </c>
    </row>
    <row r="128" spans="1:12" x14ac:dyDescent="0.35">
      <c r="A128">
        <v>2024</v>
      </c>
      <c r="B128">
        <v>12</v>
      </c>
      <c r="C128" t="s">
        <v>75</v>
      </c>
      <c r="D128" t="s">
        <v>282</v>
      </c>
      <c r="E128" t="s">
        <v>259</v>
      </c>
      <c r="F128">
        <v>13195</v>
      </c>
      <c r="G128">
        <v>740822</v>
      </c>
      <c r="H128">
        <v>704955</v>
      </c>
      <c r="I128">
        <v>399768</v>
      </c>
      <c r="J128">
        <v>1144330</v>
      </c>
      <c r="K128">
        <v>672737</v>
      </c>
      <c r="L128">
        <v>833221</v>
      </c>
    </row>
    <row r="129" spans="1:12" x14ac:dyDescent="0.35">
      <c r="A129">
        <v>2024</v>
      </c>
      <c r="B129">
        <v>12</v>
      </c>
      <c r="C129" t="s">
        <v>75</v>
      </c>
      <c r="D129" t="s">
        <v>282</v>
      </c>
      <c r="E129" t="s">
        <v>261</v>
      </c>
      <c r="F129">
        <v>2052</v>
      </c>
      <c r="G129">
        <v>929809</v>
      </c>
      <c r="H129">
        <v>902000</v>
      </c>
      <c r="I129">
        <v>450544</v>
      </c>
      <c r="J129">
        <v>1362670</v>
      </c>
      <c r="K129">
        <v>738835</v>
      </c>
      <c r="L129">
        <v>1142201</v>
      </c>
    </row>
    <row r="130" spans="1:12" x14ac:dyDescent="0.35">
      <c r="A130">
        <v>2024</v>
      </c>
      <c r="B130">
        <v>12</v>
      </c>
      <c r="C130" t="s">
        <v>75</v>
      </c>
      <c r="D130" t="s">
        <v>282</v>
      </c>
      <c r="E130" t="s">
        <v>263</v>
      </c>
      <c r="F130">
        <v>1604</v>
      </c>
      <c r="G130">
        <v>978785</v>
      </c>
      <c r="H130">
        <v>967101</v>
      </c>
      <c r="I130">
        <v>630977</v>
      </c>
      <c r="J130">
        <v>1436081</v>
      </c>
      <c r="K130">
        <v>771853</v>
      </c>
      <c r="L130">
        <v>1131708</v>
      </c>
    </row>
    <row r="131" spans="1:12" x14ac:dyDescent="0.35">
      <c r="A131">
        <v>2024</v>
      </c>
      <c r="B131">
        <v>12</v>
      </c>
      <c r="C131" t="s">
        <v>75</v>
      </c>
      <c r="D131" t="s">
        <v>282</v>
      </c>
      <c r="E131" t="s">
        <v>265</v>
      </c>
      <c r="F131">
        <v>1018</v>
      </c>
      <c r="G131">
        <v>260580</v>
      </c>
      <c r="H131">
        <v>249743</v>
      </c>
      <c r="I131">
        <v>229743</v>
      </c>
      <c r="J131">
        <v>348758</v>
      </c>
      <c r="K131">
        <v>239743</v>
      </c>
      <c r="L131">
        <v>270297</v>
      </c>
    </row>
    <row r="132" spans="1:12" x14ac:dyDescent="0.35">
      <c r="A132">
        <v>2024</v>
      </c>
      <c r="B132">
        <v>12</v>
      </c>
      <c r="C132" t="s">
        <v>75</v>
      </c>
      <c r="D132" t="s">
        <v>282</v>
      </c>
      <c r="E132" t="s">
        <v>267</v>
      </c>
      <c r="F132">
        <v>59410</v>
      </c>
      <c r="G132">
        <v>410238</v>
      </c>
      <c r="H132">
        <v>412540</v>
      </c>
      <c r="I132">
        <v>259793</v>
      </c>
      <c r="J132">
        <v>584647</v>
      </c>
      <c r="K132">
        <v>328019</v>
      </c>
      <c r="L132">
        <v>469523</v>
      </c>
    </row>
    <row r="133" spans="1:12" x14ac:dyDescent="0.35">
      <c r="A133">
        <v>2024</v>
      </c>
      <c r="B133">
        <v>12</v>
      </c>
      <c r="C133" t="s">
        <v>75</v>
      </c>
      <c r="D133" t="s">
        <v>282</v>
      </c>
      <c r="E133" t="s">
        <v>269</v>
      </c>
      <c r="F133">
        <v>5340</v>
      </c>
      <c r="G133">
        <v>233315</v>
      </c>
      <c r="H133">
        <v>231184</v>
      </c>
      <c r="I133">
        <v>203500</v>
      </c>
      <c r="J133">
        <v>288720</v>
      </c>
      <c r="K133">
        <v>218500</v>
      </c>
      <c r="L133">
        <v>247292</v>
      </c>
    </row>
    <row r="134" spans="1:12" x14ac:dyDescent="0.35">
      <c r="A134">
        <v>2024</v>
      </c>
      <c r="B134">
        <v>12</v>
      </c>
      <c r="C134" t="s">
        <v>75</v>
      </c>
      <c r="D134" t="s">
        <v>282</v>
      </c>
      <c r="E134" t="s">
        <v>271</v>
      </c>
      <c r="F134">
        <v>3981</v>
      </c>
      <c r="G134">
        <v>243575</v>
      </c>
      <c r="H134">
        <v>240765</v>
      </c>
      <c r="I134">
        <v>207526</v>
      </c>
      <c r="J134">
        <v>290297</v>
      </c>
      <c r="K134">
        <v>227661</v>
      </c>
      <c r="L134">
        <v>259324</v>
      </c>
    </row>
    <row r="135" spans="1:12" x14ac:dyDescent="0.35">
      <c r="A135">
        <v>2024</v>
      </c>
      <c r="B135">
        <v>12</v>
      </c>
      <c r="C135" t="s">
        <v>75</v>
      </c>
      <c r="D135" t="s">
        <v>282</v>
      </c>
      <c r="E135" t="s">
        <v>273</v>
      </c>
      <c r="F135">
        <v>23711</v>
      </c>
      <c r="G135">
        <v>298023</v>
      </c>
      <c r="H135">
        <v>291725</v>
      </c>
      <c r="I135">
        <v>210212</v>
      </c>
      <c r="J135">
        <v>380002</v>
      </c>
      <c r="K135">
        <v>276172</v>
      </c>
      <c r="L135">
        <v>326394</v>
      </c>
    </row>
    <row r="136" spans="1:12" x14ac:dyDescent="0.35">
      <c r="A136">
        <v>2024</v>
      </c>
      <c r="B136">
        <v>12</v>
      </c>
      <c r="C136" t="s">
        <v>75</v>
      </c>
      <c r="D136" t="s">
        <v>282</v>
      </c>
      <c r="E136" t="s">
        <v>275</v>
      </c>
      <c r="F136">
        <v>3712</v>
      </c>
      <c r="G136">
        <v>218844</v>
      </c>
      <c r="H136">
        <v>218313</v>
      </c>
      <c r="I136">
        <v>191418</v>
      </c>
      <c r="J136">
        <v>258266</v>
      </c>
      <c r="K136">
        <v>206418</v>
      </c>
      <c r="L136">
        <v>231319</v>
      </c>
    </row>
    <row r="137" spans="1:12" x14ac:dyDescent="0.35">
      <c r="A137">
        <v>2025</v>
      </c>
      <c r="B137">
        <v>1</v>
      </c>
      <c r="C137" t="s">
        <v>42</v>
      </c>
      <c r="D137" t="s">
        <v>282</v>
      </c>
      <c r="E137" t="s">
        <v>255</v>
      </c>
      <c r="F137">
        <v>29880</v>
      </c>
      <c r="G137">
        <v>493968</v>
      </c>
      <c r="H137">
        <v>469906</v>
      </c>
      <c r="I137">
        <v>297836</v>
      </c>
      <c r="J137">
        <v>797766</v>
      </c>
      <c r="K137">
        <v>431333</v>
      </c>
      <c r="L137">
        <v>563722</v>
      </c>
    </row>
    <row r="138" spans="1:12" x14ac:dyDescent="0.35">
      <c r="A138">
        <v>2025</v>
      </c>
      <c r="B138">
        <v>1</v>
      </c>
      <c r="C138" t="s">
        <v>42</v>
      </c>
      <c r="D138" t="s">
        <v>282</v>
      </c>
      <c r="E138" t="s">
        <v>257</v>
      </c>
      <c r="F138">
        <v>24434</v>
      </c>
      <c r="G138">
        <v>575641</v>
      </c>
      <c r="H138">
        <v>558304</v>
      </c>
      <c r="I138">
        <v>325286</v>
      </c>
      <c r="J138">
        <v>1074108</v>
      </c>
      <c r="K138">
        <v>480544</v>
      </c>
      <c r="L138">
        <v>663292</v>
      </c>
    </row>
    <row r="139" spans="1:12" x14ac:dyDescent="0.35">
      <c r="A139">
        <v>2025</v>
      </c>
      <c r="B139">
        <v>1</v>
      </c>
      <c r="C139" t="s">
        <v>42</v>
      </c>
      <c r="D139" t="s">
        <v>282</v>
      </c>
      <c r="E139" t="s">
        <v>259</v>
      </c>
      <c r="F139">
        <v>12735</v>
      </c>
      <c r="G139">
        <v>740997</v>
      </c>
      <c r="H139">
        <v>706433</v>
      </c>
      <c r="I139">
        <v>399768</v>
      </c>
      <c r="J139">
        <v>1144330</v>
      </c>
      <c r="K139">
        <v>674955</v>
      </c>
      <c r="L139">
        <v>833219</v>
      </c>
    </row>
    <row r="140" spans="1:12" x14ac:dyDescent="0.35">
      <c r="A140">
        <v>2025</v>
      </c>
      <c r="B140">
        <v>1</v>
      </c>
      <c r="C140" t="s">
        <v>42</v>
      </c>
      <c r="D140" t="s">
        <v>282</v>
      </c>
      <c r="E140" t="s">
        <v>261</v>
      </c>
      <c r="F140">
        <v>1990</v>
      </c>
      <c r="G140">
        <v>941480</v>
      </c>
      <c r="H140">
        <v>912000</v>
      </c>
      <c r="I140">
        <v>476050</v>
      </c>
      <c r="J140">
        <v>1362670</v>
      </c>
      <c r="K140">
        <v>738835</v>
      </c>
      <c r="L140">
        <v>1143628</v>
      </c>
    </row>
    <row r="141" spans="1:12" x14ac:dyDescent="0.35">
      <c r="A141">
        <v>2025</v>
      </c>
      <c r="B141">
        <v>1</v>
      </c>
      <c r="C141" t="s">
        <v>42</v>
      </c>
      <c r="D141" t="s">
        <v>282</v>
      </c>
      <c r="E141" t="s">
        <v>263</v>
      </c>
      <c r="F141">
        <v>1445</v>
      </c>
      <c r="G141">
        <v>977943</v>
      </c>
      <c r="H141">
        <v>967101</v>
      </c>
      <c r="I141">
        <v>630977</v>
      </c>
      <c r="J141">
        <v>1436081</v>
      </c>
      <c r="K141">
        <v>767908</v>
      </c>
      <c r="L141">
        <v>1166708</v>
      </c>
    </row>
    <row r="142" spans="1:12" x14ac:dyDescent="0.35">
      <c r="A142">
        <v>2025</v>
      </c>
      <c r="B142">
        <v>1</v>
      </c>
      <c r="C142" t="s">
        <v>42</v>
      </c>
      <c r="D142" t="s">
        <v>282</v>
      </c>
      <c r="E142" t="s">
        <v>265</v>
      </c>
      <c r="F142">
        <v>1029</v>
      </c>
      <c r="G142">
        <v>261137</v>
      </c>
      <c r="H142">
        <v>252243</v>
      </c>
      <c r="I142">
        <v>229743</v>
      </c>
      <c r="J142">
        <v>354128</v>
      </c>
      <c r="K142">
        <v>239743</v>
      </c>
      <c r="L142">
        <v>270297</v>
      </c>
    </row>
    <row r="143" spans="1:12" x14ac:dyDescent="0.35">
      <c r="A143">
        <v>2025</v>
      </c>
      <c r="B143">
        <v>1</v>
      </c>
      <c r="C143" t="s">
        <v>42</v>
      </c>
      <c r="D143" t="s">
        <v>282</v>
      </c>
      <c r="E143" t="s">
        <v>267</v>
      </c>
      <c r="F143">
        <v>58018</v>
      </c>
      <c r="G143">
        <v>409646</v>
      </c>
      <c r="H143">
        <v>417404</v>
      </c>
      <c r="I143">
        <v>259793</v>
      </c>
      <c r="J143">
        <v>584647</v>
      </c>
      <c r="K143">
        <v>326442</v>
      </c>
      <c r="L143">
        <v>464104</v>
      </c>
    </row>
    <row r="144" spans="1:12" x14ac:dyDescent="0.35">
      <c r="A144">
        <v>2025</v>
      </c>
      <c r="B144">
        <v>1</v>
      </c>
      <c r="C144" t="s">
        <v>42</v>
      </c>
      <c r="D144" t="s">
        <v>282</v>
      </c>
      <c r="E144" t="s">
        <v>269</v>
      </c>
      <c r="F144">
        <v>5308</v>
      </c>
      <c r="G144">
        <v>233734</v>
      </c>
      <c r="H144">
        <v>231368</v>
      </c>
      <c r="I144">
        <v>203153</v>
      </c>
      <c r="J144">
        <v>288720</v>
      </c>
      <c r="K144">
        <v>218684</v>
      </c>
      <c r="L144">
        <v>248450</v>
      </c>
    </row>
    <row r="145" spans="1:12" x14ac:dyDescent="0.35">
      <c r="A145">
        <v>2025</v>
      </c>
      <c r="B145">
        <v>1</v>
      </c>
      <c r="C145" t="s">
        <v>42</v>
      </c>
      <c r="D145" t="s">
        <v>282</v>
      </c>
      <c r="E145" t="s">
        <v>271</v>
      </c>
      <c r="F145">
        <v>3860</v>
      </c>
      <c r="G145">
        <v>245116</v>
      </c>
      <c r="H145">
        <v>243031</v>
      </c>
      <c r="I145">
        <v>207526</v>
      </c>
      <c r="J145">
        <v>290297</v>
      </c>
      <c r="K145">
        <v>227710</v>
      </c>
      <c r="L145">
        <v>261051</v>
      </c>
    </row>
    <row r="146" spans="1:12" x14ac:dyDescent="0.35">
      <c r="A146">
        <v>2025</v>
      </c>
      <c r="B146">
        <v>1</v>
      </c>
      <c r="C146" t="s">
        <v>42</v>
      </c>
      <c r="D146" t="s">
        <v>282</v>
      </c>
      <c r="E146" t="s">
        <v>273</v>
      </c>
      <c r="F146">
        <v>23784</v>
      </c>
      <c r="G146">
        <v>300670</v>
      </c>
      <c r="H146">
        <v>296288</v>
      </c>
      <c r="I146">
        <v>210212</v>
      </c>
      <c r="J146">
        <v>380002</v>
      </c>
      <c r="K146">
        <v>278069</v>
      </c>
      <c r="L146">
        <v>327181</v>
      </c>
    </row>
    <row r="147" spans="1:12" x14ac:dyDescent="0.35">
      <c r="A147">
        <v>2025</v>
      </c>
      <c r="B147">
        <v>1</v>
      </c>
      <c r="C147" t="s">
        <v>42</v>
      </c>
      <c r="D147" t="s">
        <v>282</v>
      </c>
      <c r="E147" t="s">
        <v>275</v>
      </c>
      <c r="F147">
        <v>3634</v>
      </c>
      <c r="G147">
        <v>218995</v>
      </c>
      <c r="H147">
        <v>218313</v>
      </c>
      <c r="I147">
        <v>191418</v>
      </c>
      <c r="J147">
        <v>258266</v>
      </c>
      <c r="K147">
        <v>206787</v>
      </c>
      <c r="L147">
        <v>231319</v>
      </c>
    </row>
    <row r="148" spans="1:12" x14ac:dyDescent="0.35">
      <c r="A148">
        <v>2025</v>
      </c>
      <c r="B148">
        <v>2</v>
      </c>
      <c r="C148" t="s">
        <v>63</v>
      </c>
      <c r="D148" t="s">
        <v>282</v>
      </c>
      <c r="E148" t="s">
        <v>255</v>
      </c>
      <c r="F148">
        <v>30013</v>
      </c>
      <c r="G148">
        <v>497323</v>
      </c>
      <c r="H148">
        <v>474883</v>
      </c>
      <c r="I148">
        <v>297836</v>
      </c>
      <c r="J148">
        <v>798872</v>
      </c>
      <c r="K148">
        <v>423833</v>
      </c>
      <c r="L148">
        <v>568722</v>
      </c>
    </row>
    <row r="149" spans="1:12" x14ac:dyDescent="0.35">
      <c r="A149">
        <v>2025</v>
      </c>
      <c r="B149">
        <v>2</v>
      </c>
      <c r="C149" t="s">
        <v>63</v>
      </c>
      <c r="D149" t="s">
        <v>282</v>
      </c>
      <c r="E149" t="s">
        <v>257</v>
      </c>
      <c r="F149">
        <v>24672</v>
      </c>
      <c r="G149">
        <v>583618</v>
      </c>
      <c r="H149">
        <v>589893</v>
      </c>
      <c r="I149">
        <v>325286</v>
      </c>
      <c r="J149">
        <v>1082572</v>
      </c>
      <c r="K149">
        <v>473550</v>
      </c>
      <c r="L149">
        <v>676524</v>
      </c>
    </row>
    <row r="150" spans="1:12" x14ac:dyDescent="0.35">
      <c r="A150">
        <v>2025</v>
      </c>
      <c r="B150">
        <v>2</v>
      </c>
      <c r="C150" t="s">
        <v>63</v>
      </c>
      <c r="D150" t="s">
        <v>282</v>
      </c>
      <c r="E150" t="s">
        <v>259</v>
      </c>
      <c r="F150">
        <v>12649</v>
      </c>
      <c r="G150">
        <v>758805</v>
      </c>
      <c r="H150">
        <v>732911</v>
      </c>
      <c r="I150">
        <v>429487</v>
      </c>
      <c r="J150">
        <v>1162297</v>
      </c>
      <c r="K150">
        <v>682455</v>
      </c>
      <c r="L150">
        <v>854668</v>
      </c>
    </row>
    <row r="151" spans="1:12" x14ac:dyDescent="0.35">
      <c r="A151">
        <v>2025</v>
      </c>
      <c r="B151">
        <v>2</v>
      </c>
      <c r="C151" t="s">
        <v>63</v>
      </c>
      <c r="D151" t="s">
        <v>282</v>
      </c>
      <c r="E151" t="s">
        <v>261</v>
      </c>
      <c r="F151">
        <v>2107</v>
      </c>
      <c r="G151">
        <v>942446</v>
      </c>
      <c r="H151">
        <v>945190</v>
      </c>
      <c r="I151">
        <v>450544</v>
      </c>
      <c r="J151">
        <v>1415417</v>
      </c>
      <c r="K151">
        <v>721465</v>
      </c>
      <c r="L151">
        <v>1151128</v>
      </c>
    </row>
    <row r="152" spans="1:12" x14ac:dyDescent="0.35">
      <c r="A152">
        <v>2025</v>
      </c>
      <c r="B152">
        <v>2</v>
      </c>
      <c r="C152" t="s">
        <v>63</v>
      </c>
      <c r="D152" t="s">
        <v>282</v>
      </c>
      <c r="E152" t="s">
        <v>263</v>
      </c>
      <c r="F152">
        <v>1542</v>
      </c>
      <c r="G152">
        <v>1010566</v>
      </c>
      <c r="H152">
        <v>1014082</v>
      </c>
      <c r="I152">
        <v>630977</v>
      </c>
      <c r="J152">
        <v>1528451</v>
      </c>
      <c r="K152">
        <v>779599</v>
      </c>
      <c r="L152">
        <v>1203739</v>
      </c>
    </row>
    <row r="153" spans="1:12" x14ac:dyDescent="0.35">
      <c r="A153">
        <v>2025</v>
      </c>
      <c r="B153">
        <v>2</v>
      </c>
      <c r="C153" t="s">
        <v>63</v>
      </c>
      <c r="D153" t="s">
        <v>282</v>
      </c>
      <c r="E153" t="s">
        <v>265</v>
      </c>
      <c r="F153">
        <v>1084</v>
      </c>
      <c r="G153">
        <v>259919</v>
      </c>
      <c r="H153">
        <v>249743</v>
      </c>
      <c r="I153">
        <v>229743</v>
      </c>
      <c r="J153">
        <v>354128</v>
      </c>
      <c r="K153">
        <v>239743</v>
      </c>
      <c r="L153">
        <v>269743</v>
      </c>
    </row>
    <row r="154" spans="1:12" x14ac:dyDescent="0.35">
      <c r="A154">
        <v>2025</v>
      </c>
      <c r="B154">
        <v>2</v>
      </c>
      <c r="C154" t="s">
        <v>63</v>
      </c>
      <c r="D154" t="s">
        <v>282</v>
      </c>
      <c r="E154" t="s">
        <v>267</v>
      </c>
      <c r="F154">
        <v>58807</v>
      </c>
      <c r="G154">
        <v>409576</v>
      </c>
      <c r="H154">
        <v>412540</v>
      </c>
      <c r="I154">
        <v>259793</v>
      </c>
      <c r="J154">
        <v>584647</v>
      </c>
      <c r="K154">
        <v>330752</v>
      </c>
      <c r="L154">
        <v>464526</v>
      </c>
    </row>
    <row r="155" spans="1:12" x14ac:dyDescent="0.35">
      <c r="A155">
        <v>2025</v>
      </c>
      <c r="B155">
        <v>2</v>
      </c>
      <c r="C155" t="s">
        <v>63</v>
      </c>
      <c r="D155" t="s">
        <v>282</v>
      </c>
      <c r="E155" t="s">
        <v>269</v>
      </c>
      <c r="F155">
        <v>5388</v>
      </c>
      <c r="G155">
        <v>233606</v>
      </c>
      <c r="H155">
        <v>231368</v>
      </c>
      <c r="I155">
        <v>203004</v>
      </c>
      <c r="J155">
        <v>288720</v>
      </c>
      <c r="K155">
        <v>218684</v>
      </c>
      <c r="L155">
        <v>248400</v>
      </c>
    </row>
    <row r="156" spans="1:12" x14ac:dyDescent="0.35">
      <c r="A156">
        <v>2025</v>
      </c>
      <c r="B156">
        <v>2</v>
      </c>
      <c r="C156" t="s">
        <v>63</v>
      </c>
      <c r="D156" t="s">
        <v>282</v>
      </c>
      <c r="E156" t="s">
        <v>271</v>
      </c>
      <c r="F156">
        <v>3868</v>
      </c>
      <c r="G156">
        <v>245794</v>
      </c>
      <c r="H156">
        <v>243265</v>
      </c>
      <c r="I156">
        <v>207526</v>
      </c>
      <c r="J156">
        <v>290297</v>
      </c>
      <c r="K156">
        <v>227710</v>
      </c>
      <c r="L156">
        <v>262797</v>
      </c>
    </row>
    <row r="157" spans="1:12" x14ac:dyDescent="0.35">
      <c r="A157">
        <v>2025</v>
      </c>
      <c r="B157">
        <v>2</v>
      </c>
      <c r="C157" t="s">
        <v>63</v>
      </c>
      <c r="D157" t="s">
        <v>282</v>
      </c>
      <c r="E157" t="s">
        <v>273</v>
      </c>
      <c r="F157">
        <v>23702</v>
      </c>
      <c r="G157">
        <v>298442</v>
      </c>
      <c r="H157">
        <v>291725</v>
      </c>
      <c r="I157">
        <v>210212</v>
      </c>
      <c r="J157">
        <v>380605</v>
      </c>
      <c r="K157">
        <v>276172</v>
      </c>
      <c r="L157">
        <v>326258</v>
      </c>
    </row>
    <row r="158" spans="1:12" x14ac:dyDescent="0.35">
      <c r="A158">
        <v>2025</v>
      </c>
      <c r="B158">
        <v>2</v>
      </c>
      <c r="C158" t="s">
        <v>63</v>
      </c>
      <c r="D158" t="s">
        <v>282</v>
      </c>
      <c r="E158" t="s">
        <v>275</v>
      </c>
      <c r="F158">
        <v>3687</v>
      </c>
      <c r="G158">
        <v>218651</v>
      </c>
      <c r="H158">
        <v>217895</v>
      </c>
      <c r="I158">
        <v>191418</v>
      </c>
      <c r="J158">
        <v>258266</v>
      </c>
      <c r="K158">
        <v>206452</v>
      </c>
      <c r="L158">
        <v>230813</v>
      </c>
    </row>
    <row r="159" spans="1:12" x14ac:dyDescent="0.35">
      <c r="A159">
        <v>2025</v>
      </c>
      <c r="B159">
        <v>3</v>
      </c>
      <c r="C159" t="s">
        <v>66</v>
      </c>
      <c r="D159" t="s">
        <v>282</v>
      </c>
      <c r="E159" t="s">
        <v>255</v>
      </c>
      <c r="F159">
        <v>30563</v>
      </c>
      <c r="G159">
        <v>491865</v>
      </c>
      <c r="H159">
        <v>471333</v>
      </c>
      <c r="I159">
        <v>297836</v>
      </c>
      <c r="J159">
        <v>796187</v>
      </c>
      <c r="K159">
        <v>423833</v>
      </c>
      <c r="L159">
        <v>563722</v>
      </c>
    </row>
    <row r="160" spans="1:12" x14ac:dyDescent="0.35">
      <c r="A160">
        <v>2025</v>
      </c>
      <c r="B160">
        <v>3</v>
      </c>
      <c r="C160" t="s">
        <v>66</v>
      </c>
      <c r="D160" t="s">
        <v>282</v>
      </c>
      <c r="E160" t="s">
        <v>257</v>
      </c>
      <c r="F160">
        <v>25161</v>
      </c>
      <c r="G160">
        <v>576627</v>
      </c>
      <c r="H160">
        <v>572515</v>
      </c>
      <c r="I160">
        <v>325286</v>
      </c>
      <c r="J160">
        <v>1088321</v>
      </c>
      <c r="K160">
        <v>471050</v>
      </c>
      <c r="L160">
        <v>667455</v>
      </c>
    </row>
    <row r="161" spans="1:12" x14ac:dyDescent="0.35">
      <c r="A161">
        <v>2025</v>
      </c>
      <c r="B161">
        <v>3</v>
      </c>
      <c r="C161" t="s">
        <v>66</v>
      </c>
      <c r="D161" t="s">
        <v>282</v>
      </c>
      <c r="E161" t="s">
        <v>259</v>
      </c>
      <c r="F161">
        <v>12586</v>
      </c>
      <c r="G161">
        <v>750769</v>
      </c>
      <c r="H161">
        <v>717455</v>
      </c>
      <c r="I161">
        <v>425274</v>
      </c>
      <c r="J161">
        <v>1144330</v>
      </c>
      <c r="K161">
        <v>678058</v>
      </c>
      <c r="L161">
        <v>852702</v>
      </c>
    </row>
    <row r="162" spans="1:12" x14ac:dyDescent="0.35">
      <c r="A162">
        <v>2025</v>
      </c>
      <c r="B162">
        <v>3</v>
      </c>
      <c r="C162" t="s">
        <v>66</v>
      </c>
      <c r="D162" t="s">
        <v>282</v>
      </c>
      <c r="E162" t="s">
        <v>261</v>
      </c>
      <c r="F162">
        <v>2063</v>
      </c>
      <c r="G162">
        <v>918318</v>
      </c>
      <c r="H162">
        <v>909500</v>
      </c>
      <c r="I162">
        <v>450544</v>
      </c>
      <c r="J162">
        <v>1380169</v>
      </c>
      <c r="K162">
        <v>696853</v>
      </c>
      <c r="L162">
        <v>1149465</v>
      </c>
    </row>
    <row r="163" spans="1:12" x14ac:dyDescent="0.35">
      <c r="A163">
        <v>2025</v>
      </c>
      <c r="B163">
        <v>3</v>
      </c>
      <c r="C163" t="s">
        <v>66</v>
      </c>
      <c r="D163" t="s">
        <v>282</v>
      </c>
      <c r="E163" t="s">
        <v>263</v>
      </c>
      <c r="F163">
        <v>1508</v>
      </c>
      <c r="G163">
        <v>965930</v>
      </c>
      <c r="H163">
        <v>950402</v>
      </c>
      <c r="I163">
        <v>630977</v>
      </c>
      <c r="J163">
        <v>1508539</v>
      </c>
      <c r="K163">
        <v>757099</v>
      </c>
      <c r="L163">
        <v>1067225</v>
      </c>
    </row>
    <row r="164" spans="1:12" x14ac:dyDescent="0.35">
      <c r="A164">
        <v>2025</v>
      </c>
      <c r="B164">
        <v>3</v>
      </c>
      <c r="C164" t="s">
        <v>66</v>
      </c>
      <c r="D164" t="s">
        <v>282</v>
      </c>
      <c r="E164" t="s">
        <v>265</v>
      </c>
      <c r="F164">
        <v>1121</v>
      </c>
      <c r="G164">
        <v>259564</v>
      </c>
      <c r="H164">
        <v>249743</v>
      </c>
      <c r="I164">
        <v>229743</v>
      </c>
      <c r="J164">
        <v>354128</v>
      </c>
      <c r="K164">
        <v>239743</v>
      </c>
      <c r="L164">
        <v>269090</v>
      </c>
    </row>
    <row r="165" spans="1:12" x14ac:dyDescent="0.35">
      <c r="A165">
        <v>2025</v>
      </c>
      <c r="B165">
        <v>3</v>
      </c>
      <c r="C165" t="s">
        <v>66</v>
      </c>
      <c r="D165" t="s">
        <v>282</v>
      </c>
      <c r="E165" t="s">
        <v>267</v>
      </c>
      <c r="F165">
        <v>59599</v>
      </c>
      <c r="G165">
        <v>407420</v>
      </c>
      <c r="H165">
        <v>412540</v>
      </c>
      <c r="I165">
        <v>259793</v>
      </c>
      <c r="J165">
        <v>584647</v>
      </c>
      <c r="K165">
        <v>328942</v>
      </c>
      <c r="L165">
        <v>461936</v>
      </c>
    </row>
    <row r="166" spans="1:12" x14ac:dyDescent="0.35">
      <c r="A166">
        <v>2025</v>
      </c>
      <c r="B166">
        <v>3</v>
      </c>
      <c r="C166" t="s">
        <v>66</v>
      </c>
      <c r="D166" t="s">
        <v>282</v>
      </c>
      <c r="E166" t="s">
        <v>269</v>
      </c>
      <c r="F166">
        <v>5448</v>
      </c>
      <c r="G166">
        <v>233035</v>
      </c>
      <c r="H166">
        <v>230950</v>
      </c>
      <c r="I166">
        <v>203006</v>
      </c>
      <c r="J166">
        <v>288720</v>
      </c>
      <c r="K166">
        <v>218500</v>
      </c>
      <c r="L166">
        <v>247476</v>
      </c>
    </row>
    <row r="167" spans="1:12" x14ac:dyDescent="0.35">
      <c r="A167">
        <v>2025</v>
      </c>
      <c r="B167">
        <v>3</v>
      </c>
      <c r="C167" t="s">
        <v>66</v>
      </c>
      <c r="D167" t="s">
        <v>282</v>
      </c>
      <c r="E167" t="s">
        <v>271</v>
      </c>
      <c r="F167">
        <v>3901</v>
      </c>
      <c r="G167">
        <v>246011</v>
      </c>
      <c r="H167">
        <v>243031</v>
      </c>
      <c r="I167">
        <v>207526</v>
      </c>
      <c r="J167">
        <v>290297</v>
      </c>
      <c r="K167">
        <v>227895</v>
      </c>
      <c r="L167">
        <v>262563</v>
      </c>
    </row>
    <row r="168" spans="1:12" x14ac:dyDescent="0.35">
      <c r="A168">
        <v>2025</v>
      </c>
      <c r="B168">
        <v>3</v>
      </c>
      <c r="C168" t="s">
        <v>66</v>
      </c>
      <c r="D168" t="s">
        <v>282</v>
      </c>
      <c r="E168" t="s">
        <v>273</v>
      </c>
      <c r="F168">
        <v>23699</v>
      </c>
      <c r="G168">
        <v>298276</v>
      </c>
      <c r="H168">
        <v>291725</v>
      </c>
      <c r="I168">
        <v>210212</v>
      </c>
      <c r="J168">
        <v>380002</v>
      </c>
      <c r="K168">
        <v>276172</v>
      </c>
      <c r="L168">
        <v>326258</v>
      </c>
    </row>
    <row r="169" spans="1:12" x14ac:dyDescent="0.35">
      <c r="A169">
        <v>2025</v>
      </c>
      <c r="B169">
        <v>3</v>
      </c>
      <c r="C169" t="s">
        <v>66</v>
      </c>
      <c r="D169" t="s">
        <v>282</v>
      </c>
      <c r="E169" t="s">
        <v>275</v>
      </c>
      <c r="F169">
        <v>3709</v>
      </c>
      <c r="G169">
        <v>218732</v>
      </c>
      <c r="H169">
        <v>217897</v>
      </c>
      <c r="I169">
        <v>191418</v>
      </c>
      <c r="J169">
        <v>264419</v>
      </c>
      <c r="K169">
        <v>206602</v>
      </c>
      <c r="L169">
        <v>230813</v>
      </c>
    </row>
    <row r="170" spans="1:12" x14ac:dyDescent="0.35">
      <c r="A170">
        <v>2025</v>
      </c>
      <c r="B170">
        <v>4</v>
      </c>
      <c r="C170" t="s">
        <v>67</v>
      </c>
      <c r="D170" t="s">
        <v>282</v>
      </c>
      <c r="E170" t="s">
        <v>255</v>
      </c>
      <c r="F170">
        <v>30001</v>
      </c>
      <c r="G170">
        <v>497376</v>
      </c>
      <c r="H170">
        <v>474875</v>
      </c>
      <c r="I170">
        <v>297836</v>
      </c>
      <c r="J170">
        <v>798872</v>
      </c>
      <c r="K170">
        <v>423833</v>
      </c>
      <c r="L170">
        <v>568722</v>
      </c>
    </row>
    <row r="171" spans="1:12" x14ac:dyDescent="0.35">
      <c r="A171">
        <v>2025</v>
      </c>
      <c r="B171">
        <v>4</v>
      </c>
      <c r="C171" t="s">
        <v>67</v>
      </c>
      <c r="D171" t="s">
        <v>282</v>
      </c>
      <c r="E171" t="s">
        <v>257</v>
      </c>
      <c r="F171">
        <v>24654</v>
      </c>
      <c r="G171">
        <v>583686</v>
      </c>
      <c r="H171">
        <v>589893</v>
      </c>
      <c r="I171">
        <v>325286</v>
      </c>
      <c r="J171">
        <v>1082572</v>
      </c>
      <c r="K171">
        <v>473550</v>
      </c>
      <c r="L171">
        <v>677264</v>
      </c>
    </row>
    <row r="172" spans="1:12" x14ac:dyDescent="0.35">
      <c r="A172">
        <v>2025</v>
      </c>
      <c r="B172">
        <v>4</v>
      </c>
      <c r="C172" t="s">
        <v>67</v>
      </c>
      <c r="D172" t="s">
        <v>282</v>
      </c>
      <c r="E172" t="s">
        <v>259</v>
      </c>
      <c r="F172">
        <v>12344</v>
      </c>
      <c r="G172">
        <v>757148</v>
      </c>
      <c r="H172">
        <v>729719</v>
      </c>
      <c r="I172">
        <v>429487</v>
      </c>
      <c r="J172">
        <v>1162297</v>
      </c>
      <c r="K172">
        <v>680558</v>
      </c>
      <c r="L172">
        <v>855806</v>
      </c>
    </row>
    <row r="173" spans="1:12" x14ac:dyDescent="0.35">
      <c r="A173">
        <v>2025</v>
      </c>
      <c r="B173">
        <v>4</v>
      </c>
      <c r="C173" t="s">
        <v>67</v>
      </c>
      <c r="D173" t="s">
        <v>282</v>
      </c>
      <c r="E173" t="s">
        <v>261</v>
      </c>
      <c r="F173">
        <v>2104</v>
      </c>
      <c r="G173">
        <v>942276</v>
      </c>
      <c r="H173">
        <v>945154</v>
      </c>
      <c r="I173">
        <v>450544</v>
      </c>
      <c r="J173">
        <v>1415417</v>
      </c>
      <c r="K173">
        <v>721336</v>
      </c>
      <c r="L173">
        <v>1151128</v>
      </c>
    </row>
    <row r="174" spans="1:12" x14ac:dyDescent="0.35">
      <c r="A174">
        <v>2025</v>
      </c>
      <c r="B174">
        <v>4</v>
      </c>
      <c r="C174" t="s">
        <v>67</v>
      </c>
      <c r="D174" t="s">
        <v>282</v>
      </c>
      <c r="E174" t="s">
        <v>263</v>
      </c>
      <c r="F174">
        <v>1553</v>
      </c>
      <c r="G174">
        <v>1010737</v>
      </c>
      <c r="H174">
        <v>1014085</v>
      </c>
      <c r="I174">
        <v>630977</v>
      </c>
      <c r="J174">
        <v>1528451</v>
      </c>
      <c r="K174">
        <v>772099</v>
      </c>
      <c r="L174">
        <v>1203741</v>
      </c>
    </row>
    <row r="175" spans="1:12" x14ac:dyDescent="0.35">
      <c r="A175">
        <v>2025</v>
      </c>
      <c r="B175">
        <v>4</v>
      </c>
      <c r="C175" t="s">
        <v>67</v>
      </c>
      <c r="D175" t="s">
        <v>282</v>
      </c>
      <c r="E175" t="s">
        <v>265</v>
      </c>
      <c r="F175">
        <v>1084</v>
      </c>
      <c r="G175">
        <v>259919</v>
      </c>
      <c r="H175">
        <v>249743</v>
      </c>
      <c r="I175">
        <v>229743</v>
      </c>
      <c r="J175">
        <v>354128</v>
      </c>
      <c r="K175">
        <v>239743</v>
      </c>
      <c r="L175">
        <v>269743</v>
      </c>
    </row>
    <row r="176" spans="1:12" x14ac:dyDescent="0.35">
      <c r="A176">
        <v>2025</v>
      </c>
      <c r="B176">
        <v>4</v>
      </c>
      <c r="C176" t="s">
        <v>67</v>
      </c>
      <c r="D176" t="s">
        <v>282</v>
      </c>
      <c r="E176" t="s">
        <v>267</v>
      </c>
      <c r="F176">
        <v>58782</v>
      </c>
      <c r="G176">
        <v>409541</v>
      </c>
      <c r="H176">
        <v>412540</v>
      </c>
      <c r="I176">
        <v>259793</v>
      </c>
      <c r="J176">
        <v>584647</v>
      </c>
      <c r="K176">
        <v>330752</v>
      </c>
      <c r="L176">
        <v>464523</v>
      </c>
    </row>
    <row r="177" spans="1:12" x14ac:dyDescent="0.35">
      <c r="A177">
        <v>2025</v>
      </c>
      <c r="B177">
        <v>4</v>
      </c>
      <c r="C177" t="s">
        <v>67</v>
      </c>
      <c r="D177" t="s">
        <v>282</v>
      </c>
      <c r="E177" t="s">
        <v>269</v>
      </c>
      <c r="F177">
        <v>5388</v>
      </c>
      <c r="G177">
        <v>233610</v>
      </c>
      <c r="H177">
        <v>231368</v>
      </c>
      <c r="I177">
        <v>203004</v>
      </c>
      <c r="J177">
        <v>288720</v>
      </c>
      <c r="K177">
        <v>218684</v>
      </c>
      <c r="L177">
        <v>248400</v>
      </c>
    </row>
    <row r="178" spans="1:12" x14ac:dyDescent="0.35">
      <c r="A178">
        <v>2025</v>
      </c>
      <c r="B178">
        <v>4</v>
      </c>
      <c r="C178" t="s">
        <v>67</v>
      </c>
      <c r="D178" t="s">
        <v>282</v>
      </c>
      <c r="E178" t="s">
        <v>271</v>
      </c>
      <c r="F178">
        <v>3863</v>
      </c>
      <c r="G178">
        <v>245768</v>
      </c>
      <c r="H178">
        <v>243265</v>
      </c>
      <c r="I178">
        <v>207526</v>
      </c>
      <c r="J178">
        <v>290297</v>
      </c>
      <c r="K178">
        <v>227710</v>
      </c>
      <c r="L178">
        <v>262797</v>
      </c>
    </row>
    <row r="179" spans="1:12" x14ac:dyDescent="0.35">
      <c r="A179">
        <v>2025</v>
      </c>
      <c r="B179">
        <v>4</v>
      </c>
      <c r="C179" t="s">
        <v>67</v>
      </c>
      <c r="D179" t="s">
        <v>282</v>
      </c>
      <c r="E179" t="s">
        <v>273</v>
      </c>
      <c r="F179">
        <v>23697</v>
      </c>
      <c r="G179">
        <v>298434</v>
      </c>
      <c r="H179">
        <v>291725</v>
      </c>
      <c r="I179">
        <v>210212</v>
      </c>
      <c r="J179">
        <v>380605</v>
      </c>
      <c r="K179">
        <v>276172</v>
      </c>
      <c r="L179">
        <v>326258</v>
      </c>
    </row>
    <row r="180" spans="1:12" x14ac:dyDescent="0.35">
      <c r="A180">
        <v>2025</v>
      </c>
      <c r="B180">
        <v>4</v>
      </c>
      <c r="C180" t="s">
        <v>67</v>
      </c>
      <c r="D180" t="s">
        <v>282</v>
      </c>
      <c r="E180" t="s">
        <v>275</v>
      </c>
      <c r="F180">
        <v>3687</v>
      </c>
      <c r="G180">
        <v>218659</v>
      </c>
      <c r="H180">
        <v>217895</v>
      </c>
      <c r="I180">
        <v>191418</v>
      </c>
      <c r="J180">
        <v>258266</v>
      </c>
      <c r="K180">
        <v>206485</v>
      </c>
      <c r="L180">
        <v>230813</v>
      </c>
    </row>
    <row r="181" spans="1:12" x14ac:dyDescent="0.35">
      <c r="A181">
        <v>2025</v>
      </c>
      <c r="B181">
        <v>5</v>
      </c>
      <c r="C181" t="s">
        <v>68</v>
      </c>
      <c r="D181" t="s">
        <v>282</v>
      </c>
      <c r="E181" t="s">
        <v>255</v>
      </c>
      <c r="F181">
        <v>31141</v>
      </c>
      <c r="G181">
        <v>528325</v>
      </c>
      <c r="H181">
        <v>541222</v>
      </c>
      <c r="I181">
        <v>297836</v>
      </c>
      <c r="J181">
        <v>798313</v>
      </c>
      <c r="K181">
        <v>436333</v>
      </c>
      <c r="L181">
        <v>612737</v>
      </c>
    </row>
    <row r="182" spans="1:12" x14ac:dyDescent="0.35">
      <c r="A182">
        <v>2025</v>
      </c>
      <c r="B182">
        <v>5</v>
      </c>
      <c r="C182" t="s">
        <v>68</v>
      </c>
      <c r="D182" t="s">
        <v>282</v>
      </c>
      <c r="E182" t="s">
        <v>257</v>
      </c>
      <c r="F182">
        <v>25522</v>
      </c>
      <c r="G182">
        <v>616925</v>
      </c>
      <c r="H182">
        <v>630792</v>
      </c>
      <c r="I182">
        <v>325286</v>
      </c>
      <c r="J182">
        <v>1081608</v>
      </c>
      <c r="K182">
        <v>497441</v>
      </c>
      <c r="L182">
        <v>726520</v>
      </c>
    </row>
    <row r="183" spans="1:12" x14ac:dyDescent="0.35">
      <c r="A183">
        <v>2025</v>
      </c>
      <c r="B183">
        <v>5</v>
      </c>
      <c r="C183" t="s">
        <v>68</v>
      </c>
      <c r="D183" t="s">
        <v>282</v>
      </c>
      <c r="E183" t="s">
        <v>259</v>
      </c>
      <c r="F183">
        <v>12179</v>
      </c>
      <c r="G183">
        <v>764613</v>
      </c>
      <c r="H183">
        <v>754020</v>
      </c>
      <c r="I183">
        <v>425274</v>
      </c>
      <c r="J183">
        <v>1161732</v>
      </c>
      <c r="K183">
        <v>686064</v>
      </c>
      <c r="L183">
        <v>857702</v>
      </c>
    </row>
    <row r="184" spans="1:12" x14ac:dyDescent="0.35">
      <c r="A184">
        <v>2025</v>
      </c>
      <c r="B184">
        <v>5</v>
      </c>
      <c r="C184" t="s">
        <v>68</v>
      </c>
      <c r="D184" t="s">
        <v>282</v>
      </c>
      <c r="E184" t="s">
        <v>261</v>
      </c>
      <c r="F184">
        <v>2442</v>
      </c>
      <c r="G184">
        <v>916882</v>
      </c>
      <c r="H184">
        <v>899500</v>
      </c>
      <c r="I184">
        <v>450544</v>
      </c>
      <c r="J184">
        <v>1380169</v>
      </c>
      <c r="K184">
        <v>701851</v>
      </c>
      <c r="L184">
        <v>1146128</v>
      </c>
    </row>
    <row r="185" spans="1:12" x14ac:dyDescent="0.35">
      <c r="A185">
        <v>2025</v>
      </c>
      <c r="B185">
        <v>5</v>
      </c>
      <c r="C185" t="s">
        <v>68</v>
      </c>
      <c r="D185" t="s">
        <v>282</v>
      </c>
      <c r="E185" t="s">
        <v>263</v>
      </c>
      <c r="F185">
        <v>1651</v>
      </c>
      <c r="G185">
        <v>976349</v>
      </c>
      <c r="H185">
        <v>950118</v>
      </c>
      <c r="I185">
        <v>630977</v>
      </c>
      <c r="J185">
        <v>1457068</v>
      </c>
      <c r="K185">
        <v>760916</v>
      </c>
      <c r="L185">
        <v>1116708</v>
      </c>
    </row>
    <row r="186" spans="1:12" x14ac:dyDescent="0.35">
      <c r="A186">
        <v>2025</v>
      </c>
      <c r="B186">
        <v>5</v>
      </c>
      <c r="C186" t="s">
        <v>68</v>
      </c>
      <c r="D186" t="s">
        <v>282</v>
      </c>
      <c r="E186" t="s">
        <v>265</v>
      </c>
      <c r="F186">
        <v>1154</v>
      </c>
      <c r="G186">
        <v>259317</v>
      </c>
      <c r="H186">
        <v>249743</v>
      </c>
      <c r="I186">
        <v>229743</v>
      </c>
      <c r="J186">
        <v>354128</v>
      </c>
      <c r="K186">
        <v>239743</v>
      </c>
      <c r="L186">
        <v>269375</v>
      </c>
    </row>
    <row r="187" spans="1:12" x14ac:dyDescent="0.35">
      <c r="A187">
        <v>2025</v>
      </c>
      <c r="B187">
        <v>5</v>
      </c>
      <c r="C187" t="s">
        <v>68</v>
      </c>
      <c r="D187" t="s">
        <v>282</v>
      </c>
      <c r="E187" t="s">
        <v>267</v>
      </c>
      <c r="F187">
        <v>58733</v>
      </c>
      <c r="G187">
        <v>416181</v>
      </c>
      <c r="H187">
        <v>417540</v>
      </c>
      <c r="I187">
        <v>259793</v>
      </c>
      <c r="J187">
        <v>584893</v>
      </c>
      <c r="K187">
        <v>325519</v>
      </c>
      <c r="L187">
        <v>506739</v>
      </c>
    </row>
    <row r="188" spans="1:12" x14ac:dyDescent="0.35">
      <c r="A188">
        <v>2025</v>
      </c>
      <c r="B188">
        <v>5</v>
      </c>
      <c r="C188" t="s">
        <v>68</v>
      </c>
      <c r="D188" t="s">
        <v>282</v>
      </c>
      <c r="E188" t="s">
        <v>269</v>
      </c>
      <c r="F188">
        <v>5421</v>
      </c>
      <c r="G188">
        <v>232177</v>
      </c>
      <c r="H188">
        <v>230950</v>
      </c>
      <c r="I188">
        <v>202975</v>
      </c>
      <c r="J188">
        <v>288720</v>
      </c>
      <c r="K188">
        <v>216368</v>
      </c>
      <c r="L188">
        <v>245950</v>
      </c>
    </row>
    <row r="189" spans="1:12" x14ac:dyDescent="0.35">
      <c r="A189">
        <v>2025</v>
      </c>
      <c r="B189">
        <v>5</v>
      </c>
      <c r="C189" t="s">
        <v>68</v>
      </c>
      <c r="D189" t="s">
        <v>282</v>
      </c>
      <c r="E189" t="s">
        <v>271</v>
      </c>
      <c r="F189">
        <v>3910</v>
      </c>
      <c r="G189">
        <v>245514</v>
      </c>
      <c r="H189">
        <v>243031</v>
      </c>
      <c r="I189">
        <v>207526</v>
      </c>
      <c r="J189">
        <v>290297</v>
      </c>
      <c r="K189">
        <v>227895</v>
      </c>
      <c r="L189">
        <v>262009</v>
      </c>
    </row>
    <row r="190" spans="1:12" x14ac:dyDescent="0.35">
      <c r="A190">
        <v>2025</v>
      </c>
      <c r="B190">
        <v>5</v>
      </c>
      <c r="C190" t="s">
        <v>68</v>
      </c>
      <c r="D190" t="s">
        <v>282</v>
      </c>
      <c r="E190" t="s">
        <v>273</v>
      </c>
      <c r="F190">
        <v>24031</v>
      </c>
      <c r="G190">
        <v>307922</v>
      </c>
      <c r="H190">
        <v>303672</v>
      </c>
      <c r="I190">
        <v>211922</v>
      </c>
      <c r="J190">
        <v>380002</v>
      </c>
      <c r="K190">
        <v>277846</v>
      </c>
      <c r="L190">
        <v>342181</v>
      </c>
    </row>
    <row r="191" spans="1:12" x14ac:dyDescent="0.35">
      <c r="A191">
        <v>2025</v>
      </c>
      <c r="B191">
        <v>5</v>
      </c>
      <c r="C191" t="s">
        <v>68</v>
      </c>
      <c r="D191" t="s">
        <v>282</v>
      </c>
      <c r="E191" t="s">
        <v>275</v>
      </c>
      <c r="F191">
        <v>3758</v>
      </c>
      <c r="G191">
        <v>218711</v>
      </c>
      <c r="H191">
        <v>217895</v>
      </c>
      <c r="I191">
        <v>191418</v>
      </c>
      <c r="J191">
        <v>260950</v>
      </c>
      <c r="K191">
        <v>206418</v>
      </c>
      <c r="L191">
        <v>230813</v>
      </c>
    </row>
    <row r="192" spans="1:12" x14ac:dyDescent="0.35">
      <c r="A192">
        <v>2025</v>
      </c>
      <c r="B192">
        <v>6</v>
      </c>
      <c r="C192" t="s">
        <v>69</v>
      </c>
      <c r="D192" t="s">
        <v>282</v>
      </c>
      <c r="E192" t="s">
        <v>255</v>
      </c>
      <c r="F192">
        <v>31308</v>
      </c>
      <c r="G192">
        <v>489341</v>
      </c>
      <c r="H192">
        <v>466838</v>
      </c>
      <c r="I192">
        <v>297836</v>
      </c>
      <c r="J192">
        <v>796187</v>
      </c>
      <c r="K192">
        <v>421333</v>
      </c>
      <c r="L192">
        <v>558722</v>
      </c>
    </row>
    <row r="193" spans="1:12" x14ac:dyDescent="0.35">
      <c r="A193">
        <v>2025</v>
      </c>
      <c r="B193">
        <v>6</v>
      </c>
      <c r="C193" t="s">
        <v>69</v>
      </c>
      <c r="D193" t="s">
        <v>282</v>
      </c>
      <c r="E193" t="s">
        <v>257</v>
      </c>
      <c r="F193">
        <v>25770</v>
      </c>
      <c r="G193">
        <v>575075</v>
      </c>
      <c r="H193">
        <v>567515</v>
      </c>
      <c r="I193">
        <v>325286</v>
      </c>
      <c r="J193">
        <v>1081608</v>
      </c>
      <c r="K193">
        <v>468550</v>
      </c>
      <c r="L193">
        <v>667923</v>
      </c>
    </row>
    <row r="194" spans="1:12" x14ac:dyDescent="0.35">
      <c r="A194">
        <v>2025</v>
      </c>
      <c r="B194">
        <v>6</v>
      </c>
      <c r="C194" t="s">
        <v>69</v>
      </c>
      <c r="D194" t="s">
        <v>282</v>
      </c>
      <c r="E194" t="s">
        <v>259</v>
      </c>
      <c r="F194">
        <v>12613</v>
      </c>
      <c r="G194">
        <v>749541</v>
      </c>
      <c r="H194">
        <v>716433</v>
      </c>
      <c r="I194">
        <v>425274</v>
      </c>
      <c r="J194">
        <v>1144330</v>
      </c>
      <c r="K194">
        <v>677689</v>
      </c>
      <c r="L194">
        <v>852702</v>
      </c>
    </row>
    <row r="195" spans="1:12" x14ac:dyDescent="0.35">
      <c r="A195">
        <v>2025</v>
      </c>
      <c r="B195">
        <v>6</v>
      </c>
      <c r="C195" t="s">
        <v>69</v>
      </c>
      <c r="D195" t="s">
        <v>282</v>
      </c>
      <c r="E195" t="s">
        <v>261</v>
      </c>
      <c r="F195">
        <v>2474</v>
      </c>
      <c r="G195">
        <v>911138</v>
      </c>
      <c r="H195">
        <v>897000</v>
      </c>
      <c r="I195">
        <v>450544</v>
      </c>
      <c r="J195">
        <v>1387035</v>
      </c>
      <c r="K195">
        <v>699351</v>
      </c>
      <c r="L195">
        <v>1144465</v>
      </c>
    </row>
    <row r="196" spans="1:12" x14ac:dyDescent="0.35">
      <c r="A196">
        <v>2025</v>
      </c>
      <c r="B196">
        <v>6</v>
      </c>
      <c r="C196" t="s">
        <v>69</v>
      </c>
      <c r="D196" t="s">
        <v>282</v>
      </c>
      <c r="E196" t="s">
        <v>263</v>
      </c>
      <c r="F196">
        <v>1663</v>
      </c>
      <c r="G196">
        <v>973199</v>
      </c>
      <c r="H196">
        <v>933897</v>
      </c>
      <c r="I196">
        <v>630977</v>
      </c>
      <c r="J196">
        <v>1451081</v>
      </c>
      <c r="K196">
        <v>759709</v>
      </c>
      <c r="L196">
        <v>1082225</v>
      </c>
    </row>
    <row r="197" spans="1:12" x14ac:dyDescent="0.35">
      <c r="A197">
        <v>2025</v>
      </c>
      <c r="B197">
        <v>6</v>
      </c>
      <c r="C197" t="s">
        <v>69</v>
      </c>
      <c r="D197" t="s">
        <v>282</v>
      </c>
      <c r="E197" t="s">
        <v>265</v>
      </c>
      <c r="F197">
        <v>1264</v>
      </c>
      <c r="G197">
        <v>263659</v>
      </c>
      <c r="H197">
        <v>252797</v>
      </c>
      <c r="I197">
        <v>229743</v>
      </c>
      <c r="J197">
        <v>354128</v>
      </c>
      <c r="K197">
        <v>239743</v>
      </c>
      <c r="L197">
        <v>276824</v>
      </c>
    </row>
    <row r="198" spans="1:12" x14ac:dyDescent="0.35">
      <c r="A198">
        <v>2025</v>
      </c>
      <c r="B198">
        <v>6</v>
      </c>
      <c r="C198" t="s">
        <v>69</v>
      </c>
      <c r="D198" t="s">
        <v>282</v>
      </c>
      <c r="E198" t="s">
        <v>267</v>
      </c>
      <c r="F198">
        <v>60531</v>
      </c>
      <c r="G198">
        <v>405514</v>
      </c>
      <c r="H198">
        <v>412540</v>
      </c>
      <c r="I198">
        <v>259793</v>
      </c>
      <c r="J198">
        <v>584647</v>
      </c>
      <c r="K198">
        <v>325052</v>
      </c>
      <c r="L198">
        <v>456604</v>
      </c>
    </row>
    <row r="199" spans="1:12" x14ac:dyDescent="0.35">
      <c r="A199">
        <v>2025</v>
      </c>
      <c r="B199">
        <v>6</v>
      </c>
      <c r="C199" t="s">
        <v>69</v>
      </c>
      <c r="D199" t="s">
        <v>282</v>
      </c>
      <c r="E199" t="s">
        <v>269</v>
      </c>
      <c r="F199">
        <v>5340</v>
      </c>
      <c r="G199">
        <v>231843</v>
      </c>
      <c r="H199">
        <v>230950</v>
      </c>
      <c r="I199">
        <v>203498</v>
      </c>
      <c r="J199">
        <v>288720</v>
      </c>
      <c r="K199">
        <v>216368</v>
      </c>
      <c r="L199">
        <v>245950</v>
      </c>
    </row>
    <row r="200" spans="1:12" x14ac:dyDescent="0.35">
      <c r="A200">
        <v>2025</v>
      </c>
      <c r="B200">
        <v>6</v>
      </c>
      <c r="C200" t="s">
        <v>69</v>
      </c>
      <c r="D200" t="s">
        <v>282</v>
      </c>
      <c r="E200" t="s">
        <v>271</v>
      </c>
      <c r="F200">
        <v>3896</v>
      </c>
      <c r="G200">
        <v>245580</v>
      </c>
      <c r="H200">
        <v>243031</v>
      </c>
      <c r="I200">
        <v>207526</v>
      </c>
      <c r="J200">
        <v>290297</v>
      </c>
      <c r="K200">
        <v>227895</v>
      </c>
      <c r="L200">
        <v>262009</v>
      </c>
    </row>
    <row r="201" spans="1:12" x14ac:dyDescent="0.35">
      <c r="A201">
        <v>2025</v>
      </c>
      <c r="B201">
        <v>6</v>
      </c>
      <c r="C201" t="s">
        <v>69</v>
      </c>
      <c r="D201" t="s">
        <v>282</v>
      </c>
      <c r="E201" t="s">
        <v>273</v>
      </c>
      <c r="F201">
        <v>23879</v>
      </c>
      <c r="G201">
        <v>297602</v>
      </c>
      <c r="H201">
        <v>291725</v>
      </c>
      <c r="I201">
        <v>211922</v>
      </c>
      <c r="J201">
        <v>380002</v>
      </c>
      <c r="K201">
        <v>276172</v>
      </c>
      <c r="L201">
        <v>323389</v>
      </c>
    </row>
    <row r="202" spans="1:12" x14ac:dyDescent="0.35">
      <c r="A202">
        <v>2025</v>
      </c>
      <c r="B202">
        <v>6</v>
      </c>
      <c r="C202" t="s">
        <v>69</v>
      </c>
      <c r="D202" t="s">
        <v>282</v>
      </c>
      <c r="E202" t="s">
        <v>275</v>
      </c>
      <c r="F202">
        <v>3766</v>
      </c>
      <c r="G202">
        <v>218760</v>
      </c>
      <c r="H202">
        <v>218313</v>
      </c>
      <c r="I202">
        <v>191418</v>
      </c>
      <c r="J202">
        <v>260950</v>
      </c>
      <c r="K202">
        <v>206418</v>
      </c>
      <c r="L202">
        <v>230813</v>
      </c>
    </row>
    <row r="203" spans="1:12" x14ac:dyDescent="0.35">
      <c r="A203">
        <v>2025</v>
      </c>
      <c r="B203">
        <v>7</v>
      </c>
      <c r="C203" t="s">
        <v>70</v>
      </c>
      <c r="D203" t="s">
        <v>282</v>
      </c>
      <c r="E203" t="s">
        <v>255</v>
      </c>
      <c r="F203">
        <v>31644</v>
      </c>
      <c r="G203">
        <v>489854</v>
      </c>
      <c r="H203">
        <v>466838</v>
      </c>
      <c r="I203">
        <v>297836</v>
      </c>
      <c r="J203">
        <v>798791</v>
      </c>
      <c r="K203">
        <v>421985</v>
      </c>
      <c r="L203">
        <v>559967</v>
      </c>
    </row>
    <row r="204" spans="1:12" x14ac:dyDescent="0.35">
      <c r="A204">
        <v>2025</v>
      </c>
      <c r="B204">
        <v>7</v>
      </c>
      <c r="C204" t="s">
        <v>70</v>
      </c>
      <c r="D204" t="s">
        <v>282</v>
      </c>
      <c r="E204" t="s">
        <v>257</v>
      </c>
      <c r="F204">
        <v>25937</v>
      </c>
      <c r="G204">
        <v>575897</v>
      </c>
      <c r="H204">
        <v>567515</v>
      </c>
      <c r="I204">
        <v>325286</v>
      </c>
      <c r="J204">
        <v>1081608</v>
      </c>
      <c r="K204">
        <v>471050</v>
      </c>
      <c r="L204">
        <v>668292</v>
      </c>
    </row>
    <row r="205" spans="1:12" x14ac:dyDescent="0.35">
      <c r="A205">
        <v>2025</v>
      </c>
      <c r="B205">
        <v>7</v>
      </c>
      <c r="C205" t="s">
        <v>70</v>
      </c>
      <c r="D205" t="s">
        <v>282</v>
      </c>
      <c r="E205" t="s">
        <v>259</v>
      </c>
      <c r="F205">
        <v>12621</v>
      </c>
      <c r="G205">
        <v>749656</v>
      </c>
      <c r="H205">
        <v>716433</v>
      </c>
      <c r="I205">
        <v>425274</v>
      </c>
      <c r="J205">
        <v>1144330</v>
      </c>
      <c r="K205">
        <v>679955</v>
      </c>
      <c r="L205">
        <v>848675</v>
      </c>
    </row>
    <row r="206" spans="1:12" x14ac:dyDescent="0.35">
      <c r="A206">
        <v>2025</v>
      </c>
      <c r="B206">
        <v>7</v>
      </c>
      <c r="C206" t="s">
        <v>70</v>
      </c>
      <c r="D206" t="s">
        <v>282</v>
      </c>
      <c r="E206" t="s">
        <v>261</v>
      </c>
      <c r="F206">
        <v>2530</v>
      </c>
      <c r="G206">
        <v>909568</v>
      </c>
      <c r="H206">
        <v>897000</v>
      </c>
      <c r="I206">
        <v>450544</v>
      </c>
      <c r="J206">
        <v>1380169</v>
      </c>
      <c r="K206">
        <v>699351</v>
      </c>
      <c r="L206">
        <v>1141965</v>
      </c>
    </row>
    <row r="207" spans="1:12" x14ac:dyDescent="0.35">
      <c r="A207">
        <v>2025</v>
      </c>
      <c r="B207">
        <v>7</v>
      </c>
      <c r="C207" t="s">
        <v>70</v>
      </c>
      <c r="D207" t="s">
        <v>282</v>
      </c>
      <c r="E207" t="s">
        <v>263</v>
      </c>
      <c r="F207">
        <v>1688</v>
      </c>
      <c r="G207">
        <v>973420</v>
      </c>
      <c r="H207">
        <v>933739</v>
      </c>
      <c r="I207">
        <v>630977</v>
      </c>
      <c r="J207">
        <v>1523585</v>
      </c>
      <c r="K207">
        <v>759709</v>
      </c>
      <c r="L207">
        <v>1099723</v>
      </c>
    </row>
    <row r="208" spans="1:12" x14ac:dyDescent="0.35">
      <c r="A208">
        <v>2025</v>
      </c>
      <c r="B208">
        <v>7</v>
      </c>
      <c r="C208" t="s">
        <v>70</v>
      </c>
      <c r="D208" t="s">
        <v>282</v>
      </c>
      <c r="E208" t="s">
        <v>265</v>
      </c>
      <c r="F208">
        <v>1272</v>
      </c>
      <c r="G208">
        <v>263486</v>
      </c>
      <c r="H208">
        <v>254743</v>
      </c>
      <c r="I208">
        <v>229743</v>
      </c>
      <c r="J208">
        <v>354128</v>
      </c>
      <c r="K208">
        <v>239743</v>
      </c>
      <c r="L208">
        <v>276590</v>
      </c>
    </row>
    <row r="209" spans="1:12" x14ac:dyDescent="0.35">
      <c r="A209">
        <v>2025</v>
      </c>
      <c r="B209">
        <v>7</v>
      </c>
      <c r="C209" t="s">
        <v>70</v>
      </c>
      <c r="D209" t="s">
        <v>282</v>
      </c>
      <c r="E209" t="s">
        <v>267</v>
      </c>
      <c r="F209">
        <v>60365</v>
      </c>
      <c r="G209">
        <v>404417</v>
      </c>
      <c r="H209">
        <v>410040</v>
      </c>
      <c r="I209">
        <v>259793</v>
      </c>
      <c r="J209">
        <v>584647</v>
      </c>
      <c r="K209">
        <v>323942</v>
      </c>
      <c r="L209">
        <v>455544</v>
      </c>
    </row>
    <row r="210" spans="1:12" x14ac:dyDescent="0.35">
      <c r="A210">
        <v>2025</v>
      </c>
      <c r="B210">
        <v>7</v>
      </c>
      <c r="C210" t="s">
        <v>70</v>
      </c>
      <c r="D210" t="s">
        <v>282</v>
      </c>
      <c r="E210" t="s">
        <v>269</v>
      </c>
      <c r="F210">
        <v>5343</v>
      </c>
      <c r="G210">
        <v>231743</v>
      </c>
      <c r="H210">
        <v>230765</v>
      </c>
      <c r="I210">
        <v>202885</v>
      </c>
      <c r="J210">
        <v>288720</v>
      </c>
      <c r="K210">
        <v>216184</v>
      </c>
      <c r="L210">
        <v>245950</v>
      </c>
    </row>
    <row r="211" spans="1:12" x14ac:dyDescent="0.35">
      <c r="A211">
        <v>2025</v>
      </c>
      <c r="B211">
        <v>7</v>
      </c>
      <c r="C211" t="s">
        <v>70</v>
      </c>
      <c r="D211" t="s">
        <v>282</v>
      </c>
      <c r="E211" t="s">
        <v>271</v>
      </c>
      <c r="F211">
        <v>3883</v>
      </c>
      <c r="G211">
        <v>245628</v>
      </c>
      <c r="H211">
        <v>243031</v>
      </c>
      <c r="I211">
        <v>207526</v>
      </c>
      <c r="J211">
        <v>290297</v>
      </c>
      <c r="K211">
        <v>228265</v>
      </c>
      <c r="L211">
        <v>262009</v>
      </c>
    </row>
    <row r="212" spans="1:12" x14ac:dyDescent="0.35">
      <c r="A212">
        <v>2025</v>
      </c>
      <c r="B212">
        <v>7</v>
      </c>
      <c r="C212" t="s">
        <v>70</v>
      </c>
      <c r="D212" t="s">
        <v>282</v>
      </c>
      <c r="E212" t="s">
        <v>273</v>
      </c>
      <c r="F212">
        <v>23966</v>
      </c>
      <c r="G212">
        <v>298069</v>
      </c>
      <c r="H212">
        <v>291725</v>
      </c>
      <c r="I212">
        <v>213634</v>
      </c>
      <c r="J212">
        <v>380002</v>
      </c>
      <c r="K212">
        <v>276172</v>
      </c>
      <c r="L212">
        <v>323389</v>
      </c>
    </row>
    <row r="213" spans="1:12" x14ac:dyDescent="0.35">
      <c r="A213">
        <v>2025</v>
      </c>
      <c r="B213">
        <v>7</v>
      </c>
      <c r="C213" t="s">
        <v>70</v>
      </c>
      <c r="D213" t="s">
        <v>282</v>
      </c>
      <c r="E213" t="s">
        <v>275</v>
      </c>
      <c r="F213">
        <v>3784</v>
      </c>
      <c r="G213">
        <v>218711</v>
      </c>
      <c r="H213">
        <v>217895</v>
      </c>
      <c r="I213">
        <v>191418</v>
      </c>
      <c r="J213">
        <v>260950</v>
      </c>
      <c r="K213">
        <v>206418</v>
      </c>
      <c r="L213">
        <v>230813</v>
      </c>
    </row>
    <row r="214" spans="1:12" x14ac:dyDescent="0.35">
      <c r="A214">
        <v>2025</v>
      </c>
      <c r="B214">
        <v>8</v>
      </c>
      <c r="C214" t="s">
        <v>71</v>
      </c>
      <c r="D214" t="s">
        <v>282</v>
      </c>
      <c r="E214" t="s">
        <v>255</v>
      </c>
      <c r="F214">
        <v>32092</v>
      </c>
      <c r="G214">
        <v>489952</v>
      </c>
      <c r="H214">
        <v>466838</v>
      </c>
      <c r="I214">
        <v>297836</v>
      </c>
      <c r="J214">
        <v>797766</v>
      </c>
      <c r="K214">
        <v>421985</v>
      </c>
      <c r="L214">
        <v>560791</v>
      </c>
    </row>
    <row r="215" spans="1:12" x14ac:dyDescent="0.35">
      <c r="A215">
        <v>2025</v>
      </c>
      <c r="B215">
        <v>8</v>
      </c>
      <c r="C215" t="s">
        <v>71</v>
      </c>
      <c r="D215" t="s">
        <v>282</v>
      </c>
      <c r="E215" t="s">
        <v>257</v>
      </c>
      <c r="F215">
        <v>26129</v>
      </c>
      <c r="G215">
        <v>576653</v>
      </c>
      <c r="H215">
        <v>570015</v>
      </c>
      <c r="I215">
        <v>325286</v>
      </c>
      <c r="J215">
        <v>1083146</v>
      </c>
      <c r="K215">
        <v>471050</v>
      </c>
      <c r="L215">
        <v>669169</v>
      </c>
    </row>
    <row r="216" spans="1:12" x14ac:dyDescent="0.35">
      <c r="A216">
        <v>2025</v>
      </c>
      <c r="B216">
        <v>8</v>
      </c>
      <c r="C216" t="s">
        <v>71</v>
      </c>
      <c r="D216" t="s">
        <v>282</v>
      </c>
      <c r="E216" t="s">
        <v>259</v>
      </c>
      <c r="F216">
        <v>12635</v>
      </c>
      <c r="G216">
        <v>749469</v>
      </c>
      <c r="H216">
        <v>716433</v>
      </c>
      <c r="I216">
        <v>425274</v>
      </c>
      <c r="J216">
        <v>1144330</v>
      </c>
      <c r="K216">
        <v>679955</v>
      </c>
      <c r="L216">
        <v>847704</v>
      </c>
    </row>
    <row r="217" spans="1:12" x14ac:dyDescent="0.35">
      <c r="A217">
        <v>2025</v>
      </c>
      <c r="B217">
        <v>8</v>
      </c>
      <c r="C217" t="s">
        <v>71</v>
      </c>
      <c r="D217" t="s">
        <v>282</v>
      </c>
      <c r="E217" t="s">
        <v>261</v>
      </c>
      <c r="F217">
        <v>2628</v>
      </c>
      <c r="G217">
        <v>911774</v>
      </c>
      <c r="H217">
        <v>897000</v>
      </c>
      <c r="I217">
        <v>450544</v>
      </c>
      <c r="J217">
        <v>1380169</v>
      </c>
      <c r="K217">
        <v>703699</v>
      </c>
      <c r="L217">
        <v>1136965</v>
      </c>
    </row>
    <row r="218" spans="1:12" x14ac:dyDescent="0.35">
      <c r="A218">
        <v>2025</v>
      </c>
      <c r="B218">
        <v>8</v>
      </c>
      <c r="C218" t="s">
        <v>71</v>
      </c>
      <c r="D218" t="s">
        <v>282</v>
      </c>
      <c r="E218" t="s">
        <v>263</v>
      </c>
      <c r="F218">
        <v>1706</v>
      </c>
      <c r="G218">
        <v>974813</v>
      </c>
      <c r="H218">
        <v>933897</v>
      </c>
      <c r="I218">
        <v>630977</v>
      </c>
      <c r="J218">
        <v>1451081</v>
      </c>
      <c r="K218">
        <v>759711</v>
      </c>
      <c r="L218">
        <v>1116708</v>
      </c>
    </row>
    <row r="219" spans="1:12" x14ac:dyDescent="0.35">
      <c r="A219">
        <v>2025</v>
      </c>
      <c r="B219">
        <v>8</v>
      </c>
      <c r="C219" t="s">
        <v>71</v>
      </c>
      <c r="D219" t="s">
        <v>282</v>
      </c>
      <c r="E219" t="s">
        <v>265</v>
      </c>
      <c r="F219">
        <v>1292</v>
      </c>
      <c r="G219">
        <v>264924</v>
      </c>
      <c r="H219">
        <v>254743</v>
      </c>
      <c r="I219">
        <v>229743</v>
      </c>
      <c r="J219">
        <v>354128</v>
      </c>
      <c r="K219">
        <v>239743</v>
      </c>
      <c r="L219">
        <v>276590</v>
      </c>
    </row>
    <row r="220" spans="1:12" x14ac:dyDescent="0.35">
      <c r="A220">
        <v>2025</v>
      </c>
      <c r="B220">
        <v>8</v>
      </c>
      <c r="C220" t="s">
        <v>71</v>
      </c>
      <c r="D220" t="s">
        <v>282</v>
      </c>
      <c r="E220" t="s">
        <v>267</v>
      </c>
      <c r="F220">
        <v>59832</v>
      </c>
      <c r="G220">
        <v>404038</v>
      </c>
      <c r="H220">
        <v>410040</v>
      </c>
      <c r="I220">
        <v>259793</v>
      </c>
      <c r="J220">
        <v>584647</v>
      </c>
      <c r="K220">
        <v>323019</v>
      </c>
      <c r="L220">
        <v>454436</v>
      </c>
    </row>
    <row r="221" spans="1:12" x14ac:dyDescent="0.35">
      <c r="A221">
        <v>2025</v>
      </c>
      <c r="B221">
        <v>8</v>
      </c>
      <c r="C221" t="s">
        <v>71</v>
      </c>
      <c r="D221" t="s">
        <v>282</v>
      </c>
      <c r="E221" t="s">
        <v>269</v>
      </c>
      <c r="F221">
        <v>5364</v>
      </c>
      <c r="G221">
        <v>231697</v>
      </c>
      <c r="H221">
        <v>230716</v>
      </c>
      <c r="I221">
        <v>203498</v>
      </c>
      <c r="J221">
        <v>287748</v>
      </c>
      <c r="K221">
        <v>216368</v>
      </c>
      <c r="L221">
        <v>245950</v>
      </c>
    </row>
    <row r="222" spans="1:12" x14ac:dyDescent="0.35">
      <c r="A222">
        <v>2025</v>
      </c>
      <c r="B222">
        <v>8</v>
      </c>
      <c r="C222" t="s">
        <v>71</v>
      </c>
      <c r="D222" t="s">
        <v>282</v>
      </c>
      <c r="E222" t="s">
        <v>271</v>
      </c>
      <c r="F222">
        <v>3882</v>
      </c>
      <c r="G222">
        <v>245987</v>
      </c>
      <c r="H222">
        <v>243240</v>
      </c>
      <c r="I222">
        <v>207526</v>
      </c>
      <c r="J222">
        <v>290297</v>
      </c>
      <c r="K222">
        <v>230026</v>
      </c>
      <c r="L222">
        <v>262797</v>
      </c>
    </row>
    <row r="223" spans="1:12" x14ac:dyDescent="0.35">
      <c r="A223">
        <v>2025</v>
      </c>
      <c r="B223">
        <v>8</v>
      </c>
      <c r="C223" t="s">
        <v>71</v>
      </c>
      <c r="D223" t="s">
        <v>282</v>
      </c>
      <c r="E223" t="s">
        <v>273</v>
      </c>
      <c r="F223">
        <v>24087</v>
      </c>
      <c r="G223">
        <v>298001</v>
      </c>
      <c r="H223">
        <v>291725</v>
      </c>
      <c r="I223">
        <v>213634</v>
      </c>
      <c r="J223">
        <v>380002</v>
      </c>
      <c r="K223">
        <v>276172</v>
      </c>
      <c r="L223">
        <v>323389</v>
      </c>
    </row>
    <row r="224" spans="1:12" x14ac:dyDescent="0.35">
      <c r="A224">
        <v>2025</v>
      </c>
      <c r="B224">
        <v>8</v>
      </c>
      <c r="C224" t="s">
        <v>71</v>
      </c>
      <c r="D224" t="s">
        <v>282</v>
      </c>
      <c r="E224" t="s">
        <v>275</v>
      </c>
      <c r="F224">
        <v>3793</v>
      </c>
      <c r="G224">
        <v>218705</v>
      </c>
      <c r="H224">
        <v>217895</v>
      </c>
      <c r="I224">
        <v>191418</v>
      </c>
      <c r="J224">
        <v>260950</v>
      </c>
      <c r="K224">
        <v>206602</v>
      </c>
      <c r="L224">
        <v>230813</v>
      </c>
    </row>
    <row r="225" spans="1:12" x14ac:dyDescent="0.35">
      <c r="A225">
        <v>2025</v>
      </c>
      <c r="B225">
        <v>9</v>
      </c>
      <c r="C225" t="s">
        <v>72</v>
      </c>
      <c r="D225" t="s">
        <v>282</v>
      </c>
      <c r="E225" t="s">
        <v>255</v>
      </c>
      <c r="F225">
        <v>32230</v>
      </c>
      <c r="G225">
        <v>488717</v>
      </c>
      <c r="H225">
        <v>464436</v>
      </c>
      <c r="I225">
        <v>297836</v>
      </c>
      <c r="J225">
        <v>797748</v>
      </c>
      <c r="K225">
        <v>421985</v>
      </c>
      <c r="L225">
        <v>558722</v>
      </c>
    </row>
    <row r="226" spans="1:12" x14ac:dyDescent="0.35">
      <c r="A226">
        <v>2025</v>
      </c>
      <c r="B226">
        <v>9</v>
      </c>
      <c r="C226" t="s">
        <v>72</v>
      </c>
      <c r="D226" t="s">
        <v>282</v>
      </c>
      <c r="E226" t="s">
        <v>257</v>
      </c>
      <c r="F226">
        <v>26264</v>
      </c>
      <c r="G226">
        <v>576956</v>
      </c>
      <c r="H226">
        <v>570804</v>
      </c>
      <c r="I226">
        <v>325286</v>
      </c>
      <c r="J226">
        <v>1098725</v>
      </c>
      <c r="K226">
        <v>471050</v>
      </c>
      <c r="L226">
        <v>669169</v>
      </c>
    </row>
    <row r="227" spans="1:12" x14ac:dyDescent="0.35">
      <c r="A227">
        <v>2025</v>
      </c>
      <c r="B227">
        <v>9</v>
      </c>
      <c r="C227" t="s">
        <v>72</v>
      </c>
      <c r="D227" t="s">
        <v>282</v>
      </c>
      <c r="E227" t="s">
        <v>259</v>
      </c>
      <c r="F227">
        <v>12669</v>
      </c>
      <c r="G227">
        <v>749150</v>
      </c>
      <c r="H227">
        <v>716433</v>
      </c>
      <c r="I227">
        <v>425274</v>
      </c>
      <c r="J227">
        <v>1144330</v>
      </c>
      <c r="K227">
        <v>679955</v>
      </c>
      <c r="L227">
        <v>847702</v>
      </c>
    </row>
    <row r="228" spans="1:12" x14ac:dyDescent="0.35">
      <c r="A228">
        <v>2025</v>
      </c>
      <c r="B228">
        <v>9</v>
      </c>
      <c r="C228" t="s">
        <v>72</v>
      </c>
      <c r="D228" t="s">
        <v>282</v>
      </c>
      <c r="E228" t="s">
        <v>261</v>
      </c>
      <c r="F228">
        <v>2649</v>
      </c>
      <c r="G228">
        <v>909772</v>
      </c>
      <c r="H228">
        <v>897000</v>
      </c>
      <c r="I228">
        <v>465544</v>
      </c>
      <c r="J228">
        <v>1380169</v>
      </c>
      <c r="K228">
        <v>700879</v>
      </c>
      <c r="L228">
        <v>1136965</v>
      </c>
    </row>
    <row r="229" spans="1:12" x14ac:dyDescent="0.35">
      <c r="A229">
        <v>2025</v>
      </c>
      <c r="B229">
        <v>9</v>
      </c>
      <c r="C229" t="s">
        <v>72</v>
      </c>
      <c r="D229" t="s">
        <v>282</v>
      </c>
      <c r="E229" t="s">
        <v>263</v>
      </c>
      <c r="F229">
        <v>1733</v>
      </c>
      <c r="G229">
        <v>976164</v>
      </c>
      <c r="H229">
        <v>935116</v>
      </c>
      <c r="I229">
        <v>616213</v>
      </c>
      <c r="J229">
        <v>1451081</v>
      </c>
      <c r="K229">
        <v>760731</v>
      </c>
      <c r="L229">
        <v>1146708</v>
      </c>
    </row>
    <row r="230" spans="1:12" x14ac:dyDescent="0.35">
      <c r="A230">
        <v>2025</v>
      </c>
      <c r="B230">
        <v>9</v>
      </c>
      <c r="C230" t="s">
        <v>72</v>
      </c>
      <c r="D230" t="s">
        <v>282</v>
      </c>
      <c r="E230" t="s">
        <v>265</v>
      </c>
      <c r="F230">
        <v>1307</v>
      </c>
      <c r="G230">
        <v>260593</v>
      </c>
      <c r="H230">
        <v>254324</v>
      </c>
      <c r="I230">
        <v>229743</v>
      </c>
      <c r="J230">
        <v>354128</v>
      </c>
      <c r="K230">
        <v>239743</v>
      </c>
      <c r="L230">
        <v>270297</v>
      </c>
    </row>
    <row r="231" spans="1:12" x14ac:dyDescent="0.35">
      <c r="A231">
        <v>2025</v>
      </c>
      <c r="B231">
        <v>9</v>
      </c>
      <c r="C231" t="s">
        <v>72</v>
      </c>
      <c r="D231" t="s">
        <v>282</v>
      </c>
      <c r="E231" t="s">
        <v>267</v>
      </c>
      <c r="F231">
        <v>59628</v>
      </c>
      <c r="G231">
        <v>404088</v>
      </c>
      <c r="H231">
        <v>410040</v>
      </c>
      <c r="I231">
        <v>260063</v>
      </c>
      <c r="J231">
        <v>584647</v>
      </c>
      <c r="K231">
        <v>321442</v>
      </c>
      <c r="L231">
        <v>455544</v>
      </c>
    </row>
    <row r="232" spans="1:12" x14ac:dyDescent="0.35">
      <c r="A232">
        <v>2025</v>
      </c>
      <c r="B232">
        <v>9</v>
      </c>
      <c r="C232" t="s">
        <v>72</v>
      </c>
      <c r="D232" t="s">
        <v>282</v>
      </c>
      <c r="E232" t="s">
        <v>269</v>
      </c>
      <c r="F232">
        <v>5395</v>
      </c>
      <c r="G232">
        <v>231793</v>
      </c>
      <c r="H232">
        <v>230765</v>
      </c>
      <c r="I232">
        <v>203498</v>
      </c>
      <c r="J232">
        <v>287748</v>
      </c>
      <c r="K232">
        <v>216368</v>
      </c>
      <c r="L232">
        <v>245950</v>
      </c>
    </row>
    <row r="233" spans="1:12" x14ac:dyDescent="0.35">
      <c r="A233">
        <v>2025</v>
      </c>
      <c r="B233">
        <v>9</v>
      </c>
      <c r="C233" t="s">
        <v>72</v>
      </c>
      <c r="D233" t="s">
        <v>282</v>
      </c>
      <c r="E233" t="s">
        <v>271</v>
      </c>
      <c r="F233">
        <v>3885</v>
      </c>
      <c r="G233">
        <v>245914</v>
      </c>
      <c r="H233">
        <v>243216</v>
      </c>
      <c r="I233">
        <v>207526</v>
      </c>
      <c r="J233">
        <v>290297</v>
      </c>
      <c r="K233">
        <v>230026</v>
      </c>
      <c r="L233">
        <v>262797</v>
      </c>
    </row>
    <row r="234" spans="1:12" x14ac:dyDescent="0.35">
      <c r="A234">
        <v>2025</v>
      </c>
      <c r="B234">
        <v>9</v>
      </c>
      <c r="C234" t="s">
        <v>72</v>
      </c>
      <c r="D234" t="s">
        <v>282</v>
      </c>
      <c r="E234" t="s">
        <v>273</v>
      </c>
      <c r="F234">
        <v>24259</v>
      </c>
      <c r="G234">
        <v>298073</v>
      </c>
      <c r="H234">
        <v>291725</v>
      </c>
      <c r="I234">
        <v>210210</v>
      </c>
      <c r="J234">
        <v>380391</v>
      </c>
      <c r="K234">
        <v>276172</v>
      </c>
      <c r="L234">
        <v>323389</v>
      </c>
    </row>
    <row r="235" spans="1:12" x14ac:dyDescent="0.35">
      <c r="A235">
        <v>2025</v>
      </c>
      <c r="B235">
        <v>9</v>
      </c>
      <c r="C235" t="s">
        <v>72</v>
      </c>
      <c r="D235" t="s">
        <v>282</v>
      </c>
      <c r="E235" t="s">
        <v>275</v>
      </c>
      <c r="F235">
        <v>3834</v>
      </c>
      <c r="G235">
        <v>218605</v>
      </c>
      <c r="H235">
        <v>217895</v>
      </c>
      <c r="I235">
        <v>191418</v>
      </c>
      <c r="J235">
        <v>260950</v>
      </c>
      <c r="K235">
        <v>206602</v>
      </c>
      <c r="L235">
        <v>230813</v>
      </c>
    </row>
    <row r="236" spans="1:12" x14ac:dyDescent="0.35">
      <c r="A236">
        <v>2025</v>
      </c>
      <c r="B236">
        <v>10</v>
      </c>
      <c r="C236" t="s">
        <v>73</v>
      </c>
      <c r="D236" t="s">
        <v>282</v>
      </c>
      <c r="E236" t="s">
        <v>255</v>
      </c>
      <c r="F236">
        <v>32333</v>
      </c>
      <c r="G236">
        <v>489126</v>
      </c>
      <c r="H236">
        <v>466838</v>
      </c>
      <c r="I236">
        <v>297836</v>
      </c>
      <c r="J236">
        <v>797766</v>
      </c>
      <c r="K236">
        <v>421985</v>
      </c>
      <c r="L236">
        <v>556222</v>
      </c>
    </row>
    <row r="237" spans="1:12" x14ac:dyDescent="0.35">
      <c r="A237">
        <v>2025</v>
      </c>
      <c r="B237">
        <v>10</v>
      </c>
      <c r="C237" t="s">
        <v>73</v>
      </c>
      <c r="D237" t="s">
        <v>282</v>
      </c>
      <c r="E237" t="s">
        <v>257</v>
      </c>
      <c r="F237">
        <v>26343</v>
      </c>
      <c r="G237">
        <v>577362</v>
      </c>
      <c r="H237">
        <v>570804</v>
      </c>
      <c r="I237">
        <v>325286</v>
      </c>
      <c r="J237">
        <v>1075645</v>
      </c>
      <c r="K237">
        <v>472073</v>
      </c>
      <c r="L237">
        <v>669169</v>
      </c>
    </row>
    <row r="238" spans="1:12" x14ac:dyDescent="0.35">
      <c r="A238">
        <v>2025</v>
      </c>
      <c r="B238">
        <v>10</v>
      </c>
      <c r="C238" t="s">
        <v>73</v>
      </c>
      <c r="D238" t="s">
        <v>282</v>
      </c>
      <c r="E238" t="s">
        <v>259</v>
      </c>
      <c r="F238">
        <v>12621</v>
      </c>
      <c r="G238">
        <v>750087</v>
      </c>
      <c r="H238">
        <v>716433</v>
      </c>
      <c r="I238">
        <v>425274</v>
      </c>
      <c r="J238">
        <v>1144330</v>
      </c>
      <c r="K238">
        <v>679955</v>
      </c>
      <c r="L238">
        <v>848355</v>
      </c>
    </row>
    <row r="239" spans="1:12" x14ac:dyDescent="0.35">
      <c r="A239">
        <v>2025</v>
      </c>
      <c r="B239">
        <v>10</v>
      </c>
      <c r="C239" t="s">
        <v>73</v>
      </c>
      <c r="D239" t="s">
        <v>282</v>
      </c>
      <c r="E239" t="s">
        <v>261</v>
      </c>
      <c r="F239">
        <v>2692</v>
      </c>
      <c r="G239">
        <v>912401</v>
      </c>
      <c r="H239">
        <v>897000</v>
      </c>
      <c r="I239">
        <v>465544</v>
      </c>
      <c r="J239">
        <v>1380169</v>
      </c>
      <c r="K239">
        <v>704351</v>
      </c>
      <c r="L239">
        <v>1138628</v>
      </c>
    </row>
    <row r="240" spans="1:12" x14ac:dyDescent="0.35">
      <c r="A240">
        <v>2025</v>
      </c>
      <c r="B240">
        <v>10</v>
      </c>
      <c r="C240" t="s">
        <v>73</v>
      </c>
      <c r="D240" t="s">
        <v>282</v>
      </c>
      <c r="E240" t="s">
        <v>263</v>
      </c>
      <c r="F240">
        <v>1735</v>
      </c>
      <c r="G240">
        <v>977290</v>
      </c>
      <c r="H240">
        <v>933740</v>
      </c>
      <c r="I240">
        <v>616213</v>
      </c>
      <c r="J240">
        <v>1459353</v>
      </c>
      <c r="K240">
        <v>760313</v>
      </c>
      <c r="L240">
        <v>1146708</v>
      </c>
    </row>
    <row r="241" spans="1:12" x14ac:dyDescent="0.35">
      <c r="A241">
        <v>2025</v>
      </c>
      <c r="B241">
        <v>10</v>
      </c>
      <c r="C241" t="s">
        <v>73</v>
      </c>
      <c r="D241" t="s">
        <v>282</v>
      </c>
      <c r="E241" t="s">
        <v>265</v>
      </c>
      <c r="F241">
        <v>1311</v>
      </c>
      <c r="G241">
        <v>260720</v>
      </c>
      <c r="H241">
        <v>254743</v>
      </c>
      <c r="I241">
        <v>229743</v>
      </c>
      <c r="J241">
        <v>350839</v>
      </c>
      <c r="K241">
        <v>239743</v>
      </c>
      <c r="L241">
        <v>270297</v>
      </c>
    </row>
    <row r="242" spans="1:12" x14ac:dyDescent="0.35">
      <c r="A242">
        <v>2025</v>
      </c>
      <c r="B242">
        <v>10</v>
      </c>
      <c r="C242" t="s">
        <v>73</v>
      </c>
      <c r="D242" t="s">
        <v>282</v>
      </c>
      <c r="E242" t="s">
        <v>267</v>
      </c>
      <c r="F242">
        <v>59615</v>
      </c>
      <c r="G242">
        <v>405501</v>
      </c>
      <c r="H242">
        <v>412540</v>
      </c>
      <c r="I242">
        <v>260063</v>
      </c>
      <c r="J242">
        <v>584647</v>
      </c>
      <c r="K242">
        <v>320752</v>
      </c>
      <c r="L242">
        <v>462023</v>
      </c>
    </row>
    <row r="243" spans="1:12" x14ac:dyDescent="0.35">
      <c r="A243">
        <v>2025</v>
      </c>
      <c r="B243">
        <v>10</v>
      </c>
      <c r="C243" t="s">
        <v>73</v>
      </c>
      <c r="D243" t="s">
        <v>282</v>
      </c>
      <c r="E243" t="s">
        <v>269</v>
      </c>
      <c r="F243">
        <v>5394</v>
      </c>
      <c r="G243">
        <v>231841</v>
      </c>
      <c r="H243">
        <v>230765</v>
      </c>
      <c r="I243">
        <v>203498</v>
      </c>
      <c r="J243">
        <v>287748</v>
      </c>
      <c r="K243">
        <v>216368</v>
      </c>
      <c r="L243">
        <v>245950</v>
      </c>
    </row>
    <row r="244" spans="1:12" x14ac:dyDescent="0.35">
      <c r="A244">
        <v>2025</v>
      </c>
      <c r="B244">
        <v>10</v>
      </c>
      <c r="C244" t="s">
        <v>73</v>
      </c>
      <c r="D244" t="s">
        <v>282</v>
      </c>
      <c r="E244" t="s">
        <v>271</v>
      </c>
      <c r="F244">
        <v>3869</v>
      </c>
      <c r="G244">
        <v>245876</v>
      </c>
      <c r="H244">
        <v>243216</v>
      </c>
      <c r="I244">
        <v>207526</v>
      </c>
      <c r="J244">
        <v>290297</v>
      </c>
      <c r="K244">
        <v>230026</v>
      </c>
      <c r="L244">
        <v>262797</v>
      </c>
    </row>
    <row r="245" spans="1:12" x14ac:dyDescent="0.35">
      <c r="A245">
        <v>2025</v>
      </c>
      <c r="B245">
        <v>10</v>
      </c>
      <c r="C245" t="s">
        <v>73</v>
      </c>
      <c r="D245" t="s">
        <v>282</v>
      </c>
      <c r="E245" t="s">
        <v>273</v>
      </c>
      <c r="F245">
        <v>25397</v>
      </c>
      <c r="G245">
        <v>298747</v>
      </c>
      <c r="H245">
        <v>291725</v>
      </c>
      <c r="I245">
        <v>210210</v>
      </c>
      <c r="J245">
        <v>380002</v>
      </c>
      <c r="K245">
        <v>276172</v>
      </c>
      <c r="L245">
        <v>323389</v>
      </c>
    </row>
    <row r="246" spans="1:12" x14ac:dyDescent="0.35">
      <c r="A246">
        <v>2025</v>
      </c>
      <c r="B246">
        <v>10</v>
      </c>
      <c r="C246" t="s">
        <v>73</v>
      </c>
      <c r="D246" t="s">
        <v>282</v>
      </c>
      <c r="E246" t="s">
        <v>275</v>
      </c>
      <c r="F246">
        <v>3849</v>
      </c>
      <c r="G246">
        <v>218559</v>
      </c>
      <c r="H246">
        <v>217895</v>
      </c>
      <c r="I246">
        <v>191418</v>
      </c>
      <c r="J246">
        <v>260950</v>
      </c>
      <c r="K246">
        <v>206418</v>
      </c>
      <c r="L246">
        <v>230395</v>
      </c>
    </row>
    <row r="247" spans="1:12" x14ac:dyDescent="0.35">
      <c r="A247">
        <v>2025</v>
      </c>
      <c r="B247">
        <v>11</v>
      </c>
      <c r="C247" t="s">
        <v>74</v>
      </c>
      <c r="D247" t="s">
        <v>282</v>
      </c>
      <c r="E247" t="s">
        <v>255</v>
      </c>
      <c r="F247">
        <v>32383</v>
      </c>
      <c r="G247">
        <v>489788</v>
      </c>
      <c r="H247">
        <v>467995</v>
      </c>
      <c r="I247">
        <v>297836</v>
      </c>
      <c r="J247">
        <v>797766</v>
      </c>
      <c r="K247">
        <v>421985</v>
      </c>
      <c r="L247">
        <v>558722</v>
      </c>
    </row>
    <row r="248" spans="1:12" x14ac:dyDescent="0.35">
      <c r="A248">
        <v>2025</v>
      </c>
      <c r="B248">
        <v>11</v>
      </c>
      <c r="C248" t="s">
        <v>74</v>
      </c>
      <c r="D248" t="s">
        <v>282</v>
      </c>
      <c r="E248" t="s">
        <v>257</v>
      </c>
      <c r="F248">
        <v>26326</v>
      </c>
      <c r="G248">
        <v>577608</v>
      </c>
      <c r="H248">
        <v>570804</v>
      </c>
      <c r="I248">
        <v>325286</v>
      </c>
      <c r="J248">
        <v>1074108</v>
      </c>
      <c r="K248">
        <v>472441</v>
      </c>
      <c r="L248">
        <v>668292</v>
      </c>
    </row>
    <row r="249" spans="1:12" x14ac:dyDescent="0.35">
      <c r="A249">
        <v>2025</v>
      </c>
      <c r="B249">
        <v>11</v>
      </c>
      <c r="C249" t="s">
        <v>74</v>
      </c>
      <c r="D249" t="s">
        <v>282</v>
      </c>
      <c r="E249" t="s">
        <v>259</v>
      </c>
      <c r="F249">
        <v>12641</v>
      </c>
      <c r="G249">
        <v>750271</v>
      </c>
      <c r="H249">
        <v>718564</v>
      </c>
      <c r="I249">
        <v>425274</v>
      </c>
      <c r="J249">
        <v>1144330</v>
      </c>
      <c r="K249">
        <v>679955</v>
      </c>
      <c r="L249">
        <v>852702</v>
      </c>
    </row>
    <row r="250" spans="1:12" x14ac:dyDescent="0.35">
      <c r="A250">
        <v>2025</v>
      </c>
      <c r="B250">
        <v>11</v>
      </c>
      <c r="C250" t="s">
        <v>74</v>
      </c>
      <c r="D250" t="s">
        <v>282</v>
      </c>
      <c r="E250" t="s">
        <v>261</v>
      </c>
      <c r="F250">
        <v>2716</v>
      </c>
      <c r="G250">
        <v>910006</v>
      </c>
      <c r="H250">
        <v>896311</v>
      </c>
      <c r="I250">
        <v>465544</v>
      </c>
      <c r="J250">
        <v>1412920</v>
      </c>
      <c r="K250">
        <v>703699</v>
      </c>
      <c r="L250">
        <v>1136965</v>
      </c>
    </row>
    <row r="251" spans="1:12" x14ac:dyDescent="0.35">
      <c r="A251">
        <v>2025</v>
      </c>
      <c r="B251">
        <v>11</v>
      </c>
      <c r="C251" t="s">
        <v>74</v>
      </c>
      <c r="D251" t="s">
        <v>282</v>
      </c>
      <c r="E251" t="s">
        <v>263</v>
      </c>
      <c r="F251">
        <v>1779</v>
      </c>
      <c r="G251">
        <v>990978</v>
      </c>
      <c r="H251">
        <v>948739</v>
      </c>
      <c r="I251">
        <v>616213</v>
      </c>
      <c r="J251">
        <v>1506425</v>
      </c>
      <c r="K251">
        <v>775313</v>
      </c>
      <c r="L251">
        <v>1196241</v>
      </c>
    </row>
    <row r="252" spans="1:12" x14ac:dyDescent="0.35">
      <c r="A252">
        <v>2025</v>
      </c>
      <c r="B252">
        <v>11</v>
      </c>
      <c r="C252" t="s">
        <v>74</v>
      </c>
      <c r="D252" t="s">
        <v>282</v>
      </c>
      <c r="E252" t="s">
        <v>265</v>
      </c>
      <c r="F252">
        <v>1326</v>
      </c>
      <c r="G252">
        <v>260463</v>
      </c>
      <c r="H252">
        <v>254534</v>
      </c>
      <c r="I252">
        <v>229743</v>
      </c>
      <c r="J252">
        <v>350839</v>
      </c>
      <c r="K252">
        <v>239743</v>
      </c>
      <c r="L252">
        <v>270297</v>
      </c>
    </row>
    <row r="253" spans="1:12" x14ac:dyDescent="0.35">
      <c r="A253">
        <v>2025</v>
      </c>
      <c r="B253">
        <v>11</v>
      </c>
      <c r="C253" t="s">
        <v>74</v>
      </c>
      <c r="D253" t="s">
        <v>282</v>
      </c>
      <c r="E253" t="s">
        <v>267</v>
      </c>
      <c r="F253">
        <v>59647</v>
      </c>
      <c r="G253">
        <v>405542</v>
      </c>
      <c r="H253">
        <v>412540</v>
      </c>
      <c r="I253">
        <v>260063</v>
      </c>
      <c r="J253">
        <v>584647</v>
      </c>
      <c r="K253">
        <v>320752</v>
      </c>
      <c r="L253">
        <v>463044</v>
      </c>
    </row>
    <row r="254" spans="1:12" x14ac:dyDescent="0.35">
      <c r="A254">
        <v>2025</v>
      </c>
      <c r="B254">
        <v>11</v>
      </c>
      <c r="C254" t="s">
        <v>74</v>
      </c>
      <c r="D254" t="s">
        <v>282</v>
      </c>
      <c r="E254" t="s">
        <v>269</v>
      </c>
      <c r="F254">
        <v>5413</v>
      </c>
      <c r="G254">
        <v>231855</v>
      </c>
      <c r="H254">
        <v>230950</v>
      </c>
      <c r="I254">
        <v>203498</v>
      </c>
      <c r="J254">
        <v>287748</v>
      </c>
      <c r="K254">
        <v>216368</v>
      </c>
      <c r="L254">
        <v>245950</v>
      </c>
    </row>
    <row r="255" spans="1:12" x14ac:dyDescent="0.35">
      <c r="A255">
        <v>2025</v>
      </c>
      <c r="B255">
        <v>11</v>
      </c>
      <c r="C255" t="s">
        <v>74</v>
      </c>
      <c r="D255" t="s">
        <v>282</v>
      </c>
      <c r="E255" t="s">
        <v>271</v>
      </c>
      <c r="F255">
        <v>3851</v>
      </c>
      <c r="G255">
        <v>245870</v>
      </c>
      <c r="H255">
        <v>243216</v>
      </c>
      <c r="I255">
        <v>207526</v>
      </c>
      <c r="J255">
        <v>290297</v>
      </c>
      <c r="K255">
        <v>230395</v>
      </c>
      <c r="L255">
        <v>262661</v>
      </c>
    </row>
    <row r="256" spans="1:12" x14ac:dyDescent="0.35">
      <c r="A256">
        <v>2025</v>
      </c>
      <c r="B256">
        <v>11</v>
      </c>
      <c r="C256" t="s">
        <v>74</v>
      </c>
      <c r="D256" t="s">
        <v>282</v>
      </c>
      <c r="E256" t="s">
        <v>273</v>
      </c>
      <c r="F256">
        <v>25551</v>
      </c>
      <c r="G256">
        <v>298853</v>
      </c>
      <c r="H256">
        <v>291725</v>
      </c>
      <c r="I256">
        <v>210210</v>
      </c>
      <c r="J256">
        <v>380002</v>
      </c>
      <c r="K256">
        <v>276172</v>
      </c>
      <c r="L256">
        <v>323389</v>
      </c>
    </row>
    <row r="257" spans="1:12" x14ac:dyDescent="0.35">
      <c r="A257">
        <v>2025</v>
      </c>
      <c r="B257">
        <v>11</v>
      </c>
      <c r="C257" t="s">
        <v>74</v>
      </c>
      <c r="D257" t="s">
        <v>282</v>
      </c>
      <c r="E257" t="s">
        <v>275</v>
      </c>
      <c r="F257">
        <v>3855</v>
      </c>
      <c r="G257">
        <v>218593</v>
      </c>
      <c r="H257">
        <v>217895</v>
      </c>
      <c r="I257">
        <v>191418</v>
      </c>
      <c r="J257">
        <v>260950</v>
      </c>
      <c r="K257">
        <v>206602</v>
      </c>
      <c r="L257">
        <v>230395</v>
      </c>
    </row>
    <row r="258" spans="1:12" x14ac:dyDescent="0.35">
      <c r="A258">
        <v>2025</v>
      </c>
      <c r="B258">
        <v>12</v>
      </c>
      <c r="C258" t="s">
        <v>75</v>
      </c>
      <c r="D258" t="s">
        <v>282</v>
      </c>
      <c r="E258" t="s">
        <v>255</v>
      </c>
      <c r="F258">
        <v>32367</v>
      </c>
      <c r="G258">
        <v>490027</v>
      </c>
      <c r="H258">
        <v>466838</v>
      </c>
      <c r="I258">
        <v>297836</v>
      </c>
      <c r="J258">
        <v>796187</v>
      </c>
      <c r="K258">
        <v>423833</v>
      </c>
      <c r="L258">
        <v>558722</v>
      </c>
    </row>
    <row r="259" spans="1:12" x14ac:dyDescent="0.35">
      <c r="A259">
        <v>2025</v>
      </c>
      <c r="B259">
        <v>12</v>
      </c>
      <c r="C259" t="s">
        <v>75</v>
      </c>
      <c r="D259" t="s">
        <v>282</v>
      </c>
      <c r="E259" t="s">
        <v>257</v>
      </c>
      <c r="F259">
        <v>26419</v>
      </c>
      <c r="G259">
        <v>580830</v>
      </c>
      <c r="H259">
        <v>570903</v>
      </c>
      <c r="I259">
        <v>325286</v>
      </c>
      <c r="J259">
        <v>1074108</v>
      </c>
      <c r="K259">
        <v>473550</v>
      </c>
      <c r="L259">
        <v>681064</v>
      </c>
    </row>
    <row r="260" spans="1:12" x14ac:dyDescent="0.35">
      <c r="A260">
        <v>2025</v>
      </c>
      <c r="B260">
        <v>12</v>
      </c>
      <c r="C260" t="s">
        <v>75</v>
      </c>
      <c r="D260" t="s">
        <v>282</v>
      </c>
      <c r="E260" t="s">
        <v>259</v>
      </c>
      <c r="F260">
        <v>12641</v>
      </c>
      <c r="G260">
        <v>753482</v>
      </c>
      <c r="H260">
        <v>728933</v>
      </c>
      <c r="I260">
        <v>425274</v>
      </c>
      <c r="J260">
        <v>1144330</v>
      </c>
      <c r="K260">
        <v>684955</v>
      </c>
      <c r="L260">
        <v>852702</v>
      </c>
    </row>
    <row r="261" spans="1:12" x14ac:dyDescent="0.35">
      <c r="A261">
        <v>2025</v>
      </c>
      <c r="B261">
        <v>12</v>
      </c>
      <c r="C261" t="s">
        <v>75</v>
      </c>
      <c r="D261" t="s">
        <v>282</v>
      </c>
      <c r="E261" t="s">
        <v>261</v>
      </c>
      <c r="F261">
        <v>2777</v>
      </c>
      <c r="G261">
        <v>905683</v>
      </c>
      <c r="H261">
        <v>891311</v>
      </c>
      <c r="I261">
        <v>465544</v>
      </c>
      <c r="J261">
        <v>1380169</v>
      </c>
      <c r="K261">
        <v>701853</v>
      </c>
      <c r="L261">
        <v>1134701</v>
      </c>
    </row>
    <row r="262" spans="1:12" x14ac:dyDescent="0.35">
      <c r="A262">
        <v>2025</v>
      </c>
      <c r="B262">
        <v>12</v>
      </c>
      <c r="C262" t="s">
        <v>75</v>
      </c>
      <c r="D262" t="s">
        <v>282</v>
      </c>
      <c r="E262" t="s">
        <v>263</v>
      </c>
      <c r="F262">
        <v>1778</v>
      </c>
      <c r="G262">
        <v>979498</v>
      </c>
      <c r="H262">
        <v>941238</v>
      </c>
      <c r="I262">
        <v>616213</v>
      </c>
      <c r="J262">
        <v>1451081</v>
      </c>
      <c r="K262">
        <v>772099</v>
      </c>
      <c r="L262">
        <v>1176241</v>
      </c>
    </row>
    <row r="263" spans="1:12" x14ac:dyDescent="0.35">
      <c r="A263">
        <v>2025</v>
      </c>
      <c r="B263">
        <v>12</v>
      </c>
      <c r="C263" t="s">
        <v>75</v>
      </c>
      <c r="D263" t="s">
        <v>282</v>
      </c>
      <c r="E263" t="s">
        <v>265</v>
      </c>
      <c r="F263">
        <v>1329</v>
      </c>
      <c r="G263">
        <v>260676</v>
      </c>
      <c r="H263">
        <v>254743</v>
      </c>
      <c r="I263">
        <v>229743</v>
      </c>
      <c r="J263">
        <v>350839</v>
      </c>
      <c r="K263">
        <v>239743</v>
      </c>
      <c r="L263">
        <v>270297</v>
      </c>
    </row>
    <row r="264" spans="1:12" x14ac:dyDescent="0.35">
      <c r="A264">
        <v>2025</v>
      </c>
      <c r="B264">
        <v>12</v>
      </c>
      <c r="C264" t="s">
        <v>75</v>
      </c>
      <c r="D264" t="s">
        <v>282</v>
      </c>
      <c r="E264" t="s">
        <v>267</v>
      </c>
      <c r="F264">
        <v>59428</v>
      </c>
      <c r="G264">
        <v>405550</v>
      </c>
      <c r="H264">
        <v>412540</v>
      </c>
      <c r="I264">
        <v>260063</v>
      </c>
      <c r="J264">
        <v>584647</v>
      </c>
      <c r="K264">
        <v>320752</v>
      </c>
      <c r="L264">
        <v>463044</v>
      </c>
    </row>
    <row r="265" spans="1:12" x14ac:dyDescent="0.35">
      <c r="A265">
        <v>2025</v>
      </c>
      <c r="B265">
        <v>12</v>
      </c>
      <c r="C265" t="s">
        <v>75</v>
      </c>
      <c r="D265" t="s">
        <v>282</v>
      </c>
      <c r="E265" t="s">
        <v>269</v>
      </c>
      <c r="F265">
        <v>5409</v>
      </c>
      <c r="G265">
        <v>231940</v>
      </c>
      <c r="H265">
        <v>230950</v>
      </c>
      <c r="I265">
        <v>203498</v>
      </c>
      <c r="J265">
        <v>287748</v>
      </c>
      <c r="K265">
        <v>216368</v>
      </c>
      <c r="L265">
        <v>245950</v>
      </c>
    </row>
    <row r="266" spans="1:12" x14ac:dyDescent="0.35">
      <c r="A266">
        <v>2025</v>
      </c>
      <c r="B266">
        <v>12</v>
      </c>
      <c r="C266" t="s">
        <v>75</v>
      </c>
      <c r="D266" t="s">
        <v>282</v>
      </c>
      <c r="E266" t="s">
        <v>271</v>
      </c>
      <c r="F266">
        <v>3838</v>
      </c>
      <c r="G266">
        <v>246031</v>
      </c>
      <c r="H266">
        <v>243216</v>
      </c>
      <c r="I266">
        <v>207526</v>
      </c>
      <c r="J266">
        <v>290297</v>
      </c>
      <c r="K266">
        <v>230395</v>
      </c>
      <c r="L266">
        <v>262797</v>
      </c>
    </row>
    <row r="267" spans="1:12" x14ac:dyDescent="0.35">
      <c r="A267">
        <v>2025</v>
      </c>
      <c r="B267">
        <v>12</v>
      </c>
      <c r="C267" t="s">
        <v>75</v>
      </c>
      <c r="D267" t="s">
        <v>282</v>
      </c>
      <c r="E267" t="s">
        <v>273</v>
      </c>
      <c r="F267">
        <v>25648</v>
      </c>
      <c r="G267">
        <v>298968</v>
      </c>
      <c r="H267">
        <v>291725</v>
      </c>
      <c r="I267">
        <v>210210</v>
      </c>
      <c r="J267">
        <v>380002</v>
      </c>
      <c r="K267">
        <v>276172</v>
      </c>
      <c r="L267">
        <v>323389</v>
      </c>
    </row>
    <row r="268" spans="1:12" x14ac:dyDescent="0.35">
      <c r="A268">
        <v>2025</v>
      </c>
      <c r="B268">
        <v>12</v>
      </c>
      <c r="C268" t="s">
        <v>75</v>
      </c>
      <c r="D268" t="s">
        <v>282</v>
      </c>
      <c r="E268" t="s">
        <v>275</v>
      </c>
      <c r="F268">
        <v>3838</v>
      </c>
      <c r="G268">
        <v>218685</v>
      </c>
      <c r="H268">
        <v>218104</v>
      </c>
      <c r="I268">
        <v>191418</v>
      </c>
      <c r="J268">
        <v>260950</v>
      </c>
      <c r="K268">
        <v>206602</v>
      </c>
      <c r="L268">
        <v>230950</v>
      </c>
    </row>
  </sheetData>
  <mergeCells count="1">
    <mergeCell ref="A1:L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283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255</v>
      </c>
      <c r="E5">
        <v>39159</v>
      </c>
      <c r="F5">
        <v>7</v>
      </c>
    </row>
    <row r="6" spans="1:6" x14ac:dyDescent="0.35">
      <c r="A6">
        <v>2024</v>
      </c>
      <c r="B6">
        <v>2</v>
      </c>
      <c r="C6" t="s">
        <v>63</v>
      </c>
      <c r="D6" t="s">
        <v>255</v>
      </c>
      <c r="E6">
        <v>40114</v>
      </c>
      <c r="F6">
        <v>7</v>
      </c>
    </row>
    <row r="7" spans="1:6" x14ac:dyDescent="0.35">
      <c r="A7">
        <v>2024</v>
      </c>
      <c r="B7">
        <v>3</v>
      </c>
      <c r="C7" t="s">
        <v>66</v>
      </c>
      <c r="D7" t="s">
        <v>255</v>
      </c>
      <c r="E7">
        <v>41020</v>
      </c>
      <c r="F7">
        <v>9</v>
      </c>
    </row>
    <row r="8" spans="1:6" x14ac:dyDescent="0.35">
      <c r="A8">
        <v>2024</v>
      </c>
      <c r="B8">
        <v>4</v>
      </c>
      <c r="C8" t="s">
        <v>67</v>
      </c>
      <c r="D8" t="s">
        <v>255</v>
      </c>
      <c r="E8">
        <v>41536</v>
      </c>
      <c r="F8">
        <v>9</v>
      </c>
    </row>
    <row r="9" spans="1:6" x14ac:dyDescent="0.35">
      <c r="A9">
        <v>2024</v>
      </c>
      <c r="B9">
        <v>5</v>
      </c>
      <c r="C9" t="s">
        <v>68</v>
      </c>
      <c r="D9" t="s">
        <v>255</v>
      </c>
      <c r="E9">
        <v>41931</v>
      </c>
      <c r="F9">
        <v>9</v>
      </c>
    </row>
    <row r="10" spans="1:6" x14ac:dyDescent="0.35">
      <c r="A10">
        <v>2024</v>
      </c>
      <c r="B10">
        <v>6</v>
      </c>
      <c r="C10" t="s">
        <v>69</v>
      </c>
      <c r="D10" t="s">
        <v>255</v>
      </c>
      <c r="E10">
        <v>42090</v>
      </c>
      <c r="F10">
        <v>9</v>
      </c>
    </row>
    <row r="11" spans="1:6" x14ac:dyDescent="0.35">
      <c r="A11">
        <v>2024</v>
      </c>
      <c r="B11">
        <v>7</v>
      </c>
      <c r="C11" t="s">
        <v>70</v>
      </c>
      <c r="D11" t="s">
        <v>255</v>
      </c>
      <c r="E11">
        <v>43454</v>
      </c>
      <c r="F11">
        <v>9</v>
      </c>
    </row>
    <row r="12" spans="1:6" x14ac:dyDescent="0.35">
      <c r="A12">
        <v>2024</v>
      </c>
      <c r="B12">
        <v>8</v>
      </c>
      <c r="C12" t="s">
        <v>71</v>
      </c>
      <c r="D12" t="s">
        <v>255</v>
      </c>
      <c r="E12">
        <v>44050</v>
      </c>
      <c r="F12">
        <v>10</v>
      </c>
    </row>
    <row r="13" spans="1:6" x14ac:dyDescent="0.35">
      <c r="A13">
        <v>2024</v>
      </c>
      <c r="B13">
        <v>9</v>
      </c>
      <c r="C13" t="s">
        <v>72</v>
      </c>
      <c r="D13" t="s">
        <v>255</v>
      </c>
      <c r="E13">
        <v>44331</v>
      </c>
      <c r="F13">
        <v>15</v>
      </c>
    </row>
    <row r="14" spans="1:6" x14ac:dyDescent="0.35">
      <c r="A14">
        <v>2024</v>
      </c>
      <c r="B14">
        <v>10</v>
      </c>
      <c r="C14" t="s">
        <v>73</v>
      </c>
      <c r="D14" t="s">
        <v>255</v>
      </c>
      <c r="E14">
        <v>44773</v>
      </c>
      <c r="F14">
        <v>18</v>
      </c>
    </row>
    <row r="15" spans="1:6" x14ac:dyDescent="0.35">
      <c r="A15">
        <v>2024</v>
      </c>
      <c r="B15">
        <v>11</v>
      </c>
      <c r="C15" t="s">
        <v>74</v>
      </c>
      <c r="D15" t="s">
        <v>255</v>
      </c>
      <c r="E15">
        <v>45190</v>
      </c>
      <c r="F15">
        <v>34</v>
      </c>
    </row>
    <row r="16" spans="1:6" x14ac:dyDescent="0.35">
      <c r="A16">
        <v>2024</v>
      </c>
      <c r="B16">
        <v>12</v>
      </c>
      <c r="C16" t="s">
        <v>75</v>
      </c>
      <c r="D16" t="s">
        <v>255</v>
      </c>
      <c r="E16">
        <v>45175</v>
      </c>
      <c r="F16">
        <v>32</v>
      </c>
    </row>
    <row r="17" spans="1:6" x14ac:dyDescent="0.35">
      <c r="A17">
        <v>2025</v>
      </c>
      <c r="B17">
        <v>1</v>
      </c>
      <c r="C17" t="s">
        <v>42</v>
      </c>
      <c r="D17" t="s">
        <v>255</v>
      </c>
      <c r="E17">
        <v>44234</v>
      </c>
      <c r="F17">
        <v>24</v>
      </c>
    </row>
    <row r="18" spans="1:6" x14ac:dyDescent="0.35">
      <c r="A18">
        <v>2025</v>
      </c>
      <c r="B18">
        <v>2</v>
      </c>
      <c r="C18" t="s">
        <v>63</v>
      </c>
      <c r="D18" t="s">
        <v>255</v>
      </c>
      <c r="E18">
        <v>44534</v>
      </c>
      <c r="F18">
        <v>24</v>
      </c>
    </row>
    <row r="19" spans="1:6" x14ac:dyDescent="0.35">
      <c r="A19">
        <v>2025</v>
      </c>
      <c r="B19">
        <v>3</v>
      </c>
      <c r="C19" t="s">
        <v>66</v>
      </c>
      <c r="D19" t="s">
        <v>255</v>
      </c>
      <c r="E19">
        <v>45337</v>
      </c>
      <c r="F19">
        <v>21</v>
      </c>
    </row>
    <row r="20" spans="1:6" x14ac:dyDescent="0.35">
      <c r="A20">
        <v>2025</v>
      </c>
      <c r="B20">
        <v>4</v>
      </c>
      <c r="C20" t="s">
        <v>67</v>
      </c>
      <c r="D20" t="s">
        <v>255</v>
      </c>
      <c r="E20">
        <v>44522</v>
      </c>
      <c r="F20">
        <v>24</v>
      </c>
    </row>
    <row r="21" spans="1:6" x14ac:dyDescent="0.35">
      <c r="A21">
        <v>2025</v>
      </c>
      <c r="B21">
        <v>5</v>
      </c>
      <c r="C21" t="s">
        <v>68</v>
      </c>
      <c r="D21" t="s">
        <v>255</v>
      </c>
      <c r="E21">
        <v>46469</v>
      </c>
      <c r="F21">
        <v>25</v>
      </c>
    </row>
    <row r="22" spans="1:6" x14ac:dyDescent="0.35">
      <c r="A22">
        <v>2025</v>
      </c>
      <c r="B22">
        <v>6</v>
      </c>
      <c r="C22" t="s">
        <v>69</v>
      </c>
      <c r="D22" t="s">
        <v>255</v>
      </c>
      <c r="E22">
        <v>46809</v>
      </c>
      <c r="F22">
        <v>25</v>
      </c>
    </row>
    <row r="23" spans="1:6" x14ac:dyDescent="0.35">
      <c r="A23">
        <v>2025</v>
      </c>
      <c r="B23">
        <v>7</v>
      </c>
      <c r="C23" t="s">
        <v>70</v>
      </c>
      <c r="D23" t="s">
        <v>255</v>
      </c>
      <c r="E23">
        <v>47311</v>
      </c>
      <c r="F23">
        <v>27</v>
      </c>
    </row>
    <row r="24" spans="1:6" x14ac:dyDescent="0.35">
      <c r="A24">
        <v>2025</v>
      </c>
      <c r="B24">
        <v>8</v>
      </c>
      <c r="C24" t="s">
        <v>71</v>
      </c>
      <c r="D24" t="s">
        <v>255</v>
      </c>
      <c r="E24">
        <v>48061</v>
      </c>
      <c r="F24">
        <v>27</v>
      </c>
    </row>
    <row r="25" spans="1:6" x14ac:dyDescent="0.35">
      <c r="A25">
        <v>2025</v>
      </c>
      <c r="B25">
        <v>9</v>
      </c>
      <c r="C25" t="s">
        <v>72</v>
      </c>
      <c r="D25" t="s">
        <v>255</v>
      </c>
      <c r="E25">
        <v>48315</v>
      </c>
      <c r="F25">
        <v>28</v>
      </c>
    </row>
    <row r="26" spans="1:6" x14ac:dyDescent="0.35">
      <c r="A26">
        <v>2025</v>
      </c>
      <c r="B26">
        <v>10</v>
      </c>
      <c r="C26" t="s">
        <v>73</v>
      </c>
      <c r="D26" t="s">
        <v>255</v>
      </c>
      <c r="E26">
        <v>48511</v>
      </c>
      <c r="F26">
        <v>27</v>
      </c>
    </row>
    <row r="27" spans="1:6" x14ac:dyDescent="0.35">
      <c r="A27">
        <v>2025</v>
      </c>
      <c r="B27">
        <v>11</v>
      </c>
      <c r="C27" t="s">
        <v>74</v>
      </c>
      <c r="D27" t="s">
        <v>255</v>
      </c>
      <c r="E27">
        <v>48635</v>
      </c>
      <c r="F27">
        <v>27</v>
      </c>
    </row>
    <row r="28" spans="1:6" x14ac:dyDescent="0.35">
      <c r="A28">
        <v>2025</v>
      </c>
      <c r="B28">
        <v>12</v>
      </c>
      <c r="C28" t="s">
        <v>75</v>
      </c>
      <c r="D28" t="s">
        <v>255</v>
      </c>
      <c r="E28">
        <v>48695</v>
      </c>
      <c r="F28">
        <v>28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286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257</v>
      </c>
      <c r="E5">
        <v>29591</v>
      </c>
      <c r="F5">
        <v>155</v>
      </c>
    </row>
    <row r="6" spans="1:6" x14ac:dyDescent="0.35">
      <c r="A6">
        <v>2024</v>
      </c>
      <c r="B6">
        <v>2</v>
      </c>
      <c r="C6" t="s">
        <v>63</v>
      </c>
      <c r="D6" t="s">
        <v>257</v>
      </c>
      <c r="E6">
        <v>30121</v>
      </c>
      <c r="F6">
        <v>153</v>
      </c>
    </row>
    <row r="7" spans="1:6" x14ac:dyDescent="0.35">
      <c r="A7">
        <v>2024</v>
      </c>
      <c r="B7">
        <v>3</v>
      </c>
      <c r="C7" t="s">
        <v>66</v>
      </c>
      <c r="D7" t="s">
        <v>257</v>
      </c>
      <c r="E7">
        <v>30608</v>
      </c>
      <c r="F7">
        <v>147</v>
      </c>
    </row>
    <row r="8" spans="1:6" x14ac:dyDescent="0.35">
      <c r="A8">
        <v>2024</v>
      </c>
      <c r="B8">
        <v>4</v>
      </c>
      <c r="C8" t="s">
        <v>67</v>
      </c>
      <c r="D8" t="s">
        <v>257</v>
      </c>
      <c r="E8">
        <v>30997</v>
      </c>
      <c r="F8">
        <v>155</v>
      </c>
    </row>
    <row r="9" spans="1:6" x14ac:dyDescent="0.35">
      <c r="A9">
        <v>2024</v>
      </c>
      <c r="B9">
        <v>5</v>
      </c>
      <c r="C9" t="s">
        <v>68</v>
      </c>
      <c r="D9" t="s">
        <v>257</v>
      </c>
      <c r="E9">
        <v>30940</v>
      </c>
      <c r="F9">
        <v>147</v>
      </c>
    </row>
    <row r="10" spans="1:6" x14ac:dyDescent="0.35">
      <c r="A10">
        <v>2024</v>
      </c>
      <c r="B10">
        <v>6</v>
      </c>
      <c r="C10" t="s">
        <v>69</v>
      </c>
      <c r="D10" t="s">
        <v>257</v>
      </c>
      <c r="E10">
        <v>31084</v>
      </c>
      <c r="F10">
        <v>146</v>
      </c>
    </row>
    <row r="11" spans="1:6" x14ac:dyDescent="0.35">
      <c r="A11">
        <v>2024</v>
      </c>
      <c r="B11">
        <v>7</v>
      </c>
      <c r="C11" t="s">
        <v>70</v>
      </c>
      <c r="D11" t="s">
        <v>257</v>
      </c>
      <c r="E11">
        <v>31835</v>
      </c>
      <c r="F11">
        <v>159</v>
      </c>
    </row>
    <row r="12" spans="1:6" x14ac:dyDescent="0.35">
      <c r="A12">
        <v>2024</v>
      </c>
      <c r="B12">
        <v>8</v>
      </c>
      <c r="C12" t="s">
        <v>71</v>
      </c>
      <c r="D12" t="s">
        <v>257</v>
      </c>
      <c r="E12">
        <v>32335</v>
      </c>
      <c r="F12">
        <v>159</v>
      </c>
    </row>
    <row r="13" spans="1:6" x14ac:dyDescent="0.35">
      <c r="A13">
        <v>2024</v>
      </c>
      <c r="B13">
        <v>9</v>
      </c>
      <c r="C13" t="s">
        <v>72</v>
      </c>
      <c r="D13" t="s">
        <v>257</v>
      </c>
      <c r="E13">
        <v>32621</v>
      </c>
      <c r="F13">
        <v>163</v>
      </c>
    </row>
    <row r="14" spans="1:6" x14ac:dyDescent="0.35">
      <c r="A14">
        <v>2024</v>
      </c>
      <c r="B14">
        <v>10</v>
      </c>
      <c r="C14" t="s">
        <v>73</v>
      </c>
      <c r="D14" t="s">
        <v>257</v>
      </c>
      <c r="E14">
        <v>32870</v>
      </c>
      <c r="F14">
        <v>165</v>
      </c>
    </row>
    <row r="15" spans="1:6" x14ac:dyDescent="0.35">
      <c r="A15">
        <v>2024</v>
      </c>
      <c r="B15">
        <v>11</v>
      </c>
      <c r="C15" t="s">
        <v>74</v>
      </c>
      <c r="D15" t="s">
        <v>257</v>
      </c>
      <c r="E15">
        <v>32922</v>
      </c>
      <c r="F15">
        <v>166</v>
      </c>
    </row>
    <row r="16" spans="1:6" x14ac:dyDescent="0.35">
      <c r="A16">
        <v>2024</v>
      </c>
      <c r="B16">
        <v>12</v>
      </c>
      <c r="C16" t="s">
        <v>75</v>
      </c>
      <c r="D16" t="s">
        <v>257</v>
      </c>
      <c r="E16">
        <v>32956</v>
      </c>
      <c r="F16">
        <v>163</v>
      </c>
    </row>
    <row r="17" spans="1:6" x14ac:dyDescent="0.35">
      <c r="A17">
        <v>2025</v>
      </c>
      <c r="B17">
        <v>1</v>
      </c>
      <c r="C17" t="s">
        <v>42</v>
      </c>
      <c r="D17" t="s">
        <v>257</v>
      </c>
      <c r="E17">
        <v>32808</v>
      </c>
      <c r="F17">
        <v>160</v>
      </c>
    </row>
    <row r="18" spans="1:6" x14ac:dyDescent="0.35">
      <c r="A18">
        <v>2025</v>
      </c>
      <c r="B18">
        <v>2</v>
      </c>
      <c r="C18" t="s">
        <v>63</v>
      </c>
      <c r="D18" t="s">
        <v>257</v>
      </c>
      <c r="E18">
        <v>33190</v>
      </c>
      <c r="F18">
        <v>159</v>
      </c>
    </row>
    <row r="19" spans="1:6" x14ac:dyDescent="0.35">
      <c r="A19">
        <v>2025</v>
      </c>
      <c r="B19">
        <v>3</v>
      </c>
      <c r="C19" t="s">
        <v>66</v>
      </c>
      <c r="D19" t="s">
        <v>257</v>
      </c>
      <c r="E19">
        <v>33995</v>
      </c>
      <c r="F19">
        <v>38</v>
      </c>
    </row>
    <row r="20" spans="1:6" x14ac:dyDescent="0.35">
      <c r="A20">
        <v>2025</v>
      </c>
      <c r="B20">
        <v>4</v>
      </c>
      <c r="C20" t="s">
        <v>67</v>
      </c>
      <c r="D20" t="s">
        <v>257</v>
      </c>
      <c r="E20">
        <v>33166</v>
      </c>
      <c r="F20">
        <v>159</v>
      </c>
    </row>
    <row r="21" spans="1:6" x14ac:dyDescent="0.35">
      <c r="A21">
        <v>2025</v>
      </c>
      <c r="B21">
        <v>5</v>
      </c>
      <c r="C21" t="s">
        <v>68</v>
      </c>
      <c r="D21" t="s">
        <v>257</v>
      </c>
      <c r="E21">
        <v>34405</v>
      </c>
      <c r="F21">
        <v>164</v>
      </c>
    </row>
    <row r="22" spans="1:6" x14ac:dyDescent="0.35">
      <c r="A22">
        <v>2025</v>
      </c>
      <c r="B22">
        <v>6</v>
      </c>
      <c r="C22" t="s">
        <v>69</v>
      </c>
      <c r="D22" t="s">
        <v>257</v>
      </c>
      <c r="E22">
        <v>34728</v>
      </c>
      <c r="F22">
        <v>159</v>
      </c>
    </row>
    <row r="23" spans="1:6" x14ac:dyDescent="0.35">
      <c r="A23">
        <v>2025</v>
      </c>
      <c r="B23">
        <v>7</v>
      </c>
      <c r="C23" t="s">
        <v>70</v>
      </c>
      <c r="D23" t="s">
        <v>257</v>
      </c>
      <c r="E23">
        <v>34939</v>
      </c>
      <c r="F23">
        <v>156</v>
      </c>
    </row>
    <row r="24" spans="1:6" x14ac:dyDescent="0.35">
      <c r="A24">
        <v>2025</v>
      </c>
      <c r="B24">
        <v>8</v>
      </c>
      <c r="C24" t="s">
        <v>71</v>
      </c>
      <c r="D24" t="s">
        <v>257</v>
      </c>
      <c r="E24">
        <v>35172</v>
      </c>
      <c r="F24">
        <v>162</v>
      </c>
    </row>
    <row r="25" spans="1:6" x14ac:dyDescent="0.35">
      <c r="A25">
        <v>2025</v>
      </c>
      <c r="B25">
        <v>9</v>
      </c>
      <c r="C25" t="s">
        <v>72</v>
      </c>
      <c r="D25" t="s">
        <v>257</v>
      </c>
      <c r="E25">
        <v>35351</v>
      </c>
      <c r="F25">
        <v>162</v>
      </c>
    </row>
    <row r="26" spans="1:6" x14ac:dyDescent="0.35">
      <c r="A26">
        <v>2025</v>
      </c>
      <c r="B26">
        <v>10</v>
      </c>
      <c r="C26" t="s">
        <v>73</v>
      </c>
      <c r="D26" t="s">
        <v>257</v>
      </c>
      <c r="E26">
        <v>35420</v>
      </c>
      <c r="F26">
        <v>166</v>
      </c>
    </row>
    <row r="27" spans="1:6" x14ac:dyDescent="0.35">
      <c r="A27">
        <v>2025</v>
      </c>
      <c r="B27">
        <v>11</v>
      </c>
      <c r="C27" t="s">
        <v>74</v>
      </c>
      <c r="D27" t="s">
        <v>257</v>
      </c>
      <c r="E27">
        <v>35411</v>
      </c>
      <c r="F27">
        <v>158</v>
      </c>
    </row>
    <row r="28" spans="1:6" x14ac:dyDescent="0.35">
      <c r="A28">
        <v>2025</v>
      </c>
      <c r="B28">
        <v>12</v>
      </c>
      <c r="C28" t="s">
        <v>75</v>
      </c>
      <c r="D28" t="s">
        <v>257</v>
      </c>
      <c r="E28">
        <v>35524</v>
      </c>
      <c r="F28">
        <v>158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287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259</v>
      </c>
      <c r="E5">
        <v>15807</v>
      </c>
      <c r="F5">
        <v>131</v>
      </c>
    </row>
    <row r="6" spans="1:6" x14ac:dyDescent="0.35">
      <c r="A6">
        <v>2024</v>
      </c>
      <c r="B6">
        <v>2</v>
      </c>
      <c r="C6" t="s">
        <v>63</v>
      </c>
      <c r="D6" t="s">
        <v>259</v>
      </c>
      <c r="E6">
        <v>15927</v>
      </c>
      <c r="F6">
        <v>135</v>
      </c>
    </row>
    <row r="7" spans="1:6" x14ac:dyDescent="0.35">
      <c r="A7">
        <v>2024</v>
      </c>
      <c r="B7">
        <v>3</v>
      </c>
      <c r="C7" t="s">
        <v>66</v>
      </c>
      <c r="D7" t="s">
        <v>259</v>
      </c>
      <c r="E7">
        <v>16049</v>
      </c>
      <c r="F7">
        <v>130</v>
      </c>
    </row>
    <row r="8" spans="1:6" x14ac:dyDescent="0.35">
      <c r="A8">
        <v>2024</v>
      </c>
      <c r="B8">
        <v>4</v>
      </c>
      <c r="C8" t="s">
        <v>67</v>
      </c>
      <c r="D8" t="s">
        <v>259</v>
      </c>
      <c r="E8">
        <v>16245</v>
      </c>
      <c r="F8">
        <v>136</v>
      </c>
    </row>
    <row r="9" spans="1:6" x14ac:dyDescent="0.35">
      <c r="A9">
        <v>2024</v>
      </c>
      <c r="B9">
        <v>5</v>
      </c>
      <c r="C9" t="s">
        <v>68</v>
      </c>
      <c r="D9" t="s">
        <v>259</v>
      </c>
      <c r="E9">
        <v>16220</v>
      </c>
      <c r="F9">
        <v>109</v>
      </c>
    </row>
    <row r="10" spans="1:6" x14ac:dyDescent="0.35">
      <c r="A10">
        <v>2024</v>
      </c>
      <c r="B10">
        <v>6</v>
      </c>
      <c r="C10" t="s">
        <v>69</v>
      </c>
      <c r="D10" t="s">
        <v>259</v>
      </c>
      <c r="E10">
        <v>16309</v>
      </c>
      <c r="F10">
        <v>118</v>
      </c>
    </row>
    <row r="11" spans="1:6" x14ac:dyDescent="0.35">
      <c r="A11">
        <v>2024</v>
      </c>
      <c r="B11">
        <v>7</v>
      </c>
      <c r="C11" t="s">
        <v>70</v>
      </c>
      <c r="D11" t="s">
        <v>259</v>
      </c>
      <c r="E11">
        <v>16469</v>
      </c>
      <c r="F11">
        <v>139</v>
      </c>
    </row>
    <row r="12" spans="1:6" x14ac:dyDescent="0.35">
      <c r="A12">
        <v>2024</v>
      </c>
      <c r="B12">
        <v>8</v>
      </c>
      <c r="C12" t="s">
        <v>71</v>
      </c>
      <c r="D12" t="s">
        <v>259</v>
      </c>
      <c r="E12">
        <v>16508</v>
      </c>
      <c r="F12">
        <v>140</v>
      </c>
    </row>
    <row r="13" spans="1:6" x14ac:dyDescent="0.35">
      <c r="A13">
        <v>2024</v>
      </c>
      <c r="B13">
        <v>9</v>
      </c>
      <c r="C13" t="s">
        <v>72</v>
      </c>
      <c r="D13" t="s">
        <v>259</v>
      </c>
      <c r="E13">
        <v>16599</v>
      </c>
      <c r="F13">
        <v>141</v>
      </c>
    </row>
    <row r="14" spans="1:6" x14ac:dyDescent="0.35">
      <c r="A14">
        <v>2024</v>
      </c>
      <c r="B14">
        <v>10</v>
      </c>
      <c r="C14" t="s">
        <v>73</v>
      </c>
      <c r="D14" t="s">
        <v>259</v>
      </c>
      <c r="E14">
        <v>16634</v>
      </c>
      <c r="F14">
        <v>141</v>
      </c>
    </row>
    <row r="15" spans="1:6" x14ac:dyDescent="0.35">
      <c r="A15">
        <v>2024</v>
      </c>
      <c r="B15">
        <v>11</v>
      </c>
      <c r="C15" t="s">
        <v>74</v>
      </c>
      <c r="D15" t="s">
        <v>259</v>
      </c>
      <c r="E15">
        <v>16655</v>
      </c>
      <c r="F15">
        <v>143</v>
      </c>
    </row>
    <row r="16" spans="1:6" x14ac:dyDescent="0.35">
      <c r="A16">
        <v>2024</v>
      </c>
      <c r="B16">
        <v>12</v>
      </c>
      <c r="C16" t="s">
        <v>75</v>
      </c>
      <c r="D16" t="s">
        <v>259</v>
      </c>
      <c r="E16">
        <v>16671</v>
      </c>
      <c r="F16">
        <v>147</v>
      </c>
    </row>
    <row r="17" spans="1:6" x14ac:dyDescent="0.35">
      <c r="A17">
        <v>2025</v>
      </c>
      <c r="B17">
        <v>1</v>
      </c>
      <c r="C17" t="s">
        <v>42</v>
      </c>
      <c r="D17" t="s">
        <v>259</v>
      </c>
      <c r="E17">
        <v>16073</v>
      </c>
      <c r="F17">
        <v>143</v>
      </c>
    </row>
    <row r="18" spans="1:6" x14ac:dyDescent="0.35">
      <c r="A18">
        <v>2025</v>
      </c>
      <c r="B18">
        <v>2</v>
      </c>
      <c r="C18" t="s">
        <v>63</v>
      </c>
      <c r="D18" t="s">
        <v>259</v>
      </c>
      <c r="E18">
        <v>15951</v>
      </c>
      <c r="F18">
        <v>147</v>
      </c>
    </row>
    <row r="19" spans="1:6" x14ac:dyDescent="0.35">
      <c r="A19">
        <v>2025</v>
      </c>
      <c r="B19">
        <v>3</v>
      </c>
      <c r="C19" t="s">
        <v>66</v>
      </c>
      <c r="D19" t="s">
        <v>259</v>
      </c>
      <c r="E19">
        <v>15991</v>
      </c>
      <c r="F19">
        <v>29</v>
      </c>
    </row>
    <row r="20" spans="1:6" x14ac:dyDescent="0.35">
      <c r="A20">
        <v>2025</v>
      </c>
      <c r="B20">
        <v>4</v>
      </c>
      <c r="C20" t="s">
        <v>67</v>
      </c>
      <c r="D20" t="s">
        <v>259</v>
      </c>
      <c r="E20">
        <v>15642</v>
      </c>
      <c r="F20">
        <v>146</v>
      </c>
    </row>
    <row r="21" spans="1:6" x14ac:dyDescent="0.35">
      <c r="A21">
        <v>2025</v>
      </c>
      <c r="B21">
        <v>5</v>
      </c>
      <c r="C21" t="s">
        <v>68</v>
      </c>
      <c r="D21" t="s">
        <v>259</v>
      </c>
      <c r="E21">
        <v>15499</v>
      </c>
      <c r="F21">
        <v>152</v>
      </c>
    </row>
    <row r="22" spans="1:6" x14ac:dyDescent="0.35">
      <c r="A22">
        <v>2025</v>
      </c>
      <c r="B22">
        <v>6</v>
      </c>
      <c r="C22" t="s">
        <v>69</v>
      </c>
      <c r="D22" t="s">
        <v>259</v>
      </c>
      <c r="E22">
        <v>15959</v>
      </c>
      <c r="F22">
        <v>155</v>
      </c>
    </row>
    <row r="23" spans="1:6" x14ac:dyDescent="0.35">
      <c r="A23">
        <v>2025</v>
      </c>
      <c r="B23">
        <v>7</v>
      </c>
      <c r="C23" t="s">
        <v>70</v>
      </c>
      <c r="D23" t="s">
        <v>259</v>
      </c>
      <c r="E23">
        <v>15989</v>
      </c>
      <c r="F23">
        <v>148</v>
      </c>
    </row>
    <row r="24" spans="1:6" x14ac:dyDescent="0.35">
      <c r="A24">
        <v>2025</v>
      </c>
      <c r="B24">
        <v>8</v>
      </c>
      <c r="C24" t="s">
        <v>71</v>
      </c>
      <c r="D24" t="s">
        <v>259</v>
      </c>
      <c r="E24">
        <v>16039</v>
      </c>
      <c r="F24">
        <v>146</v>
      </c>
    </row>
    <row r="25" spans="1:6" x14ac:dyDescent="0.35">
      <c r="A25">
        <v>2025</v>
      </c>
      <c r="B25">
        <v>9</v>
      </c>
      <c r="C25" t="s">
        <v>72</v>
      </c>
      <c r="D25" t="s">
        <v>259</v>
      </c>
      <c r="E25">
        <v>16089</v>
      </c>
      <c r="F25">
        <v>146</v>
      </c>
    </row>
    <row r="26" spans="1:6" x14ac:dyDescent="0.35">
      <c r="A26">
        <v>2025</v>
      </c>
      <c r="B26">
        <v>10</v>
      </c>
      <c r="C26" t="s">
        <v>73</v>
      </c>
      <c r="D26" t="s">
        <v>259</v>
      </c>
      <c r="E26">
        <v>16039</v>
      </c>
      <c r="F26">
        <v>137</v>
      </c>
    </row>
    <row r="27" spans="1:6" x14ac:dyDescent="0.35">
      <c r="A27">
        <v>2025</v>
      </c>
      <c r="B27">
        <v>11</v>
      </c>
      <c r="C27" t="s">
        <v>74</v>
      </c>
      <c r="D27" t="s">
        <v>259</v>
      </c>
      <c r="E27">
        <v>16062</v>
      </c>
      <c r="F27">
        <v>143</v>
      </c>
    </row>
    <row r="28" spans="1:6" x14ac:dyDescent="0.35">
      <c r="A28">
        <v>2025</v>
      </c>
      <c r="B28">
        <v>12</v>
      </c>
      <c r="C28" t="s">
        <v>75</v>
      </c>
      <c r="D28" t="s">
        <v>259</v>
      </c>
      <c r="E28">
        <v>16092</v>
      </c>
      <c r="F28">
        <v>145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288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261</v>
      </c>
      <c r="E5">
        <v>2163</v>
      </c>
      <c r="F5">
        <v>107</v>
      </c>
    </row>
    <row r="6" spans="1:6" x14ac:dyDescent="0.35">
      <c r="A6">
        <v>2024</v>
      </c>
      <c r="B6">
        <v>2</v>
      </c>
      <c r="C6" t="s">
        <v>63</v>
      </c>
      <c r="D6" t="s">
        <v>261</v>
      </c>
      <c r="E6">
        <v>2166</v>
      </c>
      <c r="F6">
        <v>104</v>
      </c>
    </row>
    <row r="7" spans="1:6" x14ac:dyDescent="0.35">
      <c r="A7">
        <v>2024</v>
      </c>
      <c r="B7">
        <v>3</v>
      </c>
      <c r="C7" t="s">
        <v>66</v>
      </c>
      <c r="D7" t="s">
        <v>261</v>
      </c>
      <c r="E7">
        <v>2113</v>
      </c>
      <c r="F7">
        <v>83</v>
      </c>
    </row>
    <row r="8" spans="1:6" x14ac:dyDescent="0.35">
      <c r="A8">
        <v>2024</v>
      </c>
      <c r="B8">
        <v>4</v>
      </c>
      <c r="C8" t="s">
        <v>67</v>
      </c>
      <c r="D8" t="s">
        <v>261</v>
      </c>
      <c r="E8">
        <v>2096</v>
      </c>
      <c r="F8">
        <v>110</v>
      </c>
    </row>
    <row r="9" spans="1:6" x14ac:dyDescent="0.35">
      <c r="A9">
        <v>2024</v>
      </c>
      <c r="B9">
        <v>5</v>
      </c>
      <c r="C9" t="s">
        <v>68</v>
      </c>
      <c r="D9" t="s">
        <v>261</v>
      </c>
      <c r="E9">
        <v>2109</v>
      </c>
      <c r="F9">
        <v>89</v>
      </c>
    </row>
    <row r="10" spans="1:6" x14ac:dyDescent="0.35">
      <c r="A10">
        <v>2024</v>
      </c>
      <c r="B10">
        <v>6</v>
      </c>
      <c r="C10" t="s">
        <v>69</v>
      </c>
      <c r="D10" t="s">
        <v>261</v>
      </c>
      <c r="E10">
        <v>2068</v>
      </c>
      <c r="F10">
        <v>112</v>
      </c>
    </row>
    <row r="11" spans="1:6" x14ac:dyDescent="0.35">
      <c r="A11">
        <v>2024</v>
      </c>
      <c r="B11">
        <v>7</v>
      </c>
      <c r="C11" t="s">
        <v>70</v>
      </c>
      <c r="D11" t="s">
        <v>261</v>
      </c>
      <c r="E11">
        <v>2279</v>
      </c>
      <c r="F11">
        <v>121</v>
      </c>
    </row>
    <row r="12" spans="1:6" x14ac:dyDescent="0.35">
      <c r="A12">
        <v>2024</v>
      </c>
      <c r="B12">
        <v>8</v>
      </c>
      <c r="C12" t="s">
        <v>71</v>
      </c>
      <c r="D12" t="s">
        <v>261</v>
      </c>
      <c r="E12">
        <v>2294</v>
      </c>
      <c r="F12">
        <v>121</v>
      </c>
    </row>
    <row r="13" spans="1:6" x14ac:dyDescent="0.35">
      <c r="A13">
        <v>2024</v>
      </c>
      <c r="B13">
        <v>9</v>
      </c>
      <c r="C13" t="s">
        <v>72</v>
      </c>
      <c r="D13" t="s">
        <v>261</v>
      </c>
      <c r="E13">
        <v>2292</v>
      </c>
      <c r="F13">
        <v>122</v>
      </c>
    </row>
    <row r="14" spans="1:6" x14ac:dyDescent="0.35">
      <c r="A14">
        <v>2024</v>
      </c>
      <c r="B14">
        <v>10</v>
      </c>
      <c r="C14" t="s">
        <v>73</v>
      </c>
      <c r="D14" t="s">
        <v>261</v>
      </c>
      <c r="E14">
        <v>2340</v>
      </c>
      <c r="F14">
        <v>120</v>
      </c>
    </row>
    <row r="15" spans="1:6" x14ac:dyDescent="0.35">
      <c r="A15">
        <v>2024</v>
      </c>
      <c r="B15">
        <v>11</v>
      </c>
      <c r="C15" t="s">
        <v>74</v>
      </c>
      <c r="D15" t="s">
        <v>261</v>
      </c>
      <c r="E15">
        <v>2400</v>
      </c>
      <c r="F15">
        <v>122</v>
      </c>
    </row>
    <row r="16" spans="1:6" x14ac:dyDescent="0.35">
      <c r="A16">
        <v>2024</v>
      </c>
      <c r="B16">
        <v>12</v>
      </c>
      <c r="C16" t="s">
        <v>75</v>
      </c>
      <c r="D16" t="s">
        <v>261</v>
      </c>
      <c r="E16">
        <v>2407</v>
      </c>
      <c r="F16">
        <v>116</v>
      </c>
    </row>
    <row r="17" spans="1:6" x14ac:dyDescent="0.35">
      <c r="A17">
        <v>2025</v>
      </c>
      <c r="B17">
        <v>1</v>
      </c>
      <c r="C17" t="s">
        <v>42</v>
      </c>
      <c r="D17" t="s">
        <v>261</v>
      </c>
      <c r="E17">
        <v>2321</v>
      </c>
      <c r="F17">
        <v>119</v>
      </c>
    </row>
    <row r="18" spans="1:6" x14ac:dyDescent="0.35">
      <c r="A18">
        <v>2025</v>
      </c>
      <c r="B18">
        <v>2</v>
      </c>
      <c r="C18" t="s">
        <v>63</v>
      </c>
      <c r="D18" t="s">
        <v>261</v>
      </c>
      <c r="E18">
        <v>2487</v>
      </c>
      <c r="F18">
        <v>123</v>
      </c>
    </row>
    <row r="19" spans="1:6" x14ac:dyDescent="0.35">
      <c r="A19">
        <v>2025</v>
      </c>
      <c r="B19">
        <v>3</v>
      </c>
      <c r="C19" t="s">
        <v>66</v>
      </c>
      <c r="D19" t="s">
        <v>261</v>
      </c>
      <c r="E19">
        <v>2532</v>
      </c>
      <c r="F19">
        <v>21</v>
      </c>
    </row>
    <row r="20" spans="1:6" x14ac:dyDescent="0.35">
      <c r="A20">
        <v>2025</v>
      </c>
      <c r="B20">
        <v>4</v>
      </c>
      <c r="C20" t="s">
        <v>67</v>
      </c>
      <c r="D20" t="s">
        <v>261</v>
      </c>
      <c r="E20">
        <v>2484</v>
      </c>
      <c r="F20">
        <v>123</v>
      </c>
    </row>
    <row r="21" spans="1:6" x14ac:dyDescent="0.35">
      <c r="A21">
        <v>2025</v>
      </c>
      <c r="B21">
        <v>5</v>
      </c>
      <c r="C21" t="s">
        <v>68</v>
      </c>
      <c r="D21" t="s">
        <v>261</v>
      </c>
      <c r="E21">
        <v>2877</v>
      </c>
      <c r="F21">
        <v>125</v>
      </c>
    </row>
    <row r="22" spans="1:6" x14ac:dyDescent="0.35">
      <c r="A22">
        <v>2025</v>
      </c>
      <c r="B22">
        <v>6</v>
      </c>
      <c r="C22" t="s">
        <v>69</v>
      </c>
      <c r="D22" t="s">
        <v>261</v>
      </c>
      <c r="E22">
        <v>2927</v>
      </c>
      <c r="F22">
        <v>126</v>
      </c>
    </row>
    <row r="23" spans="1:6" x14ac:dyDescent="0.35">
      <c r="A23">
        <v>2025</v>
      </c>
      <c r="B23">
        <v>7</v>
      </c>
      <c r="C23" t="s">
        <v>70</v>
      </c>
      <c r="D23" t="s">
        <v>261</v>
      </c>
      <c r="E23">
        <v>2988</v>
      </c>
      <c r="F23">
        <v>131</v>
      </c>
    </row>
    <row r="24" spans="1:6" x14ac:dyDescent="0.35">
      <c r="A24">
        <v>2025</v>
      </c>
      <c r="B24">
        <v>8</v>
      </c>
      <c r="C24" t="s">
        <v>71</v>
      </c>
      <c r="D24" t="s">
        <v>261</v>
      </c>
      <c r="E24">
        <v>3095</v>
      </c>
      <c r="F24">
        <v>138</v>
      </c>
    </row>
    <row r="25" spans="1:6" x14ac:dyDescent="0.35">
      <c r="A25">
        <v>2025</v>
      </c>
      <c r="B25">
        <v>9</v>
      </c>
      <c r="C25" t="s">
        <v>72</v>
      </c>
      <c r="D25" t="s">
        <v>261</v>
      </c>
      <c r="E25">
        <v>3123</v>
      </c>
      <c r="F25">
        <v>141</v>
      </c>
    </row>
    <row r="26" spans="1:6" x14ac:dyDescent="0.35">
      <c r="A26">
        <v>2025</v>
      </c>
      <c r="B26">
        <v>10</v>
      </c>
      <c r="C26" t="s">
        <v>73</v>
      </c>
      <c r="D26" t="s">
        <v>261</v>
      </c>
      <c r="E26">
        <v>3166</v>
      </c>
      <c r="F26">
        <v>143</v>
      </c>
    </row>
    <row r="27" spans="1:6" x14ac:dyDescent="0.35">
      <c r="A27">
        <v>2025</v>
      </c>
      <c r="B27">
        <v>11</v>
      </c>
      <c r="C27" t="s">
        <v>74</v>
      </c>
      <c r="D27" t="s">
        <v>261</v>
      </c>
      <c r="E27">
        <v>3203</v>
      </c>
      <c r="F27">
        <v>147</v>
      </c>
    </row>
    <row r="28" spans="1:6" x14ac:dyDescent="0.35">
      <c r="A28">
        <v>2025</v>
      </c>
      <c r="B28">
        <v>12</v>
      </c>
      <c r="C28" t="s">
        <v>75</v>
      </c>
      <c r="D28" t="s">
        <v>261</v>
      </c>
      <c r="E28">
        <v>3280</v>
      </c>
      <c r="F28">
        <v>147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289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263</v>
      </c>
      <c r="E5">
        <v>1769</v>
      </c>
      <c r="F5">
        <v>53</v>
      </c>
    </row>
    <row r="6" spans="1:6" x14ac:dyDescent="0.35">
      <c r="A6">
        <v>2024</v>
      </c>
      <c r="B6">
        <v>2</v>
      </c>
      <c r="C6" t="s">
        <v>63</v>
      </c>
      <c r="D6" t="s">
        <v>263</v>
      </c>
      <c r="E6">
        <v>1832</v>
      </c>
      <c r="F6">
        <v>57</v>
      </c>
    </row>
    <row r="7" spans="1:6" x14ac:dyDescent="0.35">
      <c r="A7">
        <v>2024</v>
      </c>
      <c r="B7">
        <v>3</v>
      </c>
      <c r="C7" t="s">
        <v>66</v>
      </c>
      <c r="D7" t="s">
        <v>263</v>
      </c>
      <c r="E7">
        <v>1926</v>
      </c>
      <c r="F7">
        <v>61</v>
      </c>
    </row>
    <row r="8" spans="1:6" x14ac:dyDescent="0.35">
      <c r="A8">
        <v>2024</v>
      </c>
      <c r="B8">
        <v>4</v>
      </c>
      <c r="C8" t="s">
        <v>67</v>
      </c>
      <c r="D8" t="s">
        <v>263</v>
      </c>
      <c r="E8">
        <v>1786</v>
      </c>
      <c r="F8">
        <v>71</v>
      </c>
    </row>
    <row r="9" spans="1:6" x14ac:dyDescent="0.35">
      <c r="A9">
        <v>2024</v>
      </c>
      <c r="B9">
        <v>5</v>
      </c>
      <c r="C9" t="s">
        <v>68</v>
      </c>
      <c r="D9" t="s">
        <v>263</v>
      </c>
      <c r="E9">
        <v>1811</v>
      </c>
      <c r="F9">
        <v>64</v>
      </c>
    </row>
    <row r="10" spans="1:6" x14ac:dyDescent="0.35">
      <c r="A10">
        <v>2024</v>
      </c>
      <c r="B10">
        <v>6</v>
      </c>
      <c r="C10" t="s">
        <v>69</v>
      </c>
      <c r="D10" t="s">
        <v>263</v>
      </c>
      <c r="E10">
        <v>1846</v>
      </c>
      <c r="F10">
        <v>73</v>
      </c>
    </row>
    <row r="11" spans="1:6" x14ac:dyDescent="0.35">
      <c r="A11">
        <v>2024</v>
      </c>
      <c r="B11">
        <v>7</v>
      </c>
      <c r="C11" t="s">
        <v>70</v>
      </c>
      <c r="D11" t="s">
        <v>263</v>
      </c>
      <c r="E11">
        <v>1886</v>
      </c>
      <c r="F11">
        <v>73</v>
      </c>
    </row>
    <row r="12" spans="1:6" x14ac:dyDescent="0.35">
      <c r="A12">
        <v>2024</v>
      </c>
      <c r="B12">
        <v>8</v>
      </c>
      <c r="C12" t="s">
        <v>71</v>
      </c>
      <c r="D12" t="s">
        <v>263</v>
      </c>
      <c r="E12">
        <v>1894</v>
      </c>
      <c r="F12">
        <v>74</v>
      </c>
    </row>
    <row r="13" spans="1:6" x14ac:dyDescent="0.35">
      <c r="A13">
        <v>2024</v>
      </c>
      <c r="B13">
        <v>9</v>
      </c>
      <c r="C13" t="s">
        <v>72</v>
      </c>
      <c r="D13" t="s">
        <v>263</v>
      </c>
      <c r="E13">
        <v>1906</v>
      </c>
      <c r="F13">
        <v>73</v>
      </c>
    </row>
    <row r="14" spans="1:6" x14ac:dyDescent="0.35">
      <c r="A14">
        <v>2024</v>
      </c>
      <c r="B14">
        <v>10</v>
      </c>
      <c r="C14" t="s">
        <v>73</v>
      </c>
      <c r="D14" t="s">
        <v>263</v>
      </c>
      <c r="E14">
        <v>1946</v>
      </c>
      <c r="F14">
        <v>73</v>
      </c>
    </row>
    <row r="15" spans="1:6" x14ac:dyDescent="0.35">
      <c r="A15">
        <v>2024</v>
      </c>
      <c r="B15">
        <v>11</v>
      </c>
      <c r="C15" t="s">
        <v>74</v>
      </c>
      <c r="D15" t="s">
        <v>263</v>
      </c>
      <c r="E15">
        <v>1964</v>
      </c>
      <c r="F15">
        <v>72</v>
      </c>
    </row>
    <row r="16" spans="1:6" x14ac:dyDescent="0.35">
      <c r="A16">
        <v>2024</v>
      </c>
      <c r="B16">
        <v>12</v>
      </c>
      <c r="C16" t="s">
        <v>75</v>
      </c>
      <c r="D16" t="s">
        <v>263</v>
      </c>
      <c r="E16">
        <v>1967</v>
      </c>
      <c r="F16">
        <v>73</v>
      </c>
    </row>
    <row r="17" spans="1:6" x14ac:dyDescent="0.35">
      <c r="A17">
        <v>2025</v>
      </c>
      <c r="B17">
        <v>1</v>
      </c>
      <c r="C17" t="s">
        <v>42</v>
      </c>
      <c r="D17" t="s">
        <v>263</v>
      </c>
      <c r="E17">
        <v>1782</v>
      </c>
      <c r="F17">
        <v>66</v>
      </c>
    </row>
    <row r="18" spans="1:6" x14ac:dyDescent="0.35">
      <c r="A18">
        <v>2025</v>
      </c>
      <c r="B18">
        <v>2</v>
      </c>
      <c r="C18" t="s">
        <v>63</v>
      </c>
      <c r="D18" t="s">
        <v>263</v>
      </c>
      <c r="E18">
        <v>1916</v>
      </c>
      <c r="F18">
        <v>75</v>
      </c>
    </row>
    <row r="19" spans="1:6" x14ac:dyDescent="0.35">
      <c r="A19">
        <v>2025</v>
      </c>
      <c r="B19">
        <v>3</v>
      </c>
      <c r="C19" t="s">
        <v>66</v>
      </c>
      <c r="D19" t="s">
        <v>263</v>
      </c>
      <c r="E19">
        <v>1927</v>
      </c>
      <c r="F19">
        <v>14</v>
      </c>
    </row>
    <row r="20" spans="1:6" x14ac:dyDescent="0.35">
      <c r="A20">
        <v>2025</v>
      </c>
      <c r="B20">
        <v>4</v>
      </c>
      <c r="C20" t="s">
        <v>67</v>
      </c>
      <c r="D20" t="s">
        <v>263</v>
      </c>
      <c r="E20">
        <v>1930</v>
      </c>
      <c r="F20">
        <v>75</v>
      </c>
    </row>
    <row r="21" spans="1:6" x14ac:dyDescent="0.35">
      <c r="A21">
        <v>2025</v>
      </c>
      <c r="B21">
        <v>5</v>
      </c>
      <c r="C21" t="s">
        <v>68</v>
      </c>
      <c r="D21" t="s">
        <v>263</v>
      </c>
      <c r="E21">
        <v>2063</v>
      </c>
      <c r="F21">
        <v>75</v>
      </c>
    </row>
    <row r="22" spans="1:6" x14ac:dyDescent="0.35">
      <c r="A22">
        <v>2025</v>
      </c>
      <c r="B22">
        <v>6</v>
      </c>
      <c r="C22" t="s">
        <v>69</v>
      </c>
      <c r="D22" t="s">
        <v>263</v>
      </c>
      <c r="E22">
        <v>2074</v>
      </c>
      <c r="F22">
        <v>76</v>
      </c>
    </row>
    <row r="23" spans="1:6" x14ac:dyDescent="0.35">
      <c r="A23">
        <v>2025</v>
      </c>
      <c r="B23">
        <v>7</v>
      </c>
      <c r="C23" t="s">
        <v>70</v>
      </c>
      <c r="D23" t="s">
        <v>263</v>
      </c>
      <c r="E23">
        <v>2103</v>
      </c>
      <c r="F23">
        <v>80</v>
      </c>
    </row>
    <row r="24" spans="1:6" x14ac:dyDescent="0.35">
      <c r="A24">
        <v>2025</v>
      </c>
      <c r="B24">
        <v>8</v>
      </c>
      <c r="C24" t="s">
        <v>71</v>
      </c>
      <c r="D24" t="s">
        <v>263</v>
      </c>
      <c r="E24">
        <v>2122</v>
      </c>
      <c r="F24">
        <v>82</v>
      </c>
    </row>
    <row r="25" spans="1:6" x14ac:dyDescent="0.35">
      <c r="A25">
        <v>2025</v>
      </c>
      <c r="B25">
        <v>9</v>
      </c>
      <c r="C25" t="s">
        <v>72</v>
      </c>
      <c r="D25" t="s">
        <v>263</v>
      </c>
      <c r="E25">
        <v>2160</v>
      </c>
      <c r="F25">
        <v>81</v>
      </c>
    </row>
    <row r="26" spans="1:6" x14ac:dyDescent="0.35">
      <c r="A26">
        <v>2025</v>
      </c>
      <c r="B26">
        <v>10</v>
      </c>
      <c r="C26" t="s">
        <v>73</v>
      </c>
      <c r="D26" t="s">
        <v>263</v>
      </c>
      <c r="E26">
        <v>2161</v>
      </c>
      <c r="F26">
        <v>81</v>
      </c>
    </row>
    <row r="27" spans="1:6" x14ac:dyDescent="0.35">
      <c r="A27">
        <v>2025</v>
      </c>
      <c r="B27">
        <v>11</v>
      </c>
      <c r="C27" t="s">
        <v>74</v>
      </c>
      <c r="D27" t="s">
        <v>263</v>
      </c>
      <c r="E27">
        <v>2220</v>
      </c>
      <c r="F27">
        <v>84</v>
      </c>
    </row>
    <row r="28" spans="1:6" x14ac:dyDescent="0.35">
      <c r="A28">
        <v>2025</v>
      </c>
      <c r="B28">
        <v>12</v>
      </c>
      <c r="C28" t="s">
        <v>75</v>
      </c>
      <c r="D28" t="s">
        <v>263</v>
      </c>
      <c r="E28">
        <v>2217</v>
      </c>
      <c r="F28">
        <v>85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290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265</v>
      </c>
      <c r="E5">
        <v>2500</v>
      </c>
      <c r="F5">
        <v>0</v>
      </c>
    </row>
    <row r="6" spans="1:6" x14ac:dyDescent="0.35">
      <c r="A6">
        <v>2024</v>
      </c>
      <c r="B6">
        <v>2</v>
      </c>
      <c r="C6" t="s">
        <v>63</v>
      </c>
      <c r="D6" t="s">
        <v>265</v>
      </c>
      <c r="E6">
        <v>2581</v>
      </c>
      <c r="F6">
        <v>0</v>
      </c>
    </row>
    <row r="7" spans="1:6" x14ac:dyDescent="0.35">
      <c r="A7">
        <v>2024</v>
      </c>
      <c r="B7">
        <v>3</v>
      </c>
      <c r="C7" t="s">
        <v>66</v>
      </c>
      <c r="D7" t="s">
        <v>265</v>
      </c>
      <c r="E7">
        <v>2727</v>
      </c>
      <c r="F7">
        <v>0</v>
      </c>
    </row>
    <row r="8" spans="1:6" x14ac:dyDescent="0.35">
      <c r="A8">
        <v>2024</v>
      </c>
      <c r="B8">
        <v>4</v>
      </c>
      <c r="C8" t="s">
        <v>67</v>
      </c>
      <c r="D8" t="s">
        <v>265</v>
      </c>
      <c r="E8">
        <v>2770</v>
      </c>
      <c r="F8">
        <v>0</v>
      </c>
    </row>
    <row r="9" spans="1:6" x14ac:dyDescent="0.35">
      <c r="A9">
        <v>2024</v>
      </c>
      <c r="B9">
        <v>5</v>
      </c>
      <c r="C9" t="s">
        <v>68</v>
      </c>
      <c r="D9" t="s">
        <v>265</v>
      </c>
      <c r="E9">
        <v>2807</v>
      </c>
      <c r="F9">
        <v>0</v>
      </c>
    </row>
    <row r="10" spans="1:6" x14ac:dyDescent="0.35">
      <c r="A10">
        <v>2024</v>
      </c>
      <c r="B10">
        <v>6</v>
      </c>
      <c r="C10" t="s">
        <v>69</v>
      </c>
      <c r="D10" t="s">
        <v>265</v>
      </c>
      <c r="E10">
        <v>2874</v>
      </c>
      <c r="F10">
        <v>0</v>
      </c>
    </row>
    <row r="11" spans="1:6" x14ac:dyDescent="0.35">
      <c r="A11">
        <v>2024</v>
      </c>
      <c r="B11">
        <v>7</v>
      </c>
      <c r="C11" t="s">
        <v>70</v>
      </c>
      <c r="D11" t="s">
        <v>265</v>
      </c>
      <c r="E11">
        <v>2931</v>
      </c>
      <c r="F11">
        <v>0</v>
      </c>
    </row>
    <row r="12" spans="1:6" x14ac:dyDescent="0.35">
      <c r="A12">
        <v>2024</v>
      </c>
      <c r="B12">
        <v>8</v>
      </c>
      <c r="C12" t="s">
        <v>71</v>
      </c>
      <c r="D12" t="s">
        <v>265</v>
      </c>
      <c r="E12">
        <v>2984</v>
      </c>
      <c r="F12">
        <v>0</v>
      </c>
    </row>
    <row r="13" spans="1:6" x14ac:dyDescent="0.35">
      <c r="A13">
        <v>2024</v>
      </c>
      <c r="B13">
        <v>9</v>
      </c>
      <c r="C13" t="s">
        <v>72</v>
      </c>
      <c r="D13" t="s">
        <v>265</v>
      </c>
      <c r="E13">
        <v>3076</v>
      </c>
      <c r="F13">
        <v>1</v>
      </c>
    </row>
    <row r="14" spans="1:6" x14ac:dyDescent="0.35">
      <c r="A14">
        <v>2024</v>
      </c>
      <c r="B14">
        <v>10</v>
      </c>
      <c r="C14" t="s">
        <v>73</v>
      </c>
      <c r="D14" t="s">
        <v>265</v>
      </c>
      <c r="E14">
        <v>3093</v>
      </c>
      <c r="F14">
        <v>1</v>
      </c>
    </row>
    <row r="15" spans="1:6" x14ac:dyDescent="0.35">
      <c r="A15">
        <v>2024</v>
      </c>
      <c r="B15">
        <v>11</v>
      </c>
      <c r="C15" t="s">
        <v>74</v>
      </c>
      <c r="D15" t="s">
        <v>265</v>
      </c>
      <c r="E15">
        <v>3094</v>
      </c>
      <c r="F15">
        <v>1</v>
      </c>
    </row>
    <row r="16" spans="1:6" x14ac:dyDescent="0.35">
      <c r="A16">
        <v>2024</v>
      </c>
      <c r="B16">
        <v>12</v>
      </c>
      <c r="C16" t="s">
        <v>75</v>
      </c>
      <c r="D16" t="s">
        <v>265</v>
      </c>
      <c r="E16">
        <v>3102</v>
      </c>
      <c r="F16">
        <v>1</v>
      </c>
    </row>
    <row r="17" spans="1:6" x14ac:dyDescent="0.35">
      <c r="A17">
        <v>2025</v>
      </c>
      <c r="B17">
        <v>1</v>
      </c>
      <c r="C17" t="s">
        <v>42</v>
      </c>
      <c r="D17" t="s">
        <v>265</v>
      </c>
      <c r="E17">
        <v>3125</v>
      </c>
      <c r="F17">
        <v>0</v>
      </c>
    </row>
    <row r="18" spans="1:6" x14ac:dyDescent="0.35">
      <c r="A18">
        <v>2025</v>
      </c>
      <c r="B18">
        <v>2</v>
      </c>
      <c r="C18" t="s">
        <v>63</v>
      </c>
      <c r="D18" t="s">
        <v>265</v>
      </c>
      <c r="E18">
        <v>3257</v>
      </c>
      <c r="F18">
        <v>0</v>
      </c>
    </row>
    <row r="19" spans="1:6" x14ac:dyDescent="0.35">
      <c r="A19">
        <v>2025</v>
      </c>
      <c r="B19">
        <v>3</v>
      </c>
      <c r="C19" t="s">
        <v>66</v>
      </c>
      <c r="D19" t="s">
        <v>265</v>
      </c>
      <c r="E19">
        <v>3347</v>
      </c>
      <c r="F19">
        <v>0</v>
      </c>
    </row>
    <row r="20" spans="1:6" x14ac:dyDescent="0.35">
      <c r="A20">
        <v>2025</v>
      </c>
      <c r="B20">
        <v>4</v>
      </c>
      <c r="C20" t="s">
        <v>67</v>
      </c>
      <c r="D20" t="s">
        <v>265</v>
      </c>
      <c r="E20">
        <v>3257</v>
      </c>
      <c r="F20">
        <v>0</v>
      </c>
    </row>
    <row r="21" spans="1:6" x14ac:dyDescent="0.35">
      <c r="A21">
        <v>2025</v>
      </c>
      <c r="B21">
        <v>5</v>
      </c>
      <c r="C21" t="s">
        <v>68</v>
      </c>
      <c r="D21" t="s">
        <v>265</v>
      </c>
      <c r="E21">
        <v>3491</v>
      </c>
      <c r="F21">
        <v>0</v>
      </c>
    </row>
    <row r="22" spans="1:6" x14ac:dyDescent="0.35">
      <c r="A22">
        <v>2025</v>
      </c>
      <c r="B22">
        <v>6</v>
      </c>
      <c r="C22" t="s">
        <v>69</v>
      </c>
      <c r="D22" t="s">
        <v>265</v>
      </c>
      <c r="E22">
        <v>3617</v>
      </c>
      <c r="F22">
        <v>0</v>
      </c>
    </row>
    <row r="23" spans="1:6" x14ac:dyDescent="0.35">
      <c r="A23">
        <v>2025</v>
      </c>
      <c r="B23">
        <v>7</v>
      </c>
      <c r="C23" t="s">
        <v>70</v>
      </c>
      <c r="D23" t="s">
        <v>265</v>
      </c>
      <c r="E23">
        <v>3645</v>
      </c>
      <c r="F23">
        <v>0</v>
      </c>
    </row>
    <row r="24" spans="1:6" x14ac:dyDescent="0.35">
      <c r="A24">
        <v>2025</v>
      </c>
      <c r="B24">
        <v>8</v>
      </c>
      <c r="C24" t="s">
        <v>71</v>
      </c>
      <c r="D24" t="s">
        <v>265</v>
      </c>
      <c r="E24">
        <v>3686</v>
      </c>
      <c r="F24">
        <v>0</v>
      </c>
    </row>
    <row r="25" spans="1:6" x14ac:dyDescent="0.35">
      <c r="A25">
        <v>2025</v>
      </c>
      <c r="B25">
        <v>9</v>
      </c>
      <c r="C25" t="s">
        <v>72</v>
      </c>
      <c r="D25" t="s">
        <v>265</v>
      </c>
      <c r="E25">
        <v>3697</v>
      </c>
      <c r="F25">
        <v>1</v>
      </c>
    </row>
    <row r="26" spans="1:6" x14ac:dyDescent="0.35">
      <c r="A26">
        <v>2025</v>
      </c>
      <c r="B26">
        <v>10</v>
      </c>
      <c r="C26" t="s">
        <v>73</v>
      </c>
      <c r="D26" t="s">
        <v>265</v>
      </c>
      <c r="E26">
        <v>3715</v>
      </c>
      <c r="F26">
        <v>1</v>
      </c>
    </row>
    <row r="27" spans="1:6" x14ac:dyDescent="0.35">
      <c r="A27">
        <v>2025</v>
      </c>
      <c r="B27">
        <v>11</v>
      </c>
      <c r="C27" t="s">
        <v>74</v>
      </c>
      <c r="D27" t="s">
        <v>265</v>
      </c>
      <c r="E27">
        <v>3748</v>
      </c>
      <c r="F27">
        <v>1</v>
      </c>
    </row>
    <row r="28" spans="1:6" x14ac:dyDescent="0.35">
      <c r="A28">
        <v>2025</v>
      </c>
      <c r="B28">
        <v>12</v>
      </c>
      <c r="C28" t="s">
        <v>75</v>
      </c>
      <c r="D28" t="s">
        <v>265</v>
      </c>
      <c r="E28">
        <v>3763</v>
      </c>
      <c r="F28">
        <v>1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291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267</v>
      </c>
      <c r="E5">
        <v>103229</v>
      </c>
      <c r="F5">
        <v>4</v>
      </c>
    </row>
    <row r="6" spans="1:6" x14ac:dyDescent="0.35">
      <c r="A6">
        <v>2024</v>
      </c>
      <c r="B6">
        <v>2</v>
      </c>
      <c r="C6" t="s">
        <v>63</v>
      </c>
      <c r="D6" t="s">
        <v>267</v>
      </c>
      <c r="E6">
        <v>103195</v>
      </c>
      <c r="F6">
        <v>4</v>
      </c>
    </row>
    <row r="7" spans="1:6" x14ac:dyDescent="0.35">
      <c r="A7">
        <v>2024</v>
      </c>
      <c r="B7">
        <v>3</v>
      </c>
      <c r="C7" t="s">
        <v>66</v>
      </c>
      <c r="D7" t="s">
        <v>267</v>
      </c>
      <c r="E7">
        <v>103863</v>
      </c>
      <c r="F7">
        <v>4</v>
      </c>
    </row>
    <row r="8" spans="1:6" x14ac:dyDescent="0.35">
      <c r="A8">
        <v>2024</v>
      </c>
      <c r="B8">
        <v>4</v>
      </c>
      <c r="C8" t="s">
        <v>67</v>
      </c>
      <c r="D8" t="s">
        <v>267</v>
      </c>
      <c r="E8">
        <v>104573</v>
      </c>
      <c r="F8">
        <v>4</v>
      </c>
    </row>
    <row r="9" spans="1:6" x14ac:dyDescent="0.35">
      <c r="A9">
        <v>2024</v>
      </c>
      <c r="B9">
        <v>5</v>
      </c>
      <c r="C9" t="s">
        <v>68</v>
      </c>
      <c r="D9" t="s">
        <v>267</v>
      </c>
      <c r="E9">
        <v>104312</v>
      </c>
      <c r="F9">
        <v>4</v>
      </c>
    </row>
    <row r="10" spans="1:6" x14ac:dyDescent="0.35">
      <c r="A10">
        <v>2024</v>
      </c>
      <c r="B10">
        <v>6</v>
      </c>
      <c r="C10" t="s">
        <v>69</v>
      </c>
      <c r="D10" t="s">
        <v>267</v>
      </c>
      <c r="E10">
        <v>104561</v>
      </c>
      <c r="F10">
        <v>4</v>
      </c>
    </row>
    <row r="11" spans="1:6" x14ac:dyDescent="0.35">
      <c r="A11">
        <v>2024</v>
      </c>
      <c r="B11">
        <v>7</v>
      </c>
      <c r="C11" t="s">
        <v>70</v>
      </c>
      <c r="D11" t="s">
        <v>267</v>
      </c>
      <c r="E11">
        <v>104735</v>
      </c>
      <c r="F11">
        <v>4</v>
      </c>
    </row>
    <row r="12" spans="1:6" x14ac:dyDescent="0.35">
      <c r="A12">
        <v>2024</v>
      </c>
      <c r="B12">
        <v>8</v>
      </c>
      <c r="C12" t="s">
        <v>71</v>
      </c>
      <c r="D12" t="s">
        <v>267</v>
      </c>
      <c r="E12">
        <v>105459</v>
      </c>
      <c r="F12">
        <v>4</v>
      </c>
    </row>
    <row r="13" spans="1:6" x14ac:dyDescent="0.35">
      <c r="A13">
        <v>2024</v>
      </c>
      <c r="B13">
        <v>9</v>
      </c>
      <c r="C13" t="s">
        <v>72</v>
      </c>
      <c r="D13" t="s">
        <v>267</v>
      </c>
      <c r="E13">
        <v>105986</v>
      </c>
      <c r="F13">
        <v>8</v>
      </c>
    </row>
    <row r="14" spans="1:6" x14ac:dyDescent="0.35">
      <c r="A14">
        <v>2024</v>
      </c>
      <c r="B14">
        <v>10</v>
      </c>
      <c r="C14" t="s">
        <v>73</v>
      </c>
      <c r="D14" t="s">
        <v>267</v>
      </c>
      <c r="E14">
        <v>105721</v>
      </c>
      <c r="F14">
        <v>9</v>
      </c>
    </row>
    <row r="15" spans="1:6" x14ac:dyDescent="0.35">
      <c r="A15">
        <v>2024</v>
      </c>
      <c r="B15">
        <v>11</v>
      </c>
      <c r="C15" t="s">
        <v>74</v>
      </c>
      <c r="D15" t="s">
        <v>267</v>
      </c>
      <c r="E15">
        <v>105295</v>
      </c>
      <c r="F15">
        <v>23</v>
      </c>
    </row>
    <row r="16" spans="1:6" x14ac:dyDescent="0.35">
      <c r="A16">
        <v>2024</v>
      </c>
      <c r="B16">
        <v>12</v>
      </c>
      <c r="C16" t="s">
        <v>75</v>
      </c>
      <c r="D16" t="s">
        <v>267</v>
      </c>
      <c r="E16">
        <v>105312</v>
      </c>
      <c r="F16">
        <v>19</v>
      </c>
    </row>
    <row r="17" spans="1:6" x14ac:dyDescent="0.35">
      <c r="A17">
        <v>2025</v>
      </c>
      <c r="B17">
        <v>1</v>
      </c>
      <c r="C17" t="s">
        <v>42</v>
      </c>
      <c r="D17" t="s">
        <v>267</v>
      </c>
      <c r="E17">
        <v>103572</v>
      </c>
      <c r="F17">
        <v>10</v>
      </c>
    </row>
    <row r="18" spans="1:6" x14ac:dyDescent="0.35">
      <c r="A18">
        <v>2025</v>
      </c>
      <c r="B18">
        <v>2</v>
      </c>
      <c r="C18" t="s">
        <v>63</v>
      </c>
      <c r="D18" t="s">
        <v>267</v>
      </c>
      <c r="E18">
        <v>105223</v>
      </c>
      <c r="F18">
        <v>10</v>
      </c>
    </row>
    <row r="19" spans="1:6" x14ac:dyDescent="0.35">
      <c r="A19">
        <v>2025</v>
      </c>
      <c r="B19">
        <v>3</v>
      </c>
      <c r="C19" t="s">
        <v>66</v>
      </c>
      <c r="D19" t="s">
        <v>267</v>
      </c>
      <c r="E19">
        <v>107030</v>
      </c>
      <c r="F19">
        <v>7</v>
      </c>
    </row>
    <row r="20" spans="1:6" x14ac:dyDescent="0.35">
      <c r="A20">
        <v>2025</v>
      </c>
      <c r="B20">
        <v>4</v>
      </c>
      <c r="C20" t="s">
        <v>67</v>
      </c>
      <c r="D20" t="s">
        <v>267</v>
      </c>
      <c r="E20">
        <v>105197</v>
      </c>
      <c r="F20">
        <v>10</v>
      </c>
    </row>
    <row r="21" spans="1:6" x14ac:dyDescent="0.35">
      <c r="A21">
        <v>2025</v>
      </c>
      <c r="B21">
        <v>5</v>
      </c>
      <c r="C21" t="s">
        <v>68</v>
      </c>
      <c r="D21" t="s">
        <v>267</v>
      </c>
      <c r="E21">
        <v>106754</v>
      </c>
      <c r="F21">
        <v>9</v>
      </c>
    </row>
    <row r="22" spans="1:6" x14ac:dyDescent="0.35">
      <c r="A22">
        <v>2025</v>
      </c>
      <c r="B22">
        <v>6</v>
      </c>
      <c r="C22" t="s">
        <v>69</v>
      </c>
      <c r="D22" t="s">
        <v>267</v>
      </c>
      <c r="E22">
        <v>109751</v>
      </c>
      <c r="F22">
        <v>10</v>
      </c>
    </row>
    <row r="23" spans="1:6" x14ac:dyDescent="0.35">
      <c r="A23">
        <v>2025</v>
      </c>
      <c r="B23">
        <v>7</v>
      </c>
      <c r="C23" t="s">
        <v>70</v>
      </c>
      <c r="D23" t="s">
        <v>267</v>
      </c>
      <c r="E23">
        <v>109683</v>
      </c>
      <c r="F23">
        <v>9</v>
      </c>
    </row>
    <row r="24" spans="1:6" x14ac:dyDescent="0.35">
      <c r="A24">
        <v>2025</v>
      </c>
      <c r="B24">
        <v>8</v>
      </c>
      <c r="C24" t="s">
        <v>71</v>
      </c>
      <c r="D24" t="s">
        <v>267</v>
      </c>
      <c r="E24">
        <v>109000</v>
      </c>
      <c r="F24">
        <v>9</v>
      </c>
    </row>
    <row r="25" spans="1:6" x14ac:dyDescent="0.35">
      <c r="A25">
        <v>2025</v>
      </c>
      <c r="B25">
        <v>9</v>
      </c>
      <c r="C25" t="s">
        <v>72</v>
      </c>
      <c r="D25" t="s">
        <v>267</v>
      </c>
      <c r="E25">
        <v>108722</v>
      </c>
      <c r="F25">
        <v>9</v>
      </c>
    </row>
    <row r="26" spans="1:6" x14ac:dyDescent="0.35">
      <c r="A26">
        <v>2025</v>
      </c>
      <c r="B26">
        <v>10</v>
      </c>
      <c r="C26" t="s">
        <v>73</v>
      </c>
      <c r="D26" t="s">
        <v>267</v>
      </c>
      <c r="E26">
        <v>108768</v>
      </c>
      <c r="F26">
        <v>10</v>
      </c>
    </row>
    <row r="27" spans="1:6" x14ac:dyDescent="0.35">
      <c r="A27">
        <v>2025</v>
      </c>
      <c r="B27">
        <v>11</v>
      </c>
      <c r="C27" t="s">
        <v>74</v>
      </c>
      <c r="D27" t="s">
        <v>267</v>
      </c>
      <c r="E27">
        <v>108891</v>
      </c>
      <c r="F27">
        <v>9</v>
      </c>
    </row>
    <row r="28" spans="1:6" x14ac:dyDescent="0.35">
      <c r="A28">
        <v>2025</v>
      </c>
      <c r="B28">
        <v>12</v>
      </c>
      <c r="C28" t="s">
        <v>75</v>
      </c>
      <c r="D28" t="s">
        <v>267</v>
      </c>
      <c r="E28">
        <v>108501</v>
      </c>
      <c r="F28">
        <v>9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292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269</v>
      </c>
      <c r="E5">
        <v>11551</v>
      </c>
      <c r="F5">
        <v>1</v>
      </c>
    </row>
    <row r="6" spans="1:6" x14ac:dyDescent="0.35">
      <c r="A6">
        <v>2024</v>
      </c>
      <c r="B6">
        <v>2</v>
      </c>
      <c r="C6" t="s">
        <v>63</v>
      </c>
      <c r="D6" t="s">
        <v>269</v>
      </c>
      <c r="E6">
        <v>11589</v>
      </c>
      <c r="F6">
        <v>1</v>
      </c>
    </row>
    <row r="7" spans="1:6" x14ac:dyDescent="0.35">
      <c r="A7">
        <v>2024</v>
      </c>
      <c r="B7">
        <v>3</v>
      </c>
      <c r="C7" t="s">
        <v>66</v>
      </c>
      <c r="D7" t="s">
        <v>269</v>
      </c>
      <c r="E7">
        <v>11862</v>
      </c>
      <c r="F7">
        <v>1</v>
      </c>
    </row>
    <row r="8" spans="1:6" x14ac:dyDescent="0.35">
      <c r="A8">
        <v>2024</v>
      </c>
      <c r="B8">
        <v>4</v>
      </c>
      <c r="C8" t="s">
        <v>67</v>
      </c>
      <c r="D8" t="s">
        <v>269</v>
      </c>
      <c r="E8">
        <v>11921</v>
      </c>
      <c r="F8">
        <v>1</v>
      </c>
    </row>
    <row r="9" spans="1:6" x14ac:dyDescent="0.35">
      <c r="A9">
        <v>2024</v>
      </c>
      <c r="B9">
        <v>5</v>
      </c>
      <c r="C9" t="s">
        <v>68</v>
      </c>
      <c r="D9" t="s">
        <v>269</v>
      </c>
      <c r="E9">
        <v>11907</v>
      </c>
      <c r="F9">
        <v>1</v>
      </c>
    </row>
    <row r="10" spans="1:6" x14ac:dyDescent="0.35">
      <c r="A10">
        <v>2024</v>
      </c>
      <c r="B10">
        <v>6</v>
      </c>
      <c r="C10" t="s">
        <v>69</v>
      </c>
      <c r="D10" t="s">
        <v>269</v>
      </c>
      <c r="E10">
        <v>11994</v>
      </c>
      <c r="F10">
        <v>1</v>
      </c>
    </row>
    <row r="11" spans="1:6" x14ac:dyDescent="0.35">
      <c r="A11">
        <v>2024</v>
      </c>
      <c r="B11">
        <v>7</v>
      </c>
      <c r="C11" t="s">
        <v>70</v>
      </c>
      <c r="D11" t="s">
        <v>269</v>
      </c>
      <c r="E11">
        <v>12061</v>
      </c>
      <c r="F11">
        <v>1</v>
      </c>
    </row>
    <row r="12" spans="1:6" x14ac:dyDescent="0.35">
      <c r="A12">
        <v>2024</v>
      </c>
      <c r="B12">
        <v>8</v>
      </c>
      <c r="C12" t="s">
        <v>71</v>
      </c>
      <c r="D12" t="s">
        <v>269</v>
      </c>
      <c r="E12">
        <v>12084</v>
      </c>
      <c r="F12">
        <v>1</v>
      </c>
    </row>
    <row r="13" spans="1:6" x14ac:dyDescent="0.35">
      <c r="A13">
        <v>2024</v>
      </c>
      <c r="B13">
        <v>9</v>
      </c>
      <c r="C13" t="s">
        <v>72</v>
      </c>
      <c r="D13" t="s">
        <v>269</v>
      </c>
      <c r="E13">
        <v>12183</v>
      </c>
      <c r="F13">
        <v>1</v>
      </c>
    </row>
    <row r="14" spans="1:6" x14ac:dyDescent="0.35">
      <c r="A14">
        <v>2024</v>
      </c>
      <c r="B14">
        <v>10</v>
      </c>
      <c r="C14" t="s">
        <v>73</v>
      </c>
      <c r="D14" t="s">
        <v>269</v>
      </c>
      <c r="E14">
        <v>12285</v>
      </c>
      <c r="F14">
        <v>1</v>
      </c>
    </row>
    <row r="15" spans="1:6" x14ac:dyDescent="0.35">
      <c r="A15">
        <v>2024</v>
      </c>
      <c r="B15">
        <v>11</v>
      </c>
      <c r="C15" t="s">
        <v>74</v>
      </c>
      <c r="D15" t="s">
        <v>269</v>
      </c>
      <c r="E15">
        <v>12295</v>
      </c>
      <c r="F15">
        <v>1</v>
      </c>
    </row>
    <row r="16" spans="1:6" x14ac:dyDescent="0.35">
      <c r="A16">
        <v>2024</v>
      </c>
      <c r="B16">
        <v>12</v>
      </c>
      <c r="C16" t="s">
        <v>75</v>
      </c>
      <c r="D16" t="s">
        <v>269</v>
      </c>
      <c r="E16">
        <v>12328</v>
      </c>
      <c r="F16">
        <v>1</v>
      </c>
    </row>
    <row r="17" spans="1:6" x14ac:dyDescent="0.35">
      <c r="A17">
        <v>2025</v>
      </c>
      <c r="B17">
        <v>1</v>
      </c>
      <c r="C17" t="s">
        <v>42</v>
      </c>
      <c r="D17" t="s">
        <v>269</v>
      </c>
      <c r="E17">
        <v>12284</v>
      </c>
      <c r="F17">
        <v>1</v>
      </c>
    </row>
    <row r="18" spans="1:6" x14ac:dyDescent="0.35">
      <c r="A18">
        <v>2025</v>
      </c>
      <c r="B18">
        <v>2</v>
      </c>
      <c r="C18" t="s">
        <v>63</v>
      </c>
      <c r="D18" t="s">
        <v>269</v>
      </c>
      <c r="E18">
        <v>12556</v>
      </c>
      <c r="F18">
        <v>1</v>
      </c>
    </row>
    <row r="19" spans="1:6" x14ac:dyDescent="0.35">
      <c r="A19">
        <v>2025</v>
      </c>
      <c r="B19">
        <v>3</v>
      </c>
      <c r="C19" t="s">
        <v>66</v>
      </c>
      <c r="D19" t="s">
        <v>269</v>
      </c>
      <c r="E19">
        <v>12646</v>
      </c>
      <c r="F19">
        <v>1</v>
      </c>
    </row>
    <row r="20" spans="1:6" x14ac:dyDescent="0.35">
      <c r="A20">
        <v>2025</v>
      </c>
      <c r="B20">
        <v>4</v>
      </c>
      <c r="C20" t="s">
        <v>67</v>
      </c>
      <c r="D20" t="s">
        <v>269</v>
      </c>
      <c r="E20">
        <v>12555</v>
      </c>
      <c r="F20">
        <v>1</v>
      </c>
    </row>
    <row r="21" spans="1:6" x14ac:dyDescent="0.35">
      <c r="A21">
        <v>2025</v>
      </c>
      <c r="B21">
        <v>5</v>
      </c>
      <c r="C21" t="s">
        <v>68</v>
      </c>
      <c r="D21" t="s">
        <v>269</v>
      </c>
      <c r="E21">
        <v>12355</v>
      </c>
      <c r="F21">
        <v>1</v>
      </c>
    </row>
    <row r="22" spans="1:6" x14ac:dyDescent="0.35">
      <c r="A22">
        <v>2025</v>
      </c>
      <c r="B22">
        <v>6</v>
      </c>
      <c r="C22" t="s">
        <v>69</v>
      </c>
      <c r="D22" t="s">
        <v>269</v>
      </c>
      <c r="E22">
        <v>12296</v>
      </c>
      <c r="F22">
        <v>1</v>
      </c>
    </row>
    <row r="23" spans="1:6" x14ac:dyDescent="0.35">
      <c r="A23">
        <v>2025</v>
      </c>
      <c r="B23">
        <v>7</v>
      </c>
      <c r="C23" t="s">
        <v>70</v>
      </c>
      <c r="D23" t="s">
        <v>269</v>
      </c>
      <c r="E23">
        <v>12291</v>
      </c>
      <c r="F23">
        <v>1</v>
      </c>
    </row>
    <row r="24" spans="1:6" x14ac:dyDescent="0.35">
      <c r="A24">
        <v>2025</v>
      </c>
      <c r="B24">
        <v>8</v>
      </c>
      <c r="C24" t="s">
        <v>71</v>
      </c>
      <c r="D24" t="s">
        <v>269</v>
      </c>
      <c r="E24">
        <v>12332</v>
      </c>
      <c r="F24">
        <v>1</v>
      </c>
    </row>
    <row r="25" spans="1:6" x14ac:dyDescent="0.35">
      <c r="A25">
        <v>2025</v>
      </c>
      <c r="B25">
        <v>9</v>
      </c>
      <c r="C25" t="s">
        <v>72</v>
      </c>
      <c r="D25" t="s">
        <v>269</v>
      </c>
      <c r="E25">
        <v>12400</v>
      </c>
      <c r="F25">
        <v>1</v>
      </c>
    </row>
    <row r="26" spans="1:6" x14ac:dyDescent="0.35">
      <c r="A26">
        <v>2025</v>
      </c>
      <c r="B26">
        <v>10</v>
      </c>
      <c r="C26" t="s">
        <v>73</v>
      </c>
      <c r="D26" t="s">
        <v>269</v>
      </c>
      <c r="E26">
        <v>12420</v>
      </c>
      <c r="F26">
        <v>1</v>
      </c>
    </row>
    <row r="27" spans="1:6" x14ac:dyDescent="0.35">
      <c r="A27">
        <v>2025</v>
      </c>
      <c r="B27">
        <v>11</v>
      </c>
      <c r="C27" t="s">
        <v>74</v>
      </c>
      <c r="D27" t="s">
        <v>269</v>
      </c>
      <c r="E27">
        <v>12449</v>
      </c>
      <c r="F27">
        <v>1</v>
      </c>
    </row>
    <row r="28" spans="1:6" x14ac:dyDescent="0.35">
      <c r="A28">
        <v>2025</v>
      </c>
      <c r="B28">
        <v>12</v>
      </c>
      <c r="C28" t="s">
        <v>75</v>
      </c>
      <c r="D28" t="s">
        <v>269</v>
      </c>
      <c r="E28">
        <v>12456</v>
      </c>
      <c r="F28">
        <v>1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293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271</v>
      </c>
      <c r="E5">
        <v>4643</v>
      </c>
      <c r="F5">
        <v>0</v>
      </c>
    </row>
    <row r="6" spans="1:6" x14ac:dyDescent="0.35">
      <c r="A6">
        <v>2024</v>
      </c>
      <c r="B6">
        <v>2</v>
      </c>
      <c r="C6" t="s">
        <v>63</v>
      </c>
      <c r="D6" t="s">
        <v>271</v>
      </c>
      <c r="E6">
        <v>4640</v>
      </c>
      <c r="F6">
        <v>0</v>
      </c>
    </row>
    <row r="7" spans="1:6" x14ac:dyDescent="0.35">
      <c r="A7">
        <v>2024</v>
      </c>
      <c r="B7">
        <v>3</v>
      </c>
      <c r="C7" t="s">
        <v>66</v>
      </c>
      <c r="D7" t="s">
        <v>271</v>
      </c>
      <c r="E7">
        <v>4639</v>
      </c>
      <c r="F7">
        <v>0</v>
      </c>
    </row>
    <row r="8" spans="1:6" x14ac:dyDescent="0.35">
      <c r="A8">
        <v>2024</v>
      </c>
      <c r="B8">
        <v>4</v>
      </c>
      <c r="C8" t="s">
        <v>67</v>
      </c>
      <c r="D8" t="s">
        <v>271</v>
      </c>
      <c r="E8">
        <v>4631</v>
      </c>
      <c r="F8">
        <v>0</v>
      </c>
    </row>
    <row r="9" spans="1:6" x14ac:dyDescent="0.35">
      <c r="A9">
        <v>2024</v>
      </c>
      <c r="B9">
        <v>5</v>
      </c>
      <c r="C9" t="s">
        <v>68</v>
      </c>
      <c r="D9" t="s">
        <v>271</v>
      </c>
      <c r="E9">
        <v>4614</v>
      </c>
      <c r="F9">
        <v>0</v>
      </c>
    </row>
    <row r="10" spans="1:6" x14ac:dyDescent="0.35">
      <c r="A10">
        <v>2024</v>
      </c>
      <c r="B10">
        <v>6</v>
      </c>
      <c r="C10" t="s">
        <v>69</v>
      </c>
      <c r="D10" t="s">
        <v>271</v>
      </c>
      <c r="E10">
        <v>4617</v>
      </c>
      <c r="F10">
        <v>0</v>
      </c>
    </row>
    <row r="11" spans="1:6" x14ac:dyDescent="0.35">
      <c r="A11">
        <v>2024</v>
      </c>
      <c r="B11">
        <v>7</v>
      </c>
      <c r="C11" t="s">
        <v>70</v>
      </c>
      <c r="D11" t="s">
        <v>271</v>
      </c>
      <c r="E11">
        <v>4644</v>
      </c>
      <c r="F11">
        <v>0</v>
      </c>
    </row>
    <row r="12" spans="1:6" x14ac:dyDescent="0.35">
      <c r="A12">
        <v>2024</v>
      </c>
      <c r="B12">
        <v>8</v>
      </c>
      <c r="C12" t="s">
        <v>71</v>
      </c>
      <c r="D12" t="s">
        <v>271</v>
      </c>
      <c r="E12">
        <v>4608</v>
      </c>
      <c r="F12">
        <v>0</v>
      </c>
    </row>
    <row r="13" spans="1:6" x14ac:dyDescent="0.35">
      <c r="A13">
        <v>2024</v>
      </c>
      <c r="B13">
        <v>9</v>
      </c>
      <c r="C13" t="s">
        <v>72</v>
      </c>
      <c r="D13" t="s">
        <v>271</v>
      </c>
      <c r="E13">
        <v>4644</v>
      </c>
      <c r="F13">
        <v>0</v>
      </c>
    </row>
    <row r="14" spans="1:6" x14ac:dyDescent="0.35">
      <c r="A14">
        <v>2024</v>
      </c>
      <c r="B14">
        <v>10</v>
      </c>
      <c r="C14" t="s">
        <v>73</v>
      </c>
      <c r="D14" t="s">
        <v>271</v>
      </c>
      <c r="E14">
        <v>4694</v>
      </c>
      <c r="F14">
        <v>1</v>
      </c>
    </row>
    <row r="15" spans="1:6" x14ac:dyDescent="0.35">
      <c r="A15">
        <v>2024</v>
      </c>
      <c r="B15">
        <v>11</v>
      </c>
      <c r="C15" t="s">
        <v>74</v>
      </c>
      <c r="D15" t="s">
        <v>271</v>
      </c>
      <c r="E15">
        <v>4696</v>
      </c>
      <c r="F15">
        <v>0</v>
      </c>
    </row>
    <row r="16" spans="1:6" x14ac:dyDescent="0.35">
      <c r="A16">
        <v>2024</v>
      </c>
      <c r="B16">
        <v>12</v>
      </c>
      <c r="C16" t="s">
        <v>75</v>
      </c>
      <c r="D16" t="s">
        <v>271</v>
      </c>
      <c r="E16">
        <v>4693</v>
      </c>
      <c r="F16">
        <v>0</v>
      </c>
    </row>
    <row r="17" spans="1:6" x14ac:dyDescent="0.35">
      <c r="A17">
        <v>2025</v>
      </c>
      <c r="B17">
        <v>1</v>
      </c>
      <c r="C17" t="s">
        <v>42</v>
      </c>
      <c r="D17" t="s">
        <v>271</v>
      </c>
      <c r="E17">
        <v>4563</v>
      </c>
      <c r="F17">
        <v>0</v>
      </c>
    </row>
    <row r="18" spans="1:6" x14ac:dyDescent="0.35">
      <c r="A18">
        <v>2025</v>
      </c>
      <c r="B18">
        <v>2</v>
      </c>
      <c r="C18" t="s">
        <v>63</v>
      </c>
      <c r="D18" t="s">
        <v>271</v>
      </c>
      <c r="E18">
        <v>4581</v>
      </c>
      <c r="F18">
        <v>0</v>
      </c>
    </row>
    <row r="19" spans="1:6" x14ac:dyDescent="0.35">
      <c r="A19">
        <v>2025</v>
      </c>
      <c r="B19">
        <v>3</v>
      </c>
      <c r="C19" t="s">
        <v>66</v>
      </c>
      <c r="D19" t="s">
        <v>271</v>
      </c>
      <c r="E19">
        <v>4620</v>
      </c>
      <c r="F19">
        <v>0</v>
      </c>
    </row>
    <row r="20" spans="1:6" x14ac:dyDescent="0.35">
      <c r="A20">
        <v>2025</v>
      </c>
      <c r="B20">
        <v>4</v>
      </c>
      <c r="C20" t="s">
        <v>67</v>
      </c>
      <c r="D20" t="s">
        <v>271</v>
      </c>
      <c r="E20">
        <v>4576</v>
      </c>
      <c r="F20">
        <v>0</v>
      </c>
    </row>
    <row r="21" spans="1:6" x14ac:dyDescent="0.35">
      <c r="A21">
        <v>2025</v>
      </c>
      <c r="B21">
        <v>5</v>
      </c>
      <c r="C21" t="s">
        <v>68</v>
      </c>
      <c r="D21" t="s">
        <v>271</v>
      </c>
      <c r="E21">
        <v>4629</v>
      </c>
      <c r="F21">
        <v>0</v>
      </c>
    </row>
    <row r="22" spans="1:6" x14ac:dyDescent="0.35">
      <c r="A22">
        <v>2025</v>
      </c>
      <c r="B22">
        <v>6</v>
      </c>
      <c r="C22" t="s">
        <v>69</v>
      </c>
      <c r="D22" t="s">
        <v>271</v>
      </c>
      <c r="E22">
        <v>4613</v>
      </c>
      <c r="F22">
        <v>0</v>
      </c>
    </row>
    <row r="23" spans="1:6" x14ac:dyDescent="0.35">
      <c r="A23">
        <v>2025</v>
      </c>
      <c r="B23">
        <v>7</v>
      </c>
      <c r="C23" t="s">
        <v>70</v>
      </c>
      <c r="D23" t="s">
        <v>271</v>
      </c>
      <c r="E23">
        <v>4596</v>
      </c>
      <c r="F23">
        <v>0</v>
      </c>
    </row>
    <row r="24" spans="1:6" x14ac:dyDescent="0.35">
      <c r="A24">
        <v>2025</v>
      </c>
      <c r="B24">
        <v>8</v>
      </c>
      <c r="C24" t="s">
        <v>71</v>
      </c>
      <c r="D24" t="s">
        <v>271</v>
      </c>
      <c r="E24">
        <v>4596</v>
      </c>
      <c r="F24">
        <v>0</v>
      </c>
    </row>
    <row r="25" spans="1:6" x14ac:dyDescent="0.35">
      <c r="A25">
        <v>2025</v>
      </c>
      <c r="B25">
        <v>9</v>
      </c>
      <c r="C25" t="s">
        <v>72</v>
      </c>
      <c r="D25" t="s">
        <v>271</v>
      </c>
      <c r="E25">
        <v>4599</v>
      </c>
      <c r="F25">
        <v>0</v>
      </c>
    </row>
    <row r="26" spans="1:6" x14ac:dyDescent="0.35">
      <c r="A26">
        <v>2025</v>
      </c>
      <c r="B26">
        <v>10</v>
      </c>
      <c r="C26" t="s">
        <v>73</v>
      </c>
      <c r="D26" t="s">
        <v>271</v>
      </c>
      <c r="E26">
        <v>4581</v>
      </c>
      <c r="F26">
        <v>0</v>
      </c>
    </row>
    <row r="27" spans="1:6" x14ac:dyDescent="0.35">
      <c r="A27">
        <v>2025</v>
      </c>
      <c r="B27">
        <v>11</v>
      </c>
      <c r="C27" t="s">
        <v>74</v>
      </c>
      <c r="D27" t="s">
        <v>271</v>
      </c>
      <c r="E27">
        <v>4557</v>
      </c>
      <c r="F27">
        <v>0</v>
      </c>
    </row>
    <row r="28" spans="1:6" x14ac:dyDescent="0.35">
      <c r="A28">
        <v>2025</v>
      </c>
      <c r="B28">
        <v>12</v>
      </c>
      <c r="C28" t="s">
        <v>75</v>
      </c>
      <c r="D28" t="s">
        <v>271</v>
      </c>
      <c r="E28">
        <v>4542</v>
      </c>
      <c r="F28">
        <v>0</v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294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273</v>
      </c>
      <c r="E5">
        <v>37697</v>
      </c>
      <c r="F5">
        <v>0</v>
      </c>
    </row>
    <row r="6" spans="1:6" x14ac:dyDescent="0.35">
      <c r="A6">
        <v>2024</v>
      </c>
      <c r="B6">
        <v>2</v>
      </c>
      <c r="C6" t="s">
        <v>63</v>
      </c>
      <c r="D6" t="s">
        <v>273</v>
      </c>
      <c r="E6">
        <v>37640</v>
      </c>
      <c r="F6">
        <v>0</v>
      </c>
    </row>
    <row r="7" spans="1:6" x14ac:dyDescent="0.35">
      <c r="A7">
        <v>2024</v>
      </c>
      <c r="B7">
        <v>3</v>
      </c>
      <c r="C7" t="s">
        <v>66</v>
      </c>
      <c r="D7" t="s">
        <v>273</v>
      </c>
      <c r="E7">
        <v>37805</v>
      </c>
      <c r="F7">
        <v>0</v>
      </c>
    </row>
    <row r="8" spans="1:6" x14ac:dyDescent="0.35">
      <c r="A8">
        <v>2024</v>
      </c>
      <c r="B8">
        <v>4</v>
      </c>
      <c r="C8" t="s">
        <v>67</v>
      </c>
      <c r="D8" t="s">
        <v>273</v>
      </c>
      <c r="E8">
        <v>37652</v>
      </c>
      <c r="F8">
        <v>0</v>
      </c>
    </row>
    <row r="9" spans="1:6" x14ac:dyDescent="0.35">
      <c r="A9">
        <v>2024</v>
      </c>
      <c r="B9">
        <v>5</v>
      </c>
      <c r="C9" t="s">
        <v>68</v>
      </c>
      <c r="D9" t="s">
        <v>273</v>
      </c>
      <c r="E9">
        <v>37429</v>
      </c>
      <c r="F9">
        <v>0</v>
      </c>
    </row>
    <row r="10" spans="1:6" x14ac:dyDescent="0.35">
      <c r="A10">
        <v>2024</v>
      </c>
      <c r="B10">
        <v>6</v>
      </c>
      <c r="C10" t="s">
        <v>69</v>
      </c>
      <c r="D10" t="s">
        <v>273</v>
      </c>
      <c r="E10">
        <v>37417</v>
      </c>
      <c r="F10">
        <v>0</v>
      </c>
    </row>
    <row r="11" spans="1:6" x14ac:dyDescent="0.35">
      <c r="A11">
        <v>2024</v>
      </c>
      <c r="B11">
        <v>7</v>
      </c>
      <c r="C11" t="s">
        <v>70</v>
      </c>
      <c r="D11" t="s">
        <v>273</v>
      </c>
      <c r="E11">
        <v>37357</v>
      </c>
      <c r="F11">
        <v>0</v>
      </c>
    </row>
    <row r="12" spans="1:6" x14ac:dyDescent="0.35">
      <c r="A12">
        <v>2024</v>
      </c>
      <c r="B12">
        <v>8</v>
      </c>
      <c r="C12" t="s">
        <v>71</v>
      </c>
      <c r="D12" t="s">
        <v>273</v>
      </c>
      <c r="E12">
        <v>37308</v>
      </c>
      <c r="F12">
        <v>0</v>
      </c>
    </row>
    <row r="13" spans="1:6" x14ac:dyDescent="0.35">
      <c r="A13">
        <v>2024</v>
      </c>
      <c r="B13">
        <v>9</v>
      </c>
      <c r="C13" t="s">
        <v>72</v>
      </c>
      <c r="D13" t="s">
        <v>273</v>
      </c>
      <c r="E13">
        <v>37725</v>
      </c>
      <c r="F13">
        <v>0</v>
      </c>
    </row>
    <row r="14" spans="1:6" x14ac:dyDescent="0.35">
      <c r="A14">
        <v>2024</v>
      </c>
      <c r="B14">
        <v>10</v>
      </c>
      <c r="C14" t="s">
        <v>73</v>
      </c>
      <c r="D14" t="s">
        <v>273</v>
      </c>
      <c r="E14">
        <v>40128</v>
      </c>
      <c r="F14">
        <v>0</v>
      </c>
    </row>
    <row r="15" spans="1:6" x14ac:dyDescent="0.35">
      <c r="A15">
        <v>2024</v>
      </c>
      <c r="B15">
        <v>11</v>
      </c>
      <c r="C15" t="s">
        <v>74</v>
      </c>
      <c r="D15" t="s">
        <v>273</v>
      </c>
      <c r="E15">
        <v>42231</v>
      </c>
      <c r="F15">
        <v>0</v>
      </c>
    </row>
    <row r="16" spans="1:6" x14ac:dyDescent="0.35">
      <c r="A16">
        <v>2024</v>
      </c>
      <c r="B16">
        <v>12</v>
      </c>
      <c r="C16" t="s">
        <v>75</v>
      </c>
      <c r="D16" t="s">
        <v>273</v>
      </c>
      <c r="E16">
        <v>42370</v>
      </c>
      <c r="F16">
        <v>0</v>
      </c>
    </row>
    <row r="17" spans="1:6" x14ac:dyDescent="0.35">
      <c r="A17">
        <v>2025</v>
      </c>
      <c r="B17">
        <v>1</v>
      </c>
      <c r="C17" t="s">
        <v>42</v>
      </c>
      <c r="D17" t="s">
        <v>273</v>
      </c>
      <c r="E17">
        <v>42634</v>
      </c>
      <c r="F17">
        <v>0</v>
      </c>
    </row>
    <row r="18" spans="1:6" x14ac:dyDescent="0.35">
      <c r="A18">
        <v>2025</v>
      </c>
      <c r="B18">
        <v>2</v>
      </c>
      <c r="C18" t="s">
        <v>63</v>
      </c>
      <c r="D18" t="s">
        <v>273</v>
      </c>
      <c r="E18">
        <v>42571</v>
      </c>
      <c r="F18">
        <v>0</v>
      </c>
    </row>
    <row r="19" spans="1:6" x14ac:dyDescent="0.35">
      <c r="A19">
        <v>2025</v>
      </c>
      <c r="B19">
        <v>3</v>
      </c>
      <c r="C19" t="s">
        <v>66</v>
      </c>
      <c r="D19" t="s">
        <v>273</v>
      </c>
      <c r="E19">
        <v>42766</v>
      </c>
      <c r="F19">
        <v>0</v>
      </c>
    </row>
    <row r="20" spans="1:6" x14ac:dyDescent="0.35">
      <c r="A20">
        <v>2025</v>
      </c>
      <c r="B20">
        <v>4</v>
      </c>
      <c r="C20" t="s">
        <v>67</v>
      </c>
      <c r="D20" t="s">
        <v>273</v>
      </c>
      <c r="E20">
        <v>42565</v>
      </c>
      <c r="F20">
        <v>0</v>
      </c>
    </row>
    <row r="21" spans="1:6" x14ac:dyDescent="0.35">
      <c r="A21">
        <v>2025</v>
      </c>
      <c r="B21">
        <v>5</v>
      </c>
      <c r="C21" t="s">
        <v>68</v>
      </c>
      <c r="D21" t="s">
        <v>273</v>
      </c>
      <c r="E21">
        <v>44888</v>
      </c>
      <c r="F21">
        <v>0</v>
      </c>
    </row>
    <row r="22" spans="1:6" x14ac:dyDescent="0.35">
      <c r="A22">
        <v>2025</v>
      </c>
      <c r="B22">
        <v>6</v>
      </c>
      <c r="C22" t="s">
        <v>69</v>
      </c>
      <c r="D22" t="s">
        <v>273</v>
      </c>
      <c r="E22">
        <v>43999</v>
      </c>
      <c r="F22">
        <v>0</v>
      </c>
    </row>
    <row r="23" spans="1:6" x14ac:dyDescent="0.35">
      <c r="A23">
        <v>2025</v>
      </c>
      <c r="B23">
        <v>7</v>
      </c>
      <c r="C23" t="s">
        <v>70</v>
      </c>
      <c r="D23" t="s">
        <v>273</v>
      </c>
      <c r="E23">
        <v>44228</v>
      </c>
      <c r="F23">
        <v>0</v>
      </c>
    </row>
    <row r="24" spans="1:6" x14ac:dyDescent="0.35">
      <c r="A24">
        <v>2025</v>
      </c>
      <c r="B24">
        <v>8</v>
      </c>
      <c r="C24" t="s">
        <v>71</v>
      </c>
      <c r="D24" t="s">
        <v>273</v>
      </c>
      <c r="E24">
        <v>44494</v>
      </c>
      <c r="F24">
        <v>0</v>
      </c>
    </row>
    <row r="25" spans="1:6" x14ac:dyDescent="0.35">
      <c r="A25">
        <v>2025</v>
      </c>
      <c r="B25">
        <v>9</v>
      </c>
      <c r="C25" t="s">
        <v>72</v>
      </c>
      <c r="D25" t="s">
        <v>273</v>
      </c>
      <c r="E25">
        <v>44803</v>
      </c>
      <c r="F25">
        <v>0</v>
      </c>
    </row>
    <row r="26" spans="1:6" x14ac:dyDescent="0.35">
      <c r="A26">
        <v>2025</v>
      </c>
      <c r="B26">
        <v>10</v>
      </c>
      <c r="C26" t="s">
        <v>73</v>
      </c>
      <c r="D26" t="s">
        <v>273</v>
      </c>
      <c r="E26">
        <v>48093</v>
      </c>
      <c r="F26">
        <v>0</v>
      </c>
    </row>
    <row r="27" spans="1:6" x14ac:dyDescent="0.35">
      <c r="A27">
        <v>2025</v>
      </c>
      <c r="B27">
        <v>11</v>
      </c>
      <c r="C27" t="s">
        <v>74</v>
      </c>
      <c r="D27" t="s">
        <v>273</v>
      </c>
      <c r="E27">
        <v>48398</v>
      </c>
      <c r="F27">
        <v>0</v>
      </c>
    </row>
    <row r="28" spans="1:6" x14ac:dyDescent="0.35">
      <c r="A28">
        <v>2025</v>
      </c>
      <c r="B28">
        <v>12</v>
      </c>
      <c r="C28" t="s">
        <v>75</v>
      </c>
      <c r="D28" t="s">
        <v>273</v>
      </c>
      <c r="E28">
        <v>48534</v>
      </c>
      <c r="F28">
        <v>0</v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295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275</v>
      </c>
      <c r="E5">
        <v>5125</v>
      </c>
      <c r="F5">
        <v>0</v>
      </c>
    </row>
    <row r="6" spans="1:6" x14ac:dyDescent="0.35">
      <c r="A6">
        <v>2024</v>
      </c>
      <c r="B6">
        <v>2</v>
      </c>
      <c r="C6" t="s">
        <v>63</v>
      </c>
      <c r="D6" t="s">
        <v>275</v>
      </c>
      <c r="E6">
        <v>5152</v>
      </c>
      <c r="F6">
        <v>0</v>
      </c>
    </row>
    <row r="7" spans="1:6" x14ac:dyDescent="0.35">
      <c r="A7">
        <v>2024</v>
      </c>
      <c r="B7">
        <v>3</v>
      </c>
      <c r="C7" t="s">
        <v>66</v>
      </c>
      <c r="D7" t="s">
        <v>275</v>
      </c>
      <c r="E7">
        <v>5288</v>
      </c>
      <c r="F7">
        <v>0</v>
      </c>
    </row>
    <row r="8" spans="1:6" x14ac:dyDescent="0.35">
      <c r="A8">
        <v>2024</v>
      </c>
      <c r="B8">
        <v>4</v>
      </c>
      <c r="C8" t="s">
        <v>67</v>
      </c>
      <c r="D8" t="s">
        <v>275</v>
      </c>
      <c r="E8">
        <v>5477</v>
      </c>
      <c r="F8">
        <v>0</v>
      </c>
    </row>
    <row r="9" spans="1:6" x14ac:dyDescent="0.35">
      <c r="A9">
        <v>2024</v>
      </c>
      <c r="B9">
        <v>5</v>
      </c>
      <c r="C9" t="s">
        <v>68</v>
      </c>
      <c r="D9" t="s">
        <v>275</v>
      </c>
      <c r="E9">
        <v>5484</v>
      </c>
      <c r="F9">
        <v>0</v>
      </c>
    </row>
    <row r="10" spans="1:6" x14ac:dyDescent="0.35">
      <c r="A10">
        <v>2024</v>
      </c>
      <c r="B10">
        <v>6</v>
      </c>
      <c r="C10" t="s">
        <v>69</v>
      </c>
      <c r="D10" t="s">
        <v>275</v>
      </c>
      <c r="E10">
        <v>5496</v>
      </c>
      <c r="F10">
        <v>0</v>
      </c>
    </row>
    <row r="11" spans="1:6" x14ac:dyDescent="0.35">
      <c r="A11">
        <v>2024</v>
      </c>
      <c r="B11">
        <v>7</v>
      </c>
      <c r="C11" t="s">
        <v>70</v>
      </c>
      <c r="D11" t="s">
        <v>275</v>
      </c>
      <c r="E11">
        <v>5502</v>
      </c>
      <c r="F11">
        <v>0</v>
      </c>
    </row>
    <row r="12" spans="1:6" x14ac:dyDescent="0.35">
      <c r="A12">
        <v>2024</v>
      </c>
      <c r="B12">
        <v>8</v>
      </c>
      <c r="C12" t="s">
        <v>71</v>
      </c>
      <c r="D12" t="s">
        <v>275</v>
      </c>
      <c r="E12">
        <v>5552</v>
      </c>
      <c r="F12">
        <v>0</v>
      </c>
    </row>
    <row r="13" spans="1:6" x14ac:dyDescent="0.35">
      <c r="A13">
        <v>2024</v>
      </c>
      <c r="B13">
        <v>9</v>
      </c>
      <c r="C13" t="s">
        <v>72</v>
      </c>
      <c r="D13" t="s">
        <v>275</v>
      </c>
      <c r="E13">
        <v>5670</v>
      </c>
      <c r="F13">
        <v>0</v>
      </c>
    </row>
    <row r="14" spans="1:6" x14ac:dyDescent="0.35">
      <c r="A14">
        <v>2024</v>
      </c>
      <c r="B14">
        <v>10</v>
      </c>
      <c r="C14" t="s">
        <v>73</v>
      </c>
      <c r="D14" t="s">
        <v>275</v>
      </c>
      <c r="E14">
        <v>5638</v>
      </c>
      <c r="F14">
        <v>0</v>
      </c>
    </row>
    <row r="15" spans="1:6" x14ac:dyDescent="0.35">
      <c r="A15">
        <v>2024</v>
      </c>
      <c r="B15">
        <v>11</v>
      </c>
      <c r="C15" t="s">
        <v>74</v>
      </c>
      <c r="D15" t="s">
        <v>275</v>
      </c>
      <c r="E15">
        <v>5624</v>
      </c>
      <c r="F15">
        <v>0</v>
      </c>
    </row>
    <row r="16" spans="1:6" x14ac:dyDescent="0.35">
      <c r="A16">
        <v>2024</v>
      </c>
      <c r="B16">
        <v>12</v>
      </c>
      <c r="C16" t="s">
        <v>75</v>
      </c>
      <c r="D16" t="s">
        <v>275</v>
      </c>
      <c r="E16">
        <v>5638</v>
      </c>
      <c r="F16">
        <v>0</v>
      </c>
    </row>
    <row r="17" spans="1:6" x14ac:dyDescent="0.35">
      <c r="A17">
        <v>2025</v>
      </c>
      <c r="B17">
        <v>1</v>
      </c>
      <c r="C17" t="s">
        <v>42</v>
      </c>
      <c r="D17" t="s">
        <v>275</v>
      </c>
      <c r="E17">
        <v>5539</v>
      </c>
      <c r="F17">
        <v>0</v>
      </c>
    </row>
    <row r="18" spans="1:6" x14ac:dyDescent="0.35">
      <c r="A18">
        <v>2025</v>
      </c>
      <c r="B18">
        <v>2</v>
      </c>
      <c r="C18" t="s">
        <v>63</v>
      </c>
      <c r="D18" t="s">
        <v>275</v>
      </c>
      <c r="E18">
        <v>5640</v>
      </c>
      <c r="F18">
        <v>0</v>
      </c>
    </row>
    <row r="19" spans="1:6" x14ac:dyDescent="0.35">
      <c r="A19">
        <v>2025</v>
      </c>
      <c r="B19">
        <v>3</v>
      </c>
      <c r="C19" t="s">
        <v>66</v>
      </c>
      <c r="D19" t="s">
        <v>275</v>
      </c>
      <c r="E19">
        <v>5693</v>
      </c>
      <c r="F19">
        <v>0</v>
      </c>
    </row>
    <row r="20" spans="1:6" x14ac:dyDescent="0.35">
      <c r="A20">
        <v>2025</v>
      </c>
      <c r="B20">
        <v>4</v>
      </c>
      <c r="C20" t="s">
        <v>67</v>
      </c>
      <c r="D20" t="s">
        <v>275</v>
      </c>
      <c r="E20">
        <v>5640</v>
      </c>
      <c r="F20">
        <v>0</v>
      </c>
    </row>
    <row r="21" spans="1:6" x14ac:dyDescent="0.35">
      <c r="A21">
        <v>2025</v>
      </c>
      <c r="B21">
        <v>5</v>
      </c>
      <c r="C21" t="s">
        <v>68</v>
      </c>
      <c r="D21" t="s">
        <v>275</v>
      </c>
      <c r="E21">
        <v>5788</v>
      </c>
      <c r="F21">
        <v>0</v>
      </c>
    </row>
    <row r="22" spans="1:6" x14ac:dyDescent="0.35">
      <c r="A22">
        <v>2025</v>
      </c>
      <c r="B22">
        <v>6</v>
      </c>
      <c r="C22" t="s">
        <v>69</v>
      </c>
      <c r="D22" t="s">
        <v>275</v>
      </c>
      <c r="E22">
        <v>5808</v>
      </c>
      <c r="F22">
        <v>0</v>
      </c>
    </row>
    <row r="23" spans="1:6" x14ac:dyDescent="0.35">
      <c r="A23">
        <v>2025</v>
      </c>
      <c r="B23">
        <v>7</v>
      </c>
      <c r="C23" t="s">
        <v>70</v>
      </c>
      <c r="D23" t="s">
        <v>275</v>
      </c>
      <c r="E23">
        <v>5830</v>
      </c>
      <c r="F23">
        <v>0</v>
      </c>
    </row>
    <row r="24" spans="1:6" x14ac:dyDescent="0.35">
      <c r="A24">
        <v>2025</v>
      </c>
      <c r="B24">
        <v>8</v>
      </c>
      <c r="C24" t="s">
        <v>71</v>
      </c>
      <c r="D24" t="s">
        <v>275</v>
      </c>
      <c r="E24">
        <v>5834</v>
      </c>
      <c r="F24">
        <v>0</v>
      </c>
    </row>
    <row r="25" spans="1:6" x14ac:dyDescent="0.35">
      <c r="A25">
        <v>2025</v>
      </c>
      <c r="B25">
        <v>9</v>
      </c>
      <c r="C25" t="s">
        <v>72</v>
      </c>
      <c r="D25" t="s">
        <v>275</v>
      </c>
      <c r="E25">
        <v>5882</v>
      </c>
      <c r="F25">
        <v>0</v>
      </c>
    </row>
    <row r="26" spans="1:6" x14ac:dyDescent="0.35">
      <c r="A26">
        <v>2025</v>
      </c>
      <c r="B26">
        <v>10</v>
      </c>
      <c r="C26" t="s">
        <v>73</v>
      </c>
      <c r="D26" t="s">
        <v>275</v>
      </c>
      <c r="E26">
        <v>5910</v>
      </c>
      <c r="F26">
        <v>1</v>
      </c>
    </row>
    <row r="27" spans="1:6" x14ac:dyDescent="0.35">
      <c r="A27">
        <v>2025</v>
      </c>
      <c r="B27">
        <v>11</v>
      </c>
      <c r="C27" t="s">
        <v>74</v>
      </c>
      <c r="D27" t="s">
        <v>275</v>
      </c>
      <c r="E27">
        <v>5917</v>
      </c>
      <c r="F27">
        <v>1</v>
      </c>
    </row>
    <row r="28" spans="1:6" x14ac:dyDescent="0.35">
      <c r="A28">
        <v>2025</v>
      </c>
      <c r="B28">
        <v>12</v>
      </c>
      <c r="C28" t="s">
        <v>75</v>
      </c>
      <c r="D28" t="s">
        <v>275</v>
      </c>
      <c r="E28">
        <v>5891</v>
      </c>
      <c r="F28">
        <v>2</v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4" width="15" customWidth="1"/>
    <col min="5" max="8" width="12" customWidth="1"/>
  </cols>
  <sheetData>
    <row r="1" spans="1:6" ht="28" customHeight="1" x14ac:dyDescent="0.35">
      <c r="A1" s="6" t="s">
        <v>296</v>
      </c>
      <c r="B1" s="4"/>
      <c r="C1" s="4"/>
      <c r="D1" s="4"/>
      <c r="E1" s="4"/>
      <c r="F1" s="4"/>
    </row>
    <row r="2" spans="1:6" ht="15.5" x14ac:dyDescent="0.35">
      <c r="A2" s="2" t="str">
        <f>HYPERLINK("#SOMMAIRE!A1","← Retour au sommaire")</f>
        <v>← Retour au sommaire</v>
      </c>
    </row>
    <row r="4" spans="1:6" ht="29" x14ac:dyDescent="0.35">
      <c r="A4" s="1" t="s">
        <v>30</v>
      </c>
      <c r="B4" s="1" t="s">
        <v>31</v>
      </c>
      <c r="C4" s="1" t="s">
        <v>32</v>
      </c>
      <c r="D4" s="1" t="s">
        <v>254</v>
      </c>
      <c r="E4" s="1" t="s">
        <v>284</v>
      </c>
      <c r="F4" s="1" t="s">
        <v>285</v>
      </c>
    </row>
    <row r="5" spans="1:6" x14ac:dyDescent="0.35">
      <c r="A5">
        <v>2024</v>
      </c>
      <c r="B5">
        <v>1</v>
      </c>
      <c r="C5" t="s">
        <v>42</v>
      </c>
      <c r="D5" t="s">
        <v>277</v>
      </c>
      <c r="E5">
        <v>6</v>
      </c>
      <c r="F5">
        <v>0</v>
      </c>
    </row>
    <row r="6" spans="1:6" x14ac:dyDescent="0.35">
      <c r="A6">
        <v>2024</v>
      </c>
      <c r="B6">
        <v>2</v>
      </c>
      <c r="C6" t="s">
        <v>63</v>
      </c>
      <c r="D6" t="s">
        <v>277</v>
      </c>
      <c r="E6">
        <v>6</v>
      </c>
      <c r="F6">
        <v>0</v>
      </c>
    </row>
    <row r="7" spans="1:6" x14ac:dyDescent="0.35">
      <c r="A7">
        <v>2024</v>
      </c>
      <c r="B7">
        <v>3</v>
      </c>
      <c r="C7" t="s">
        <v>66</v>
      </c>
      <c r="D7" t="s">
        <v>277</v>
      </c>
      <c r="E7">
        <v>6</v>
      </c>
      <c r="F7">
        <v>0</v>
      </c>
    </row>
    <row r="8" spans="1:6" x14ac:dyDescent="0.35">
      <c r="A8">
        <v>2024</v>
      </c>
      <c r="B8">
        <v>4</v>
      </c>
      <c r="C8" t="s">
        <v>67</v>
      </c>
      <c r="D8" t="s">
        <v>277</v>
      </c>
      <c r="E8">
        <v>6</v>
      </c>
      <c r="F8">
        <v>0</v>
      </c>
    </row>
    <row r="9" spans="1:6" x14ac:dyDescent="0.35">
      <c r="A9">
        <v>2024</v>
      </c>
      <c r="B9">
        <v>5</v>
      </c>
      <c r="C9" t="s">
        <v>68</v>
      </c>
      <c r="D9" t="s">
        <v>277</v>
      </c>
      <c r="E9">
        <v>6</v>
      </c>
      <c r="F9">
        <v>0</v>
      </c>
    </row>
    <row r="10" spans="1:6" x14ac:dyDescent="0.35">
      <c r="A10">
        <v>2024</v>
      </c>
      <c r="B10">
        <v>6</v>
      </c>
      <c r="C10" t="s">
        <v>69</v>
      </c>
      <c r="D10" t="s">
        <v>277</v>
      </c>
      <c r="E10">
        <v>6</v>
      </c>
      <c r="F10">
        <v>0</v>
      </c>
    </row>
    <row r="11" spans="1:6" x14ac:dyDescent="0.35">
      <c r="A11">
        <v>2024</v>
      </c>
      <c r="B11">
        <v>7</v>
      </c>
      <c r="C11" t="s">
        <v>70</v>
      </c>
      <c r="D11" t="s">
        <v>277</v>
      </c>
      <c r="E11">
        <v>6</v>
      </c>
      <c r="F11">
        <v>0</v>
      </c>
    </row>
    <row r="12" spans="1:6" x14ac:dyDescent="0.35">
      <c r="A12">
        <v>2024</v>
      </c>
      <c r="B12">
        <v>8</v>
      </c>
      <c r="C12" t="s">
        <v>71</v>
      </c>
      <c r="D12" t="s">
        <v>277</v>
      </c>
      <c r="E12">
        <v>6</v>
      </c>
      <c r="F12">
        <v>0</v>
      </c>
    </row>
    <row r="13" spans="1:6" x14ac:dyDescent="0.35">
      <c r="A13">
        <v>2024</v>
      </c>
      <c r="B13">
        <v>9</v>
      </c>
      <c r="C13" t="s">
        <v>72</v>
      </c>
      <c r="D13" t="s">
        <v>277</v>
      </c>
      <c r="E13">
        <v>6</v>
      </c>
      <c r="F13">
        <v>0</v>
      </c>
    </row>
    <row r="14" spans="1:6" x14ac:dyDescent="0.35">
      <c r="A14">
        <v>2024</v>
      </c>
      <c r="B14">
        <v>10</v>
      </c>
      <c r="C14" t="s">
        <v>73</v>
      </c>
      <c r="D14" t="s">
        <v>277</v>
      </c>
      <c r="E14">
        <v>6</v>
      </c>
      <c r="F14">
        <v>0</v>
      </c>
    </row>
    <row r="15" spans="1:6" x14ac:dyDescent="0.35">
      <c r="A15">
        <v>2024</v>
      </c>
      <c r="B15">
        <v>11</v>
      </c>
      <c r="C15" t="s">
        <v>74</v>
      </c>
      <c r="D15" t="s">
        <v>277</v>
      </c>
      <c r="E15">
        <v>6</v>
      </c>
      <c r="F15">
        <v>0</v>
      </c>
    </row>
    <row r="16" spans="1:6" x14ac:dyDescent="0.35">
      <c r="A16">
        <v>2024</v>
      </c>
      <c r="B16">
        <v>12</v>
      </c>
      <c r="C16" t="s">
        <v>75</v>
      </c>
      <c r="D16" t="s">
        <v>277</v>
      </c>
      <c r="E16">
        <v>6</v>
      </c>
      <c r="F16">
        <v>0</v>
      </c>
    </row>
    <row r="17" spans="1:6" x14ac:dyDescent="0.35">
      <c r="A17">
        <v>2025</v>
      </c>
      <c r="B17">
        <v>1</v>
      </c>
      <c r="C17" t="s">
        <v>42</v>
      </c>
      <c r="D17" t="s">
        <v>277</v>
      </c>
      <c r="E17">
        <v>5</v>
      </c>
      <c r="F17">
        <v>0</v>
      </c>
    </row>
    <row r="18" spans="1:6" x14ac:dyDescent="0.35">
      <c r="A18">
        <v>2025</v>
      </c>
      <c r="B18">
        <v>2</v>
      </c>
      <c r="C18" t="s">
        <v>63</v>
      </c>
      <c r="D18" t="s">
        <v>277</v>
      </c>
      <c r="E18">
        <v>5</v>
      </c>
      <c r="F18">
        <v>0</v>
      </c>
    </row>
    <row r="19" spans="1:6" x14ac:dyDescent="0.35">
      <c r="A19">
        <v>2025</v>
      </c>
      <c r="B19">
        <v>3</v>
      </c>
      <c r="C19" t="s">
        <v>66</v>
      </c>
      <c r="D19" t="s">
        <v>277</v>
      </c>
      <c r="E19">
        <v>5</v>
      </c>
      <c r="F19">
        <v>0</v>
      </c>
    </row>
    <row r="20" spans="1:6" x14ac:dyDescent="0.35">
      <c r="A20">
        <v>2025</v>
      </c>
      <c r="B20">
        <v>4</v>
      </c>
      <c r="C20" t="s">
        <v>67</v>
      </c>
      <c r="D20" t="s">
        <v>277</v>
      </c>
      <c r="E20">
        <v>5</v>
      </c>
      <c r="F20">
        <v>0</v>
      </c>
    </row>
    <row r="21" spans="1:6" x14ac:dyDescent="0.35">
      <c r="A21">
        <v>2025</v>
      </c>
      <c r="B21">
        <v>5</v>
      </c>
      <c r="C21" t="s">
        <v>68</v>
      </c>
      <c r="D21" t="s">
        <v>277</v>
      </c>
      <c r="E21">
        <v>5</v>
      </c>
      <c r="F21">
        <v>0</v>
      </c>
    </row>
    <row r="22" spans="1:6" x14ac:dyDescent="0.35">
      <c r="A22">
        <v>2025</v>
      </c>
      <c r="B22">
        <v>6</v>
      </c>
      <c r="C22" t="s">
        <v>69</v>
      </c>
      <c r="D22" t="s">
        <v>277</v>
      </c>
      <c r="E22">
        <v>5</v>
      </c>
      <c r="F22">
        <v>0</v>
      </c>
    </row>
    <row r="23" spans="1:6" x14ac:dyDescent="0.35">
      <c r="A23">
        <v>2025</v>
      </c>
      <c r="B23">
        <v>7</v>
      </c>
      <c r="C23" t="s">
        <v>70</v>
      </c>
      <c r="D23" t="s">
        <v>277</v>
      </c>
      <c r="E23">
        <v>5</v>
      </c>
      <c r="F23">
        <v>0</v>
      </c>
    </row>
    <row r="24" spans="1:6" x14ac:dyDescent="0.35">
      <c r="A24">
        <v>2025</v>
      </c>
      <c r="B24">
        <v>8</v>
      </c>
      <c r="C24" t="s">
        <v>71</v>
      </c>
      <c r="D24" t="s">
        <v>277</v>
      </c>
      <c r="E24">
        <v>5</v>
      </c>
      <c r="F24">
        <v>0</v>
      </c>
    </row>
    <row r="25" spans="1:6" x14ac:dyDescent="0.35">
      <c r="A25">
        <v>2025</v>
      </c>
      <c r="B25">
        <v>9</v>
      </c>
      <c r="C25" t="s">
        <v>72</v>
      </c>
      <c r="D25" t="s">
        <v>277</v>
      </c>
      <c r="E25">
        <v>5</v>
      </c>
      <c r="F25">
        <v>0</v>
      </c>
    </row>
    <row r="26" spans="1:6" x14ac:dyDescent="0.35">
      <c r="A26">
        <v>2025</v>
      </c>
      <c r="B26">
        <v>10</v>
      </c>
      <c r="C26" t="s">
        <v>73</v>
      </c>
      <c r="D26" t="s">
        <v>277</v>
      </c>
      <c r="E26">
        <v>5</v>
      </c>
      <c r="F26">
        <v>0</v>
      </c>
    </row>
    <row r="27" spans="1:6" x14ac:dyDescent="0.35">
      <c r="A27">
        <v>2025</v>
      </c>
      <c r="B27">
        <v>11</v>
      </c>
      <c r="C27" t="s">
        <v>74</v>
      </c>
      <c r="D27" t="s">
        <v>277</v>
      </c>
      <c r="E27">
        <v>5</v>
      </c>
      <c r="F27">
        <v>0</v>
      </c>
    </row>
    <row r="28" spans="1:6" x14ac:dyDescent="0.35">
      <c r="A28">
        <v>2025</v>
      </c>
      <c r="B28">
        <v>12</v>
      </c>
      <c r="C28" t="s">
        <v>75</v>
      </c>
      <c r="D28" t="s">
        <v>277</v>
      </c>
      <c r="E28">
        <v>5</v>
      </c>
      <c r="F28">
        <v>0</v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297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299</v>
      </c>
      <c r="E5">
        <v>52772</v>
      </c>
      <c r="F5">
        <v>317442</v>
      </c>
      <c r="G5">
        <v>283486</v>
      </c>
      <c r="H5">
        <v>191417</v>
      </c>
      <c r="I5">
        <v>768416</v>
      </c>
      <c r="J5">
        <v>237710</v>
      </c>
      <c r="K5">
        <v>360790</v>
      </c>
    </row>
    <row r="6" spans="1:11" x14ac:dyDescent="0.35">
      <c r="A6">
        <v>2024</v>
      </c>
      <c r="B6">
        <v>2</v>
      </c>
      <c r="C6" t="s">
        <v>63</v>
      </c>
      <c r="D6" t="s">
        <v>299</v>
      </c>
      <c r="E6">
        <v>53487</v>
      </c>
      <c r="F6">
        <v>320456</v>
      </c>
      <c r="G6">
        <v>284140</v>
      </c>
      <c r="H6">
        <v>191417</v>
      </c>
      <c r="I6">
        <v>780954</v>
      </c>
      <c r="J6">
        <v>238265</v>
      </c>
      <c r="K6">
        <v>364603</v>
      </c>
    </row>
    <row r="7" spans="1:11" x14ac:dyDescent="0.35">
      <c r="A7">
        <v>2024</v>
      </c>
      <c r="B7">
        <v>3</v>
      </c>
      <c r="C7" t="s">
        <v>66</v>
      </c>
      <c r="D7" t="s">
        <v>299</v>
      </c>
      <c r="E7">
        <v>54348</v>
      </c>
      <c r="F7">
        <v>318660</v>
      </c>
      <c r="G7">
        <v>283486</v>
      </c>
      <c r="H7">
        <v>191417</v>
      </c>
      <c r="I7">
        <v>768649</v>
      </c>
      <c r="J7">
        <v>238265</v>
      </c>
      <c r="K7">
        <v>360790</v>
      </c>
    </row>
    <row r="8" spans="1:11" x14ac:dyDescent="0.35">
      <c r="A8">
        <v>2024</v>
      </c>
      <c r="B8">
        <v>4</v>
      </c>
      <c r="C8" t="s">
        <v>67</v>
      </c>
      <c r="D8" t="s">
        <v>299</v>
      </c>
      <c r="E8">
        <v>54919</v>
      </c>
      <c r="F8">
        <v>318522</v>
      </c>
      <c r="G8">
        <v>284276</v>
      </c>
      <c r="H8">
        <v>191417</v>
      </c>
      <c r="I8">
        <v>768649</v>
      </c>
      <c r="J8">
        <v>238265</v>
      </c>
      <c r="K8">
        <v>360974</v>
      </c>
    </row>
    <row r="9" spans="1:11" x14ac:dyDescent="0.35">
      <c r="A9">
        <v>2024</v>
      </c>
      <c r="B9">
        <v>5</v>
      </c>
      <c r="C9" t="s">
        <v>68</v>
      </c>
      <c r="D9" t="s">
        <v>299</v>
      </c>
      <c r="E9">
        <v>54974</v>
      </c>
      <c r="F9">
        <v>318874</v>
      </c>
      <c r="G9">
        <v>285752</v>
      </c>
      <c r="H9">
        <v>191417</v>
      </c>
      <c r="I9">
        <v>768649</v>
      </c>
      <c r="J9">
        <v>238819</v>
      </c>
      <c r="K9">
        <v>360790</v>
      </c>
    </row>
    <row r="10" spans="1:11" x14ac:dyDescent="0.35">
      <c r="A10">
        <v>2024</v>
      </c>
      <c r="B10">
        <v>6</v>
      </c>
      <c r="C10" t="s">
        <v>69</v>
      </c>
      <c r="D10" t="s">
        <v>299</v>
      </c>
      <c r="E10">
        <v>55203</v>
      </c>
      <c r="F10">
        <v>319169</v>
      </c>
      <c r="G10">
        <v>286640</v>
      </c>
      <c r="H10">
        <v>191418</v>
      </c>
      <c r="I10">
        <v>768649</v>
      </c>
      <c r="J10">
        <v>238684</v>
      </c>
      <c r="K10">
        <v>360790</v>
      </c>
    </row>
    <row r="11" spans="1:11" x14ac:dyDescent="0.35">
      <c r="A11">
        <v>2024</v>
      </c>
      <c r="B11">
        <v>7</v>
      </c>
      <c r="C11" t="s">
        <v>70</v>
      </c>
      <c r="D11" t="s">
        <v>299</v>
      </c>
      <c r="E11">
        <v>55587</v>
      </c>
      <c r="F11">
        <v>319497</v>
      </c>
      <c r="G11">
        <v>287564</v>
      </c>
      <c r="H11">
        <v>191418</v>
      </c>
      <c r="I11">
        <v>778689</v>
      </c>
      <c r="J11">
        <v>239053</v>
      </c>
      <c r="K11">
        <v>361295</v>
      </c>
    </row>
    <row r="12" spans="1:11" x14ac:dyDescent="0.35">
      <c r="A12">
        <v>2024</v>
      </c>
      <c r="B12">
        <v>8</v>
      </c>
      <c r="C12" t="s">
        <v>71</v>
      </c>
      <c r="D12" t="s">
        <v>299</v>
      </c>
      <c r="E12">
        <v>55941</v>
      </c>
      <c r="F12">
        <v>320718</v>
      </c>
      <c r="G12">
        <v>289140</v>
      </c>
      <c r="H12">
        <v>191418</v>
      </c>
      <c r="I12">
        <v>780969</v>
      </c>
      <c r="J12">
        <v>240765</v>
      </c>
      <c r="K12">
        <v>365974</v>
      </c>
    </row>
    <row r="13" spans="1:11" x14ac:dyDescent="0.35">
      <c r="A13">
        <v>2024</v>
      </c>
      <c r="B13">
        <v>9</v>
      </c>
      <c r="C13" t="s">
        <v>72</v>
      </c>
      <c r="D13" t="s">
        <v>299</v>
      </c>
      <c r="E13">
        <v>56483</v>
      </c>
      <c r="F13">
        <v>319133</v>
      </c>
      <c r="G13">
        <v>288252</v>
      </c>
      <c r="H13">
        <v>191418</v>
      </c>
      <c r="I13">
        <v>771189</v>
      </c>
      <c r="J13">
        <v>238585</v>
      </c>
      <c r="K13">
        <v>360792</v>
      </c>
    </row>
    <row r="14" spans="1:11" x14ac:dyDescent="0.35">
      <c r="A14">
        <v>2024</v>
      </c>
      <c r="B14">
        <v>10</v>
      </c>
      <c r="C14" t="s">
        <v>73</v>
      </c>
      <c r="D14" t="s">
        <v>299</v>
      </c>
      <c r="E14">
        <v>56808</v>
      </c>
      <c r="F14">
        <v>319118</v>
      </c>
      <c r="G14">
        <v>288486</v>
      </c>
      <c r="H14">
        <v>191418</v>
      </c>
      <c r="I14">
        <v>782590</v>
      </c>
      <c r="J14">
        <v>238450</v>
      </c>
      <c r="K14">
        <v>360790</v>
      </c>
    </row>
    <row r="15" spans="1:11" x14ac:dyDescent="0.35">
      <c r="A15">
        <v>2024</v>
      </c>
      <c r="B15">
        <v>11</v>
      </c>
      <c r="C15" t="s">
        <v>74</v>
      </c>
      <c r="D15" t="s">
        <v>299</v>
      </c>
      <c r="E15">
        <v>56906</v>
      </c>
      <c r="F15">
        <v>319440</v>
      </c>
      <c r="G15">
        <v>289324</v>
      </c>
      <c r="H15">
        <v>191418</v>
      </c>
      <c r="I15">
        <v>771189</v>
      </c>
      <c r="J15">
        <v>238684</v>
      </c>
      <c r="K15">
        <v>361442</v>
      </c>
    </row>
    <row r="16" spans="1:11" x14ac:dyDescent="0.35">
      <c r="A16">
        <v>2024</v>
      </c>
      <c r="B16">
        <v>12</v>
      </c>
      <c r="C16" t="s">
        <v>75</v>
      </c>
      <c r="D16" t="s">
        <v>299</v>
      </c>
      <c r="E16">
        <v>56963</v>
      </c>
      <c r="F16">
        <v>319373</v>
      </c>
      <c r="G16">
        <v>289324</v>
      </c>
      <c r="H16">
        <v>191418</v>
      </c>
      <c r="I16">
        <v>771189</v>
      </c>
      <c r="J16">
        <v>238684</v>
      </c>
      <c r="K16">
        <v>361295</v>
      </c>
    </row>
    <row r="17" spans="1:11" x14ac:dyDescent="0.35">
      <c r="A17">
        <v>2025</v>
      </c>
      <c r="B17">
        <v>1</v>
      </c>
      <c r="C17" t="s">
        <v>42</v>
      </c>
      <c r="D17" t="s">
        <v>299</v>
      </c>
      <c r="E17">
        <v>56274</v>
      </c>
      <c r="F17">
        <v>320014</v>
      </c>
      <c r="G17">
        <v>290752</v>
      </c>
      <c r="H17">
        <v>191418</v>
      </c>
      <c r="I17">
        <v>786985</v>
      </c>
      <c r="J17">
        <v>240212</v>
      </c>
      <c r="K17">
        <v>364583</v>
      </c>
    </row>
    <row r="18" spans="1:11" x14ac:dyDescent="0.35">
      <c r="A18">
        <v>2025</v>
      </c>
      <c r="B18">
        <v>2</v>
      </c>
      <c r="C18" t="s">
        <v>63</v>
      </c>
      <c r="D18" t="s">
        <v>299</v>
      </c>
      <c r="E18">
        <v>57230</v>
      </c>
      <c r="F18">
        <v>321924</v>
      </c>
      <c r="G18">
        <v>290752</v>
      </c>
      <c r="H18">
        <v>191418</v>
      </c>
      <c r="I18">
        <v>787145</v>
      </c>
      <c r="J18">
        <v>240765</v>
      </c>
      <c r="K18">
        <v>363019</v>
      </c>
    </row>
    <row r="19" spans="1:11" x14ac:dyDescent="0.35">
      <c r="A19">
        <v>2025</v>
      </c>
      <c r="B19">
        <v>3</v>
      </c>
      <c r="C19" t="s">
        <v>66</v>
      </c>
      <c r="D19" t="s">
        <v>299</v>
      </c>
      <c r="E19">
        <v>58264</v>
      </c>
      <c r="F19">
        <v>320073</v>
      </c>
      <c r="G19">
        <v>290752</v>
      </c>
      <c r="H19">
        <v>191418</v>
      </c>
      <c r="I19">
        <v>779974</v>
      </c>
      <c r="J19">
        <v>240531</v>
      </c>
      <c r="K19">
        <v>358474</v>
      </c>
    </row>
    <row r="20" spans="1:11" x14ac:dyDescent="0.35">
      <c r="A20">
        <v>2025</v>
      </c>
      <c r="B20">
        <v>4</v>
      </c>
      <c r="C20" t="s">
        <v>67</v>
      </c>
      <c r="D20" t="s">
        <v>299</v>
      </c>
      <c r="E20">
        <v>57195</v>
      </c>
      <c r="F20">
        <v>321819</v>
      </c>
      <c r="G20">
        <v>290752</v>
      </c>
      <c r="H20">
        <v>191418</v>
      </c>
      <c r="I20">
        <v>787145</v>
      </c>
      <c r="J20">
        <v>240765</v>
      </c>
      <c r="K20">
        <v>362737</v>
      </c>
    </row>
    <row r="21" spans="1:11" x14ac:dyDescent="0.35">
      <c r="A21">
        <v>2025</v>
      </c>
      <c r="B21">
        <v>5</v>
      </c>
      <c r="C21" t="s">
        <v>68</v>
      </c>
      <c r="D21" t="s">
        <v>299</v>
      </c>
      <c r="E21">
        <v>59284</v>
      </c>
      <c r="F21">
        <v>319855</v>
      </c>
      <c r="G21">
        <v>290752</v>
      </c>
      <c r="H21">
        <v>191418</v>
      </c>
      <c r="I21">
        <v>779750</v>
      </c>
      <c r="J21">
        <v>240716</v>
      </c>
      <c r="K21">
        <v>358474</v>
      </c>
    </row>
    <row r="22" spans="1:11" x14ac:dyDescent="0.35">
      <c r="A22">
        <v>2025</v>
      </c>
      <c r="B22">
        <v>6</v>
      </c>
      <c r="C22" t="s">
        <v>69</v>
      </c>
      <c r="D22" t="s">
        <v>299</v>
      </c>
      <c r="E22">
        <v>59508</v>
      </c>
      <c r="F22">
        <v>320385</v>
      </c>
      <c r="G22">
        <v>290752</v>
      </c>
      <c r="H22">
        <v>191418</v>
      </c>
      <c r="I22">
        <v>786461</v>
      </c>
      <c r="J22">
        <v>240765</v>
      </c>
      <c r="K22">
        <v>358474</v>
      </c>
    </row>
    <row r="23" spans="1:11" x14ac:dyDescent="0.35">
      <c r="A23">
        <v>2025</v>
      </c>
      <c r="B23">
        <v>7</v>
      </c>
      <c r="C23" t="s">
        <v>70</v>
      </c>
      <c r="D23" t="s">
        <v>299</v>
      </c>
      <c r="E23">
        <v>59673</v>
      </c>
      <c r="F23">
        <v>320946</v>
      </c>
      <c r="G23">
        <v>290986</v>
      </c>
      <c r="H23">
        <v>191418</v>
      </c>
      <c r="I23">
        <v>771189</v>
      </c>
      <c r="J23">
        <v>240950</v>
      </c>
      <c r="K23">
        <v>358476</v>
      </c>
    </row>
    <row r="24" spans="1:11" x14ac:dyDescent="0.35">
      <c r="A24">
        <v>2025</v>
      </c>
      <c r="B24">
        <v>8</v>
      </c>
      <c r="C24" t="s">
        <v>71</v>
      </c>
      <c r="D24" t="s">
        <v>299</v>
      </c>
      <c r="E24">
        <v>59845</v>
      </c>
      <c r="F24">
        <v>321077</v>
      </c>
      <c r="G24">
        <v>290986</v>
      </c>
      <c r="H24">
        <v>191418</v>
      </c>
      <c r="I24">
        <v>772496</v>
      </c>
      <c r="J24">
        <v>240950</v>
      </c>
      <c r="K24">
        <v>358474</v>
      </c>
    </row>
    <row r="25" spans="1:11" x14ac:dyDescent="0.35">
      <c r="A25">
        <v>2025</v>
      </c>
      <c r="B25">
        <v>9</v>
      </c>
      <c r="C25" t="s">
        <v>72</v>
      </c>
      <c r="D25" t="s">
        <v>299</v>
      </c>
      <c r="E25">
        <v>60010</v>
      </c>
      <c r="F25">
        <v>320799</v>
      </c>
      <c r="G25">
        <v>290986</v>
      </c>
      <c r="H25">
        <v>191418</v>
      </c>
      <c r="I25">
        <v>771189</v>
      </c>
      <c r="J25">
        <v>240765</v>
      </c>
      <c r="K25">
        <v>358474</v>
      </c>
    </row>
    <row r="26" spans="1:11" x14ac:dyDescent="0.35">
      <c r="A26">
        <v>2025</v>
      </c>
      <c r="B26">
        <v>10</v>
      </c>
      <c r="C26" t="s">
        <v>73</v>
      </c>
      <c r="D26" t="s">
        <v>299</v>
      </c>
      <c r="E26">
        <v>60076</v>
      </c>
      <c r="F26">
        <v>320794</v>
      </c>
      <c r="G26">
        <v>290986</v>
      </c>
      <c r="H26">
        <v>191418</v>
      </c>
      <c r="I26">
        <v>771189</v>
      </c>
      <c r="J26">
        <v>240765</v>
      </c>
      <c r="K26">
        <v>358474</v>
      </c>
    </row>
    <row r="27" spans="1:11" x14ac:dyDescent="0.35">
      <c r="A27">
        <v>2025</v>
      </c>
      <c r="B27">
        <v>11</v>
      </c>
      <c r="C27" t="s">
        <v>74</v>
      </c>
      <c r="D27" t="s">
        <v>299</v>
      </c>
      <c r="E27">
        <v>60181</v>
      </c>
      <c r="F27">
        <v>321011</v>
      </c>
      <c r="G27">
        <v>290986</v>
      </c>
      <c r="H27">
        <v>191418</v>
      </c>
      <c r="I27">
        <v>771189</v>
      </c>
      <c r="J27">
        <v>240900</v>
      </c>
      <c r="K27">
        <v>358474</v>
      </c>
    </row>
    <row r="28" spans="1:11" x14ac:dyDescent="0.35">
      <c r="A28">
        <v>2025</v>
      </c>
      <c r="B28">
        <v>12</v>
      </c>
      <c r="C28" t="s">
        <v>75</v>
      </c>
      <c r="D28" t="s">
        <v>299</v>
      </c>
      <c r="E28">
        <v>60161</v>
      </c>
      <c r="F28">
        <v>321375</v>
      </c>
      <c r="G28">
        <v>290986</v>
      </c>
      <c r="H28">
        <v>191418</v>
      </c>
      <c r="I28">
        <v>771189</v>
      </c>
      <c r="J28">
        <v>240950</v>
      </c>
      <c r="K28">
        <v>358474</v>
      </c>
    </row>
  </sheetData>
  <mergeCells count="1">
    <mergeCell ref="A1:K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300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301</v>
      </c>
      <c r="E5">
        <v>222</v>
      </c>
      <c r="F5">
        <v>760806</v>
      </c>
      <c r="G5">
        <v>781977</v>
      </c>
      <c r="H5">
        <v>477947</v>
      </c>
      <c r="I5">
        <v>1036706</v>
      </c>
      <c r="J5">
        <v>602789</v>
      </c>
      <c r="K5">
        <v>811976</v>
      </c>
    </row>
    <row r="6" spans="1:11" x14ac:dyDescent="0.35">
      <c r="A6">
        <v>2024</v>
      </c>
      <c r="B6">
        <v>2</v>
      </c>
      <c r="C6" t="s">
        <v>63</v>
      </c>
      <c r="D6" t="s">
        <v>301</v>
      </c>
      <c r="E6">
        <v>220</v>
      </c>
      <c r="F6">
        <v>763993</v>
      </c>
      <c r="G6">
        <v>781977</v>
      </c>
      <c r="H6">
        <v>477947</v>
      </c>
      <c r="I6">
        <v>1036706</v>
      </c>
      <c r="J6">
        <v>629645</v>
      </c>
      <c r="K6">
        <v>804477</v>
      </c>
    </row>
    <row r="7" spans="1:11" x14ac:dyDescent="0.35">
      <c r="A7">
        <v>2024</v>
      </c>
      <c r="B7">
        <v>3</v>
      </c>
      <c r="C7" t="s">
        <v>66</v>
      </c>
      <c r="D7" t="s">
        <v>301</v>
      </c>
      <c r="E7">
        <v>226</v>
      </c>
      <c r="F7">
        <v>755490</v>
      </c>
      <c r="G7">
        <v>781977</v>
      </c>
      <c r="H7">
        <v>477947</v>
      </c>
      <c r="I7">
        <v>1036706</v>
      </c>
      <c r="J7">
        <v>571040</v>
      </c>
      <c r="K7">
        <v>804477</v>
      </c>
    </row>
    <row r="8" spans="1:11" x14ac:dyDescent="0.35">
      <c r="A8">
        <v>2024</v>
      </c>
      <c r="B8">
        <v>4</v>
      </c>
      <c r="C8" t="s">
        <v>67</v>
      </c>
      <c r="D8" t="s">
        <v>301</v>
      </c>
      <c r="E8">
        <v>233</v>
      </c>
      <c r="F8">
        <v>755314</v>
      </c>
      <c r="G8">
        <v>781977</v>
      </c>
      <c r="H8">
        <v>477947</v>
      </c>
      <c r="I8">
        <v>1036706</v>
      </c>
      <c r="J8">
        <v>578538</v>
      </c>
      <c r="K8">
        <v>804477</v>
      </c>
    </row>
    <row r="9" spans="1:11" x14ac:dyDescent="0.35">
      <c r="A9">
        <v>2024</v>
      </c>
      <c r="B9">
        <v>5</v>
      </c>
      <c r="C9" t="s">
        <v>68</v>
      </c>
      <c r="D9" t="s">
        <v>301</v>
      </c>
      <c r="E9">
        <v>221</v>
      </c>
      <c r="F9">
        <v>748836</v>
      </c>
      <c r="G9">
        <v>781976</v>
      </c>
      <c r="H9">
        <v>477947</v>
      </c>
      <c r="I9">
        <v>1036706</v>
      </c>
      <c r="J9">
        <v>563538</v>
      </c>
      <c r="K9">
        <v>811976</v>
      </c>
    </row>
    <row r="10" spans="1:11" x14ac:dyDescent="0.35">
      <c r="A10">
        <v>2024</v>
      </c>
      <c r="B10">
        <v>6</v>
      </c>
      <c r="C10" t="s">
        <v>69</v>
      </c>
      <c r="D10" t="s">
        <v>301</v>
      </c>
      <c r="E10">
        <v>227</v>
      </c>
      <c r="F10">
        <v>750717</v>
      </c>
      <c r="G10">
        <v>781977</v>
      </c>
      <c r="H10">
        <v>477947</v>
      </c>
      <c r="I10">
        <v>1036706</v>
      </c>
      <c r="J10">
        <v>571038</v>
      </c>
      <c r="K10">
        <v>820117</v>
      </c>
    </row>
    <row r="11" spans="1:11" x14ac:dyDescent="0.35">
      <c r="A11">
        <v>2024</v>
      </c>
      <c r="B11">
        <v>7</v>
      </c>
      <c r="C11" t="s">
        <v>70</v>
      </c>
      <c r="D11" t="s">
        <v>301</v>
      </c>
      <c r="E11">
        <v>225</v>
      </c>
      <c r="F11">
        <v>748454</v>
      </c>
      <c r="G11">
        <v>781977</v>
      </c>
      <c r="H11">
        <v>477947</v>
      </c>
      <c r="I11">
        <v>1036706</v>
      </c>
      <c r="J11">
        <v>563540</v>
      </c>
      <c r="K11">
        <v>811977</v>
      </c>
    </row>
    <row r="12" spans="1:11" x14ac:dyDescent="0.35">
      <c r="A12">
        <v>2024</v>
      </c>
      <c r="B12">
        <v>8</v>
      </c>
      <c r="C12" t="s">
        <v>71</v>
      </c>
      <c r="D12" t="s">
        <v>301</v>
      </c>
      <c r="E12">
        <v>222</v>
      </c>
      <c r="F12">
        <v>756073</v>
      </c>
      <c r="G12">
        <v>781977</v>
      </c>
      <c r="H12">
        <v>477947</v>
      </c>
      <c r="I12">
        <v>1066240</v>
      </c>
      <c r="J12">
        <v>610289</v>
      </c>
      <c r="K12">
        <v>827617</v>
      </c>
    </row>
    <row r="13" spans="1:11" x14ac:dyDescent="0.35">
      <c r="A13">
        <v>2024</v>
      </c>
      <c r="B13">
        <v>9</v>
      </c>
      <c r="C13" t="s">
        <v>72</v>
      </c>
      <c r="D13" t="s">
        <v>301</v>
      </c>
      <c r="E13">
        <v>209</v>
      </c>
      <c r="F13">
        <v>753109</v>
      </c>
      <c r="G13">
        <v>781976</v>
      </c>
      <c r="H13">
        <v>477947</v>
      </c>
      <c r="I13">
        <v>1078748</v>
      </c>
      <c r="J13">
        <v>610289</v>
      </c>
      <c r="K13">
        <v>820117</v>
      </c>
    </row>
    <row r="14" spans="1:11" x14ac:dyDescent="0.35">
      <c r="A14">
        <v>2024</v>
      </c>
      <c r="B14">
        <v>10</v>
      </c>
      <c r="C14" t="s">
        <v>73</v>
      </c>
      <c r="D14" t="s">
        <v>301</v>
      </c>
      <c r="E14">
        <v>206</v>
      </c>
      <c r="F14">
        <v>773668</v>
      </c>
      <c r="G14">
        <v>809797</v>
      </c>
      <c r="H14">
        <v>477947</v>
      </c>
      <c r="I14">
        <v>1066240</v>
      </c>
      <c r="J14">
        <v>681853</v>
      </c>
      <c r="K14">
        <v>850117</v>
      </c>
    </row>
    <row r="15" spans="1:11" x14ac:dyDescent="0.35">
      <c r="A15">
        <v>2024</v>
      </c>
      <c r="B15">
        <v>11</v>
      </c>
      <c r="C15" t="s">
        <v>74</v>
      </c>
      <c r="D15" t="s">
        <v>301</v>
      </c>
      <c r="E15">
        <v>204</v>
      </c>
      <c r="F15">
        <v>765720</v>
      </c>
      <c r="G15">
        <v>806047</v>
      </c>
      <c r="H15">
        <v>477946</v>
      </c>
      <c r="I15">
        <v>1066240</v>
      </c>
      <c r="J15">
        <v>602789</v>
      </c>
      <c r="K15">
        <v>847101</v>
      </c>
    </row>
    <row r="16" spans="1:11" x14ac:dyDescent="0.35">
      <c r="A16">
        <v>2024</v>
      </c>
      <c r="B16">
        <v>12</v>
      </c>
      <c r="C16" t="s">
        <v>75</v>
      </c>
      <c r="D16" t="s">
        <v>301</v>
      </c>
      <c r="E16">
        <v>206</v>
      </c>
      <c r="F16">
        <v>767958</v>
      </c>
      <c r="G16">
        <v>811584</v>
      </c>
      <c r="H16">
        <v>477946</v>
      </c>
      <c r="I16">
        <v>1066240</v>
      </c>
      <c r="J16">
        <v>602789</v>
      </c>
      <c r="K16">
        <v>850117</v>
      </c>
    </row>
    <row r="17" spans="1:11" x14ac:dyDescent="0.35">
      <c r="A17">
        <v>2025</v>
      </c>
      <c r="B17">
        <v>1</v>
      </c>
      <c r="C17" t="s">
        <v>42</v>
      </c>
      <c r="D17" t="s">
        <v>301</v>
      </c>
      <c r="E17">
        <v>133</v>
      </c>
      <c r="F17">
        <v>809164</v>
      </c>
      <c r="G17">
        <v>828836</v>
      </c>
      <c r="H17">
        <v>500446</v>
      </c>
      <c r="I17">
        <v>1099723</v>
      </c>
      <c r="J17">
        <v>628538</v>
      </c>
      <c r="K17">
        <v>945117</v>
      </c>
    </row>
    <row r="18" spans="1:11" x14ac:dyDescent="0.35">
      <c r="A18">
        <v>2025</v>
      </c>
      <c r="B18">
        <v>2</v>
      </c>
      <c r="C18" t="s">
        <v>63</v>
      </c>
      <c r="D18" t="s">
        <v>301</v>
      </c>
      <c r="E18">
        <v>127</v>
      </c>
      <c r="F18">
        <v>800774</v>
      </c>
      <c r="G18">
        <v>821336</v>
      </c>
      <c r="H18">
        <v>557946</v>
      </c>
      <c r="I18">
        <v>1099723</v>
      </c>
      <c r="J18">
        <v>621038</v>
      </c>
      <c r="K18">
        <v>945117</v>
      </c>
    </row>
    <row r="19" spans="1:11" x14ac:dyDescent="0.35">
      <c r="A19">
        <v>2025</v>
      </c>
      <c r="B19">
        <v>3</v>
      </c>
      <c r="C19" t="s">
        <v>66</v>
      </c>
      <c r="D19" t="s">
        <v>301</v>
      </c>
      <c r="E19">
        <v>87</v>
      </c>
      <c r="F19">
        <v>726575</v>
      </c>
      <c r="G19">
        <v>636038</v>
      </c>
      <c r="H19">
        <v>557946</v>
      </c>
      <c r="I19">
        <v>1099723</v>
      </c>
      <c r="J19">
        <v>621038</v>
      </c>
      <c r="K19">
        <v>821336</v>
      </c>
    </row>
    <row r="20" spans="1:11" x14ac:dyDescent="0.35">
      <c r="A20">
        <v>2025</v>
      </c>
      <c r="B20">
        <v>4</v>
      </c>
      <c r="C20" t="s">
        <v>67</v>
      </c>
      <c r="D20" t="s">
        <v>301</v>
      </c>
      <c r="E20">
        <v>116</v>
      </c>
      <c r="F20">
        <v>823413</v>
      </c>
      <c r="G20">
        <v>923867</v>
      </c>
      <c r="H20">
        <v>557946</v>
      </c>
      <c r="I20">
        <v>1099723</v>
      </c>
      <c r="J20">
        <v>636038</v>
      </c>
      <c r="K20">
        <v>945117</v>
      </c>
    </row>
    <row r="21" spans="1:11" x14ac:dyDescent="0.35">
      <c r="A21">
        <v>2025</v>
      </c>
      <c r="B21">
        <v>5</v>
      </c>
      <c r="C21" t="s">
        <v>68</v>
      </c>
      <c r="D21" t="s">
        <v>301</v>
      </c>
      <c r="E21">
        <v>94</v>
      </c>
      <c r="F21">
        <v>814004</v>
      </c>
      <c r="G21">
        <v>930117</v>
      </c>
      <c r="H21">
        <v>557946</v>
      </c>
      <c r="I21">
        <v>1099725</v>
      </c>
      <c r="J21">
        <v>621038</v>
      </c>
      <c r="K21">
        <v>945117</v>
      </c>
    </row>
    <row r="22" spans="1:11" x14ac:dyDescent="0.35">
      <c r="A22">
        <v>2025</v>
      </c>
      <c r="B22">
        <v>6</v>
      </c>
      <c r="C22" t="s">
        <v>69</v>
      </c>
      <c r="D22" t="s">
        <v>301</v>
      </c>
      <c r="E22">
        <v>95</v>
      </c>
      <c r="F22">
        <v>777054</v>
      </c>
      <c r="G22">
        <v>813836</v>
      </c>
      <c r="H22">
        <v>557946</v>
      </c>
      <c r="I22">
        <v>1099723</v>
      </c>
      <c r="J22">
        <v>621038</v>
      </c>
      <c r="K22">
        <v>937617</v>
      </c>
    </row>
    <row r="23" spans="1:11" x14ac:dyDescent="0.35">
      <c r="A23">
        <v>2025</v>
      </c>
      <c r="B23">
        <v>7</v>
      </c>
      <c r="C23" t="s">
        <v>70</v>
      </c>
      <c r="D23" t="s">
        <v>301</v>
      </c>
      <c r="E23">
        <v>116</v>
      </c>
      <c r="F23">
        <v>789189</v>
      </c>
      <c r="G23">
        <v>813836</v>
      </c>
      <c r="H23">
        <v>557946</v>
      </c>
      <c r="I23">
        <v>1099725</v>
      </c>
      <c r="J23">
        <v>621038</v>
      </c>
      <c r="K23">
        <v>937617</v>
      </c>
    </row>
    <row r="24" spans="1:11" x14ac:dyDescent="0.35">
      <c r="A24">
        <v>2025</v>
      </c>
      <c r="B24">
        <v>8</v>
      </c>
      <c r="C24" t="s">
        <v>71</v>
      </c>
      <c r="D24" t="s">
        <v>301</v>
      </c>
      <c r="E24">
        <v>131</v>
      </c>
      <c r="F24">
        <v>801420</v>
      </c>
      <c r="G24">
        <v>826503</v>
      </c>
      <c r="H24">
        <v>557946</v>
      </c>
      <c r="I24">
        <v>1099725</v>
      </c>
      <c r="J24">
        <v>621038</v>
      </c>
      <c r="K24">
        <v>945117</v>
      </c>
    </row>
    <row r="25" spans="1:11" x14ac:dyDescent="0.35">
      <c r="A25">
        <v>2025</v>
      </c>
      <c r="B25">
        <v>9</v>
      </c>
      <c r="C25" t="s">
        <v>72</v>
      </c>
      <c r="D25" t="s">
        <v>301</v>
      </c>
      <c r="E25">
        <v>129</v>
      </c>
      <c r="F25">
        <v>801055</v>
      </c>
      <c r="G25">
        <v>826503</v>
      </c>
      <c r="H25">
        <v>557946</v>
      </c>
      <c r="I25">
        <v>1099725</v>
      </c>
      <c r="J25">
        <v>621038</v>
      </c>
      <c r="K25">
        <v>945117</v>
      </c>
    </row>
    <row r="26" spans="1:11" x14ac:dyDescent="0.35">
      <c r="A26">
        <v>2025</v>
      </c>
      <c r="B26">
        <v>10</v>
      </c>
      <c r="C26" t="s">
        <v>73</v>
      </c>
      <c r="D26" t="s">
        <v>301</v>
      </c>
      <c r="E26">
        <v>142</v>
      </c>
      <c r="F26">
        <v>823963</v>
      </c>
      <c r="G26">
        <v>930117</v>
      </c>
      <c r="H26">
        <v>557946</v>
      </c>
      <c r="I26">
        <v>1099725</v>
      </c>
      <c r="J26">
        <v>628538</v>
      </c>
      <c r="K26">
        <v>945117</v>
      </c>
    </row>
    <row r="27" spans="1:11" x14ac:dyDescent="0.35">
      <c r="A27">
        <v>2025</v>
      </c>
      <c r="B27">
        <v>11</v>
      </c>
      <c r="C27" t="s">
        <v>74</v>
      </c>
      <c r="D27" t="s">
        <v>301</v>
      </c>
      <c r="E27">
        <v>137</v>
      </c>
      <c r="F27">
        <v>826051</v>
      </c>
      <c r="G27">
        <v>930117</v>
      </c>
      <c r="H27">
        <v>520287</v>
      </c>
      <c r="I27">
        <v>1099725</v>
      </c>
      <c r="J27">
        <v>628538</v>
      </c>
      <c r="K27">
        <v>945117</v>
      </c>
    </row>
    <row r="28" spans="1:11" x14ac:dyDescent="0.35">
      <c r="A28">
        <v>2025</v>
      </c>
      <c r="B28">
        <v>12</v>
      </c>
      <c r="C28" t="s">
        <v>75</v>
      </c>
      <c r="D28" t="s">
        <v>301</v>
      </c>
      <c r="E28">
        <v>134</v>
      </c>
      <c r="F28">
        <v>825119</v>
      </c>
      <c r="G28">
        <v>930117</v>
      </c>
      <c r="H28">
        <v>512789</v>
      </c>
      <c r="I28">
        <v>1099725</v>
      </c>
      <c r="J28">
        <v>628538</v>
      </c>
      <c r="K28">
        <v>945117</v>
      </c>
    </row>
  </sheetData>
  <mergeCells count="1">
    <mergeCell ref="A1:K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302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303</v>
      </c>
      <c r="E5">
        <v>370</v>
      </c>
      <c r="F5">
        <v>801836</v>
      </c>
      <c r="G5">
        <v>764600</v>
      </c>
      <c r="H5">
        <v>686976</v>
      </c>
      <c r="I5">
        <v>963739</v>
      </c>
      <c r="J5">
        <v>725116</v>
      </c>
      <c r="K5">
        <v>896706</v>
      </c>
    </row>
    <row r="6" spans="1:11" x14ac:dyDescent="0.35">
      <c r="A6">
        <v>2024</v>
      </c>
      <c r="B6">
        <v>2</v>
      </c>
      <c r="C6" t="s">
        <v>63</v>
      </c>
      <c r="D6" t="s">
        <v>303</v>
      </c>
      <c r="E6">
        <v>418</v>
      </c>
      <c r="F6">
        <v>805339</v>
      </c>
      <c r="G6">
        <v>804082</v>
      </c>
      <c r="H6">
        <v>686976</v>
      </c>
      <c r="I6">
        <v>1001091</v>
      </c>
      <c r="J6">
        <v>725116</v>
      </c>
      <c r="K6">
        <v>896706</v>
      </c>
    </row>
    <row r="7" spans="1:11" x14ac:dyDescent="0.35">
      <c r="A7">
        <v>2024</v>
      </c>
      <c r="B7">
        <v>3</v>
      </c>
      <c r="C7" t="s">
        <v>66</v>
      </c>
      <c r="D7" t="s">
        <v>303</v>
      </c>
      <c r="E7">
        <v>578</v>
      </c>
      <c r="F7">
        <v>924979</v>
      </c>
      <c r="G7">
        <v>896706</v>
      </c>
      <c r="H7">
        <v>686976</v>
      </c>
      <c r="I7">
        <v>1406212</v>
      </c>
      <c r="J7">
        <v>849723</v>
      </c>
      <c r="K7">
        <v>971465</v>
      </c>
    </row>
    <row r="8" spans="1:11" x14ac:dyDescent="0.35">
      <c r="A8">
        <v>2024</v>
      </c>
      <c r="B8">
        <v>4</v>
      </c>
      <c r="C8" t="s">
        <v>67</v>
      </c>
      <c r="D8" t="s">
        <v>303</v>
      </c>
      <c r="E8">
        <v>417</v>
      </c>
      <c r="F8">
        <v>806632</v>
      </c>
      <c r="G8">
        <v>804082</v>
      </c>
      <c r="H8">
        <v>686976</v>
      </c>
      <c r="I8">
        <v>1341172</v>
      </c>
      <c r="J8">
        <v>725116</v>
      </c>
      <c r="K8">
        <v>896706</v>
      </c>
    </row>
    <row r="9" spans="1:11" x14ac:dyDescent="0.35">
      <c r="A9">
        <v>2024</v>
      </c>
      <c r="B9">
        <v>5</v>
      </c>
      <c r="C9" t="s">
        <v>68</v>
      </c>
      <c r="D9" t="s">
        <v>303</v>
      </c>
      <c r="E9">
        <v>412</v>
      </c>
      <c r="F9">
        <v>806294</v>
      </c>
      <c r="G9">
        <v>804082</v>
      </c>
      <c r="H9">
        <v>686976</v>
      </c>
      <c r="I9">
        <v>1419928</v>
      </c>
      <c r="J9">
        <v>725116</v>
      </c>
      <c r="K9">
        <v>896706</v>
      </c>
    </row>
    <row r="10" spans="1:11" x14ac:dyDescent="0.35">
      <c r="A10">
        <v>2024</v>
      </c>
      <c r="B10">
        <v>6</v>
      </c>
      <c r="C10" t="s">
        <v>69</v>
      </c>
      <c r="D10" t="s">
        <v>303</v>
      </c>
      <c r="E10">
        <v>430</v>
      </c>
      <c r="F10">
        <v>801659</v>
      </c>
      <c r="G10">
        <v>794599</v>
      </c>
      <c r="H10">
        <v>686976</v>
      </c>
      <c r="I10">
        <v>1001091</v>
      </c>
      <c r="J10">
        <v>718403</v>
      </c>
      <c r="K10">
        <v>896706</v>
      </c>
    </row>
    <row r="11" spans="1:11" x14ac:dyDescent="0.35">
      <c r="A11">
        <v>2024</v>
      </c>
      <c r="B11">
        <v>7</v>
      </c>
      <c r="C11" t="s">
        <v>70</v>
      </c>
      <c r="D11" t="s">
        <v>303</v>
      </c>
      <c r="E11">
        <v>439</v>
      </c>
      <c r="F11">
        <v>804310</v>
      </c>
      <c r="G11">
        <v>794599</v>
      </c>
      <c r="H11">
        <v>686976</v>
      </c>
      <c r="I11">
        <v>1001091</v>
      </c>
      <c r="J11">
        <v>732616</v>
      </c>
      <c r="K11">
        <v>896706</v>
      </c>
    </row>
    <row r="12" spans="1:11" x14ac:dyDescent="0.35">
      <c r="A12">
        <v>2024</v>
      </c>
      <c r="B12">
        <v>8</v>
      </c>
      <c r="C12" t="s">
        <v>71</v>
      </c>
      <c r="D12" t="s">
        <v>303</v>
      </c>
      <c r="E12">
        <v>417</v>
      </c>
      <c r="F12">
        <v>806890</v>
      </c>
      <c r="G12">
        <v>804082</v>
      </c>
      <c r="H12">
        <v>686976</v>
      </c>
      <c r="I12">
        <v>1368456</v>
      </c>
      <c r="J12">
        <v>725116</v>
      </c>
      <c r="K12">
        <v>896706</v>
      </c>
    </row>
    <row r="13" spans="1:11" x14ac:dyDescent="0.35">
      <c r="A13">
        <v>2024</v>
      </c>
      <c r="B13">
        <v>9</v>
      </c>
      <c r="C13" t="s">
        <v>72</v>
      </c>
      <c r="D13" t="s">
        <v>303</v>
      </c>
      <c r="E13">
        <v>415</v>
      </c>
      <c r="F13">
        <v>806055</v>
      </c>
      <c r="G13">
        <v>804082</v>
      </c>
      <c r="H13">
        <v>686976</v>
      </c>
      <c r="I13">
        <v>1001091</v>
      </c>
      <c r="J13">
        <v>725116</v>
      </c>
      <c r="K13">
        <v>896706</v>
      </c>
    </row>
    <row r="14" spans="1:11" x14ac:dyDescent="0.35">
      <c r="A14">
        <v>2024</v>
      </c>
      <c r="B14">
        <v>10</v>
      </c>
      <c r="C14" t="s">
        <v>73</v>
      </c>
      <c r="D14" t="s">
        <v>303</v>
      </c>
      <c r="E14">
        <v>418</v>
      </c>
      <c r="F14">
        <v>808936</v>
      </c>
      <c r="G14">
        <v>804082</v>
      </c>
      <c r="H14">
        <v>686976</v>
      </c>
      <c r="I14">
        <v>1476407</v>
      </c>
      <c r="J14">
        <v>725116</v>
      </c>
      <c r="K14">
        <v>896706</v>
      </c>
    </row>
    <row r="15" spans="1:11" x14ac:dyDescent="0.35">
      <c r="A15">
        <v>2024</v>
      </c>
      <c r="B15">
        <v>11</v>
      </c>
      <c r="C15" t="s">
        <v>74</v>
      </c>
      <c r="D15" t="s">
        <v>303</v>
      </c>
      <c r="E15">
        <v>418</v>
      </c>
      <c r="F15">
        <v>806336</v>
      </c>
      <c r="G15">
        <v>804082</v>
      </c>
      <c r="H15">
        <v>686976</v>
      </c>
      <c r="I15">
        <v>1018857</v>
      </c>
      <c r="J15">
        <v>725116</v>
      </c>
      <c r="K15">
        <v>896706</v>
      </c>
    </row>
    <row r="16" spans="1:11" x14ac:dyDescent="0.35">
      <c r="A16">
        <v>2024</v>
      </c>
      <c r="B16">
        <v>12</v>
      </c>
      <c r="C16" t="s">
        <v>75</v>
      </c>
      <c r="D16" t="s">
        <v>303</v>
      </c>
      <c r="E16">
        <v>415</v>
      </c>
      <c r="F16">
        <v>804879</v>
      </c>
      <c r="G16">
        <v>804082</v>
      </c>
      <c r="H16">
        <v>686976</v>
      </c>
      <c r="I16">
        <v>1001091</v>
      </c>
      <c r="J16">
        <v>725116</v>
      </c>
      <c r="K16">
        <v>896706</v>
      </c>
    </row>
    <row r="17" spans="1:11" x14ac:dyDescent="0.35">
      <c r="A17">
        <v>2025</v>
      </c>
      <c r="B17">
        <v>1</v>
      </c>
      <c r="C17" t="s">
        <v>42</v>
      </c>
      <c r="D17" t="s">
        <v>303</v>
      </c>
      <c r="E17">
        <v>390</v>
      </c>
      <c r="F17">
        <v>804836</v>
      </c>
      <c r="G17">
        <v>804082</v>
      </c>
      <c r="H17">
        <v>686976</v>
      </c>
      <c r="I17">
        <v>1232733</v>
      </c>
      <c r="J17">
        <v>725116</v>
      </c>
      <c r="K17">
        <v>896706</v>
      </c>
    </row>
    <row r="18" spans="1:11" x14ac:dyDescent="0.35">
      <c r="A18">
        <v>2025</v>
      </c>
      <c r="B18">
        <v>2</v>
      </c>
      <c r="C18" t="s">
        <v>63</v>
      </c>
      <c r="D18" t="s">
        <v>303</v>
      </c>
      <c r="E18">
        <v>390</v>
      </c>
      <c r="F18">
        <v>804571</v>
      </c>
      <c r="G18">
        <v>804082</v>
      </c>
      <c r="H18">
        <v>686976</v>
      </c>
      <c r="I18">
        <v>1226286</v>
      </c>
      <c r="J18">
        <v>725116</v>
      </c>
      <c r="K18">
        <v>896706</v>
      </c>
    </row>
    <row r="19" spans="1:11" x14ac:dyDescent="0.35">
      <c r="A19">
        <v>2025</v>
      </c>
      <c r="B19">
        <v>3</v>
      </c>
      <c r="C19" t="s">
        <v>66</v>
      </c>
      <c r="D19" t="s">
        <v>303</v>
      </c>
      <c r="E19">
        <v>387</v>
      </c>
      <c r="F19">
        <v>802997</v>
      </c>
      <c r="G19">
        <v>804082</v>
      </c>
      <c r="H19">
        <v>686976</v>
      </c>
      <c r="I19">
        <v>1001091</v>
      </c>
      <c r="J19">
        <v>725116</v>
      </c>
      <c r="K19">
        <v>896706</v>
      </c>
    </row>
    <row r="20" spans="1:11" x14ac:dyDescent="0.35">
      <c r="A20">
        <v>2025</v>
      </c>
      <c r="B20">
        <v>4</v>
      </c>
      <c r="C20" t="s">
        <v>67</v>
      </c>
      <c r="D20" t="s">
        <v>303</v>
      </c>
      <c r="E20">
        <v>390</v>
      </c>
      <c r="F20">
        <v>804571</v>
      </c>
      <c r="G20">
        <v>804082</v>
      </c>
      <c r="H20">
        <v>686976</v>
      </c>
      <c r="I20">
        <v>1226286</v>
      </c>
      <c r="J20">
        <v>725116</v>
      </c>
      <c r="K20">
        <v>896706</v>
      </c>
    </row>
    <row r="21" spans="1:11" x14ac:dyDescent="0.35">
      <c r="A21">
        <v>2025</v>
      </c>
      <c r="B21">
        <v>5</v>
      </c>
      <c r="C21" t="s">
        <v>68</v>
      </c>
      <c r="D21" t="s">
        <v>303</v>
      </c>
      <c r="E21">
        <v>387</v>
      </c>
      <c r="F21">
        <v>806473</v>
      </c>
      <c r="G21">
        <v>804082</v>
      </c>
      <c r="H21">
        <v>686976</v>
      </c>
      <c r="I21">
        <v>1419903</v>
      </c>
      <c r="J21">
        <v>725116</v>
      </c>
      <c r="K21">
        <v>896706</v>
      </c>
    </row>
    <row r="22" spans="1:11" x14ac:dyDescent="0.35">
      <c r="A22">
        <v>2025</v>
      </c>
      <c r="B22">
        <v>6</v>
      </c>
      <c r="C22" t="s">
        <v>69</v>
      </c>
      <c r="D22" t="s">
        <v>303</v>
      </c>
      <c r="E22">
        <v>385</v>
      </c>
      <c r="F22">
        <v>803267</v>
      </c>
      <c r="G22">
        <v>804082</v>
      </c>
      <c r="H22">
        <v>686976</v>
      </c>
      <c r="I22">
        <v>1001091</v>
      </c>
      <c r="J22">
        <v>725116</v>
      </c>
      <c r="K22">
        <v>896706</v>
      </c>
    </row>
    <row r="23" spans="1:11" x14ac:dyDescent="0.35">
      <c r="A23">
        <v>2025</v>
      </c>
      <c r="B23">
        <v>7</v>
      </c>
      <c r="C23" t="s">
        <v>70</v>
      </c>
      <c r="D23" t="s">
        <v>303</v>
      </c>
      <c r="E23">
        <v>388</v>
      </c>
      <c r="F23">
        <v>810476</v>
      </c>
      <c r="G23">
        <v>804082</v>
      </c>
      <c r="H23">
        <v>686976</v>
      </c>
      <c r="I23">
        <v>1523585</v>
      </c>
      <c r="J23">
        <v>725116</v>
      </c>
      <c r="K23">
        <v>896706</v>
      </c>
    </row>
    <row r="24" spans="1:11" x14ac:dyDescent="0.35">
      <c r="A24">
        <v>2025</v>
      </c>
      <c r="B24">
        <v>8</v>
      </c>
      <c r="C24" t="s">
        <v>71</v>
      </c>
      <c r="D24" t="s">
        <v>303</v>
      </c>
      <c r="E24">
        <v>384</v>
      </c>
      <c r="F24">
        <v>804140</v>
      </c>
      <c r="G24">
        <v>804082</v>
      </c>
      <c r="H24">
        <v>686976</v>
      </c>
      <c r="I24">
        <v>1360573</v>
      </c>
      <c r="J24">
        <v>725116</v>
      </c>
      <c r="K24">
        <v>896706</v>
      </c>
    </row>
    <row r="25" spans="1:11" x14ac:dyDescent="0.35">
      <c r="A25">
        <v>2025</v>
      </c>
      <c r="B25">
        <v>9</v>
      </c>
      <c r="C25" t="s">
        <v>72</v>
      </c>
      <c r="D25" t="s">
        <v>303</v>
      </c>
      <c r="E25">
        <v>392</v>
      </c>
      <c r="F25">
        <v>811812</v>
      </c>
      <c r="G25">
        <v>804082</v>
      </c>
      <c r="H25">
        <v>686976</v>
      </c>
      <c r="I25">
        <v>1435775</v>
      </c>
      <c r="J25">
        <v>725116</v>
      </c>
      <c r="K25">
        <v>896706</v>
      </c>
    </row>
    <row r="26" spans="1:11" x14ac:dyDescent="0.35">
      <c r="A26">
        <v>2025</v>
      </c>
      <c r="B26">
        <v>10</v>
      </c>
      <c r="C26" t="s">
        <v>73</v>
      </c>
      <c r="D26" t="s">
        <v>303</v>
      </c>
      <c r="E26">
        <v>387</v>
      </c>
      <c r="F26">
        <v>804150</v>
      </c>
      <c r="G26">
        <v>804082</v>
      </c>
      <c r="H26">
        <v>686976</v>
      </c>
      <c r="I26">
        <v>1344405</v>
      </c>
      <c r="J26">
        <v>717616</v>
      </c>
      <c r="K26">
        <v>896706</v>
      </c>
    </row>
    <row r="27" spans="1:11" x14ac:dyDescent="0.35">
      <c r="A27">
        <v>2025</v>
      </c>
      <c r="B27">
        <v>11</v>
      </c>
      <c r="C27" t="s">
        <v>74</v>
      </c>
      <c r="D27" t="s">
        <v>303</v>
      </c>
      <c r="E27">
        <v>400</v>
      </c>
      <c r="F27">
        <v>817459</v>
      </c>
      <c r="G27">
        <v>804082</v>
      </c>
      <c r="H27">
        <v>686975</v>
      </c>
      <c r="I27">
        <v>1406370</v>
      </c>
      <c r="J27">
        <v>757099</v>
      </c>
      <c r="K27">
        <v>926238</v>
      </c>
    </row>
    <row r="28" spans="1:11" x14ac:dyDescent="0.35">
      <c r="A28">
        <v>2025</v>
      </c>
      <c r="B28">
        <v>12</v>
      </c>
      <c r="C28" t="s">
        <v>75</v>
      </c>
      <c r="D28" t="s">
        <v>303</v>
      </c>
      <c r="E28">
        <v>400</v>
      </c>
      <c r="F28">
        <v>815972</v>
      </c>
      <c r="G28">
        <v>804082</v>
      </c>
      <c r="H28">
        <v>686975</v>
      </c>
      <c r="I28">
        <v>1001091</v>
      </c>
      <c r="J28">
        <v>757099</v>
      </c>
      <c r="K28">
        <v>926238</v>
      </c>
    </row>
  </sheetData>
  <mergeCells count="1">
    <mergeCell ref="A1:K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304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305</v>
      </c>
      <c r="E5">
        <v>6187</v>
      </c>
      <c r="F5">
        <v>541737</v>
      </c>
      <c r="G5">
        <v>502441</v>
      </c>
      <c r="H5">
        <v>407405</v>
      </c>
      <c r="I5">
        <v>825535</v>
      </c>
      <c r="J5">
        <v>445594</v>
      </c>
      <c r="K5">
        <v>653058</v>
      </c>
    </row>
    <row r="6" spans="1:11" x14ac:dyDescent="0.35">
      <c r="A6">
        <v>2024</v>
      </c>
      <c r="B6">
        <v>2</v>
      </c>
      <c r="C6" t="s">
        <v>63</v>
      </c>
      <c r="D6" t="s">
        <v>305</v>
      </c>
      <c r="E6">
        <v>6450</v>
      </c>
      <c r="F6">
        <v>537811</v>
      </c>
      <c r="G6">
        <v>494941</v>
      </c>
      <c r="H6">
        <v>407405</v>
      </c>
      <c r="I6">
        <v>826377</v>
      </c>
      <c r="J6">
        <v>440594</v>
      </c>
      <c r="K6">
        <v>650657</v>
      </c>
    </row>
    <row r="7" spans="1:11" x14ac:dyDescent="0.35">
      <c r="A7">
        <v>2024</v>
      </c>
      <c r="B7">
        <v>3</v>
      </c>
      <c r="C7" t="s">
        <v>66</v>
      </c>
      <c r="D7" t="s">
        <v>305</v>
      </c>
      <c r="E7">
        <v>6473</v>
      </c>
      <c r="F7">
        <v>540292</v>
      </c>
      <c r="G7">
        <v>513823</v>
      </c>
      <c r="H7">
        <v>407405</v>
      </c>
      <c r="I7">
        <v>825535</v>
      </c>
      <c r="J7">
        <v>440594</v>
      </c>
      <c r="K7">
        <v>645657</v>
      </c>
    </row>
    <row r="8" spans="1:11" x14ac:dyDescent="0.35">
      <c r="A8">
        <v>2024</v>
      </c>
      <c r="B8">
        <v>4</v>
      </c>
      <c r="C8" t="s">
        <v>67</v>
      </c>
      <c r="D8" t="s">
        <v>305</v>
      </c>
      <c r="E8">
        <v>6524</v>
      </c>
      <c r="F8">
        <v>539035</v>
      </c>
      <c r="G8">
        <v>507158</v>
      </c>
      <c r="H8">
        <v>407405</v>
      </c>
      <c r="I8">
        <v>825535</v>
      </c>
      <c r="J8">
        <v>440594</v>
      </c>
      <c r="K8">
        <v>645423</v>
      </c>
    </row>
    <row r="9" spans="1:11" x14ac:dyDescent="0.35">
      <c r="A9">
        <v>2024</v>
      </c>
      <c r="B9">
        <v>5</v>
      </c>
      <c r="C9" t="s">
        <v>68</v>
      </c>
      <c r="D9" t="s">
        <v>305</v>
      </c>
      <c r="E9">
        <v>6383</v>
      </c>
      <c r="F9">
        <v>540390</v>
      </c>
      <c r="G9">
        <v>507158</v>
      </c>
      <c r="H9">
        <v>407405</v>
      </c>
      <c r="I9">
        <v>825535</v>
      </c>
      <c r="J9">
        <v>445594</v>
      </c>
      <c r="K9">
        <v>645657</v>
      </c>
    </row>
    <row r="10" spans="1:11" x14ac:dyDescent="0.35">
      <c r="A10">
        <v>2024</v>
      </c>
      <c r="B10">
        <v>6</v>
      </c>
      <c r="C10" t="s">
        <v>69</v>
      </c>
      <c r="D10" t="s">
        <v>305</v>
      </c>
      <c r="E10">
        <v>6361</v>
      </c>
      <c r="F10">
        <v>542079</v>
      </c>
      <c r="G10">
        <v>507158</v>
      </c>
      <c r="H10">
        <v>407405</v>
      </c>
      <c r="I10">
        <v>825535</v>
      </c>
      <c r="J10">
        <v>445594</v>
      </c>
      <c r="K10">
        <v>650657</v>
      </c>
    </row>
    <row r="11" spans="1:11" x14ac:dyDescent="0.35">
      <c r="A11">
        <v>2024</v>
      </c>
      <c r="B11">
        <v>7</v>
      </c>
      <c r="C11" t="s">
        <v>70</v>
      </c>
      <c r="D11" t="s">
        <v>305</v>
      </c>
      <c r="E11">
        <v>6378</v>
      </c>
      <c r="F11">
        <v>542164</v>
      </c>
      <c r="G11">
        <v>507158</v>
      </c>
      <c r="H11">
        <v>407405</v>
      </c>
      <c r="I11">
        <v>825535</v>
      </c>
      <c r="J11">
        <v>445594</v>
      </c>
      <c r="K11">
        <v>650423</v>
      </c>
    </row>
    <row r="12" spans="1:11" x14ac:dyDescent="0.35">
      <c r="A12">
        <v>2024</v>
      </c>
      <c r="B12">
        <v>8</v>
      </c>
      <c r="C12" t="s">
        <v>71</v>
      </c>
      <c r="D12" t="s">
        <v>305</v>
      </c>
      <c r="E12">
        <v>6352</v>
      </c>
      <c r="F12">
        <v>544281</v>
      </c>
      <c r="G12">
        <v>509658</v>
      </c>
      <c r="H12">
        <v>407405</v>
      </c>
      <c r="I12">
        <v>825535</v>
      </c>
      <c r="J12">
        <v>445594</v>
      </c>
      <c r="K12">
        <v>657923</v>
      </c>
    </row>
    <row r="13" spans="1:11" x14ac:dyDescent="0.35">
      <c r="A13">
        <v>2024</v>
      </c>
      <c r="B13">
        <v>9</v>
      </c>
      <c r="C13" t="s">
        <v>72</v>
      </c>
      <c r="D13" t="s">
        <v>305</v>
      </c>
      <c r="E13">
        <v>6357</v>
      </c>
      <c r="F13">
        <v>544159</v>
      </c>
      <c r="G13">
        <v>509658</v>
      </c>
      <c r="H13">
        <v>407405</v>
      </c>
      <c r="I13">
        <v>825535</v>
      </c>
      <c r="J13">
        <v>445594</v>
      </c>
      <c r="K13">
        <v>658058</v>
      </c>
    </row>
    <row r="14" spans="1:11" x14ac:dyDescent="0.35">
      <c r="A14">
        <v>2024</v>
      </c>
      <c r="B14">
        <v>10</v>
      </c>
      <c r="C14" t="s">
        <v>73</v>
      </c>
      <c r="D14" t="s">
        <v>305</v>
      </c>
      <c r="E14">
        <v>6435</v>
      </c>
      <c r="F14">
        <v>542874</v>
      </c>
      <c r="G14">
        <v>507158</v>
      </c>
      <c r="H14">
        <v>407405</v>
      </c>
      <c r="I14">
        <v>825535</v>
      </c>
      <c r="J14">
        <v>445594</v>
      </c>
      <c r="K14">
        <v>657923</v>
      </c>
    </row>
    <row r="15" spans="1:11" x14ac:dyDescent="0.35">
      <c r="A15">
        <v>2024</v>
      </c>
      <c r="B15">
        <v>11</v>
      </c>
      <c r="C15" t="s">
        <v>74</v>
      </c>
      <c r="D15" t="s">
        <v>305</v>
      </c>
      <c r="E15">
        <v>6387</v>
      </c>
      <c r="F15">
        <v>544468</v>
      </c>
      <c r="G15">
        <v>509658</v>
      </c>
      <c r="H15">
        <v>407405</v>
      </c>
      <c r="I15">
        <v>825535</v>
      </c>
      <c r="J15">
        <v>445594</v>
      </c>
      <c r="K15">
        <v>658058</v>
      </c>
    </row>
    <row r="16" spans="1:11" x14ac:dyDescent="0.35">
      <c r="A16">
        <v>2024</v>
      </c>
      <c r="B16">
        <v>12</v>
      </c>
      <c r="C16" t="s">
        <v>75</v>
      </c>
      <c r="D16" t="s">
        <v>305</v>
      </c>
      <c r="E16">
        <v>6395</v>
      </c>
      <c r="F16">
        <v>544288</v>
      </c>
      <c r="G16">
        <v>509658</v>
      </c>
      <c r="H16">
        <v>407405</v>
      </c>
      <c r="I16">
        <v>825535</v>
      </c>
      <c r="J16">
        <v>445594</v>
      </c>
      <c r="K16">
        <v>658058</v>
      </c>
    </row>
    <row r="17" spans="1:11" x14ac:dyDescent="0.35">
      <c r="A17">
        <v>2025</v>
      </c>
      <c r="B17">
        <v>1</v>
      </c>
      <c r="C17" t="s">
        <v>42</v>
      </c>
      <c r="D17" t="s">
        <v>305</v>
      </c>
      <c r="E17">
        <v>6315</v>
      </c>
      <c r="F17">
        <v>543035</v>
      </c>
      <c r="G17">
        <v>507158</v>
      </c>
      <c r="H17">
        <v>407405</v>
      </c>
      <c r="I17">
        <v>850677</v>
      </c>
      <c r="J17">
        <v>445594</v>
      </c>
      <c r="K17">
        <v>657923</v>
      </c>
    </row>
    <row r="18" spans="1:11" x14ac:dyDescent="0.35">
      <c r="A18">
        <v>2025</v>
      </c>
      <c r="B18">
        <v>2</v>
      </c>
      <c r="C18" t="s">
        <v>63</v>
      </c>
      <c r="D18" t="s">
        <v>305</v>
      </c>
      <c r="E18">
        <v>6484</v>
      </c>
      <c r="F18">
        <v>547795</v>
      </c>
      <c r="G18">
        <v>509658</v>
      </c>
      <c r="H18">
        <v>407405</v>
      </c>
      <c r="I18">
        <v>856740</v>
      </c>
      <c r="J18">
        <v>443094</v>
      </c>
      <c r="K18">
        <v>668342</v>
      </c>
    </row>
    <row r="19" spans="1:11" x14ac:dyDescent="0.35">
      <c r="A19">
        <v>2025</v>
      </c>
      <c r="B19">
        <v>3</v>
      </c>
      <c r="C19" t="s">
        <v>66</v>
      </c>
      <c r="D19" t="s">
        <v>305</v>
      </c>
      <c r="E19">
        <v>6583</v>
      </c>
      <c r="F19">
        <v>544044</v>
      </c>
      <c r="G19">
        <v>517158</v>
      </c>
      <c r="H19">
        <v>407405</v>
      </c>
      <c r="I19">
        <v>858844</v>
      </c>
      <c r="J19">
        <v>440594</v>
      </c>
      <c r="K19">
        <v>657923</v>
      </c>
    </row>
    <row r="20" spans="1:11" x14ac:dyDescent="0.35">
      <c r="A20">
        <v>2025</v>
      </c>
      <c r="B20">
        <v>4</v>
      </c>
      <c r="C20" t="s">
        <v>67</v>
      </c>
      <c r="D20" t="s">
        <v>305</v>
      </c>
      <c r="E20">
        <v>6483</v>
      </c>
      <c r="F20">
        <v>547892</v>
      </c>
      <c r="G20">
        <v>509658</v>
      </c>
      <c r="H20">
        <v>407405</v>
      </c>
      <c r="I20">
        <v>856740</v>
      </c>
      <c r="J20">
        <v>443094</v>
      </c>
      <c r="K20">
        <v>669727</v>
      </c>
    </row>
    <row r="21" spans="1:11" x14ac:dyDescent="0.35">
      <c r="A21">
        <v>2025</v>
      </c>
      <c r="B21">
        <v>5</v>
      </c>
      <c r="C21" t="s">
        <v>68</v>
      </c>
      <c r="D21" t="s">
        <v>305</v>
      </c>
      <c r="E21">
        <v>6674</v>
      </c>
      <c r="F21">
        <v>543798</v>
      </c>
      <c r="G21">
        <v>512158</v>
      </c>
      <c r="H21">
        <v>407405</v>
      </c>
      <c r="I21">
        <v>856885</v>
      </c>
      <c r="J21">
        <v>440594</v>
      </c>
      <c r="K21">
        <v>657923</v>
      </c>
    </row>
    <row r="22" spans="1:11" x14ac:dyDescent="0.35">
      <c r="A22">
        <v>2025</v>
      </c>
      <c r="B22">
        <v>6</v>
      </c>
      <c r="C22" t="s">
        <v>69</v>
      </c>
      <c r="D22" t="s">
        <v>305</v>
      </c>
      <c r="E22">
        <v>6688</v>
      </c>
      <c r="F22">
        <v>546177</v>
      </c>
      <c r="G22">
        <v>512158</v>
      </c>
      <c r="H22">
        <v>407405</v>
      </c>
      <c r="I22">
        <v>825535</v>
      </c>
      <c r="J22">
        <v>440882</v>
      </c>
      <c r="K22">
        <v>658157</v>
      </c>
    </row>
    <row r="23" spans="1:11" x14ac:dyDescent="0.35">
      <c r="A23">
        <v>2025</v>
      </c>
      <c r="B23">
        <v>7</v>
      </c>
      <c r="C23" t="s">
        <v>70</v>
      </c>
      <c r="D23" t="s">
        <v>305</v>
      </c>
      <c r="E23">
        <v>6668</v>
      </c>
      <c r="F23">
        <v>548003</v>
      </c>
      <c r="G23">
        <v>512158</v>
      </c>
      <c r="H23">
        <v>407405</v>
      </c>
      <c r="I23">
        <v>825535</v>
      </c>
      <c r="J23">
        <v>443094</v>
      </c>
      <c r="K23">
        <v>658157</v>
      </c>
    </row>
    <row r="24" spans="1:11" x14ac:dyDescent="0.35">
      <c r="A24">
        <v>2025</v>
      </c>
      <c r="B24">
        <v>8</v>
      </c>
      <c r="C24" t="s">
        <v>71</v>
      </c>
      <c r="D24" t="s">
        <v>305</v>
      </c>
      <c r="E24">
        <v>6667</v>
      </c>
      <c r="F24">
        <v>549563</v>
      </c>
      <c r="G24">
        <v>512158</v>
      </c>
      <c r="H24">
        <v>407405</v>
      </c>
      <c r="I24">
        <v>858717</v>
      </c>
      <c r="J24">
        <v>448094</v>
      </c>
      <c r="K24">
        <v>660657</v>
      </c>
    </row>
    <row r="25" spans="1:11" x14ac:dyDescent="0.35">
      <c r="A25">
        <v>2025</v>
      </c>
      <c r="B25">
        <v>9</v>
      </c>
      <c r="C25" t="s">
        <v>72</v>
      </c>
      <c r="D25" t="s">
        <v>305</v>
      </c>
      <c r="E25">
        <v>6668</v>
      </c>
      <c r="F25">
        <v>549243</v>
      </c>
      <c r="G25">
        <v>512158</v>
      </c>
      <c r="H25">
        <v>407405</v>
      </c>
      <c r="I25">
        <v>825535</v>
      </c>
      <c r="J25">
        <v>445594</v>
      </c>
      <c r="K25">
        <v>663058</v>
      </c>
    </row>
    <row r="26" spans="1:11" x14ac:dyDescent="0.35">
      <c r="A26">
        <v>2025</v>
      </c>
      <c r="B26">
        <v>10</v>
      </c>
      <c r="C26" t="s">
        <v>73</v>
      </c>
      <c r="D26" t="s">
        <v>305</v>
      </c>
      <c r="E26">
        <v>6662</v>
      </c>
      <c r="F26">
        <v>549652</v>
      </c>
      <c r="G26">
        <v>512158</v>
      </c>
      <c r="H26">
        <v>407405</v>
      </c>
      <c r="I26">
        <v>825535</v>
      </c>
      <c r="J26">
        <v>445594</v>
      </c>
      <c r="K26">
        <v>663058</v>
      </c>
    </row>
    <row r="27" spans="1:11" x14ac:dyDescent="0.35">
      <c r="A27">
        <v>2025</v>
      </c>
      <c r="B27">
        <v>11</v>
      </c>
      <c r="C27" t="s">
        <v>74</v>
      </c>
      <c r="D27" t="s">
        <v>305</v>
      </c>
      <c r="E27">
        <v>6664</v>
      </c>
      <c r="F27">
        <v>549803</v>
      </c>
      <c r="G27">
        <v>512158</v>
      </c>
      <c r="H27">
        <v>407405</v>
      </c>
      <c r="I27">
        <v>825535</v>
      </c>
      <c r="J27">
        <v>445594</v>
      </c>
      <c r="K27">
        <v>663058</v>
      </c>
    </row>
    <row r="28" spans="1:11" x14ac:dyDescent="0.35">
      <c r="A28">
        <v>2025</v>
      </c>
      <c r="B28">
        <v>12</v>
      </c>
      <c r="C28" t="s">
        <v>75</v>
      </c>
      <c r="D28" t="s">
        <v>305</v>
      </c>
      <c r="E28">
        <v>6648</v>
      </c>
      <c r="F28">
        <v>550294</v>
      </c>
      <c r="G28">
        <v>512158</v>
      </c>
      <c r="H28">
        <v>407405</v>
      </c>
      <c r="I28">
        <v>825535</v>
      </c>
      <c r="J28">
        <v>445594</v>
      </c>
      <c r="K28">
        <v>663058</v>
      </c>
    </row>
  </sheetData>
  <mergeCells count="1">
    <mergeCell ref="A1:K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306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307</v>
      </c>
      <c r="E5">
        <v>146694</v>
      </c>
      <c r="F5">
        <v>472641</v>
      </c>
      <c r="G5">
        <v>441838</v>
      </c>
      <c r="H5">
        <v>266776</v>
      </c>
      <c r="I5">
        <v>1012078</v>
      </c>
      <c r="J5">
        <v>382404</v>
      </c>
      <c r="K5">
        <v>551641</v>
      </c>
    </row>
    <row r="6" spans="1:11" x14ac:dyDescent="0.35">
      <c r="A6">
        <v>2024</v>
      </c>
      <c r="B6">
        <v>2</v>
      </c>
      <c r="C6" t="s">
        <v>63</v>
      </c>
      <c r="D6" t="s">
        <v>307</v>
      </c>
      <c r="E6">
        <v>147030</v>
      </c>
      <c r="F6">
        <v>478885</v>
      </c>
      <c r="G6">
        <v>447026</v>
      </c>
      <c r="H6">
        <v>266776</v>
      </c>
      <c r="I6">
        <v>1056135</v>
      </c>
      <c r="J6">
        <v>384904</v>
      </c>
      <c r="K6">
        <v>556038</v>
      </c>
    </row>
    <row r="7" spans="1:11" x14ac:dyDescent="0.35">
      <c r="A7">
        <v>2024</v>
      </c>
      <c r="B7">
        <v>3</v>
      </c>
      <c r="C7" t="s">
        <v>66</v>
      </c>
      <c r="D7" t="s">
        <v>307</v>
      </c>
      <c r="E7">
        <v>148413</v>
      </c>
      <c r="F7">
        <v>476065</v>
      </c>
      <c r="G7">
        <v>445040</v>
      </c>
      <c r="H7">
        <v>266776</v>
      </c>
      <c r="I7">
        <v>1044291</v>
      </c>
      <c r="J7">
        <v>384904</v>
      </c>
      <c r="K7">
        <v>554646</v>
      </c>
    </row>
    <row r="8" spans="1:11" x14ac:dyDescent="0.35">
      <c r="A8">
        <v>2024</v>
      </c>
      <c r="B8">
        <v>4</v>
      </c>
      <c r="C8" t="s">
        <v>67</v>
      </c>
      <c r="D8" t="s">
        <v>307</v>
      </c>
      <c r="E8">
        <v>149320</v>
      </c>
      <c r="F8">
        <v>474386</v>
      </c>
      <c r="G8">
        <v>442073</v>
      </c>
      <c r="H8">
        <v>266776</v>
      </c>
      <c r="I8">
        <v>1015438</v>
      </c>
      <c r="J8">
        <v>382404</v>
      </c>
      <c r="K8">
        <v>552515</v>
      </c>
    </row>
    <row r="9" spans="1:11" x14ac:dyDescent="0.35">
      <c r="A9">
        <v>2024</v>
      </c>
      <c r="B9">
        <v>5</v>
      </c>
      <c r="C9" t="s">
        <v>68</v>
      </c>
      <c r="D9" t="s">
        <v>307</v>
      </c>
      <c r="E9">
        <v>149431</v>
      </c>
      <c r="F9">
        <v>473722</v>
      </c>
      <c r="G9">
        <v>441838</v>
      </c>
      <c r="H9">
        <v>266776</v>
      </c>
      <c r="I9">
        <v>1036346</v>
      </c>
      <c r="J9">
        <v>382404</v>
      </c>
      <c r="K9">
        <v>551641</v>
      </c>
    </row>
    <row r="10" spans="1:11" x14ac:dyDescent="0.35">
      <c r="A10">
        <v>2024</v>
      </c>
      <c r="B10">
        <v>6</v>
      </c>
      <c r="C10" t="s">
        <v>69</v>
      </c>
      <c r="D10" t="s">
        <v>307</v>
      </c>
      <c r="E10">
        <v>149782</v>
      </c>
      <c r="F10">
        <v>473869</v>
      </c>
      <c r="G10">
        <v>441838</v>
      </c>
      <c r="H10">
        <v>266776</v>
      </c>
      <c r="I10">
        <v>1044535</v>
      </c>
      <c r="J10">
        <v>384904</v>
      </c>
      <c r="K10">
        <v>551222</v>
      </c>
    </row>
    <row r="11" spans="1:11" x14ac:dyDescent="0.35">
      <c r="A11">
        <v>2024</v>
      </c>
      <c r="B11">
        <v>7</v>
      </c>
      <c r="C11" t="s">
        <v>70</v>
      </c>
      <c r="D11" t="s">
        <v>307</v>
      </c>
      <c r="E11">
        <v>151458</v>
      </c>
      <c r="F11">
        <v>473960</v>
      </c>
      <c r="G11">
        <v>441838</v>
      </c>
      <c r="H11">
        <v>266776</v>
      </c>
      <c r="I11">
        <v>1070224</v>
      </c>
      <c r="J11">
        <v>384904</v>
      </c>
      <c r="K11">
        <v>552146</v>
      </c>
    </row>
    <row r="12" spans="1:11" x14ac:dyDescent="0.35">
      <c r="A12">
        <v>2024</v>
      </c>
      <c r="B12">
        <v>8</v>
      </c>
      <c r="C12" t="s">
        <v>71</v>
      </c>
      <c r="D12" t="s">
        <v>307</v>
      </c>
      <c r="E12">
        <v>152499</v>
      </c>
      <c r="F12">
        <v>475507</v>
      </c>
      <c r="G12">
        <v>442073</v>
      </c>
      <c r="H12">
        <v>266776</v>
      </c>
      <c r="I12">
        <v>1065301</v>
      </c>
      <c r="J12">
        <v>384904</v>
      </c>
      <c r="K12">
        <v>553538</v>
      </c>
    </row>
    <row r="13" spans="1:11" x14ac:dyDescent="0.35">
      <c r="A13">
        <v>2024</v>
      </c>
      <c r="B13">
        <v>9</v>
      </c>
      <c r="C13" t="s">
        <v>72</v>
      </c>
      <c r="D13" t="s">
        <v>307</v>
      </c>
      <c r="E13">
        <v>153407</v>
      </c>
      <c r="F13">
        <v>473640</v>
      </c>
      <c r="G13">
        <v>441838</v>
      </c>
      <c r="H13">
        <v>266776</v>
      </c>
      <c r="I13">
        <v>1012078</v>
      </c>
      <c r="J13">
        <v>383426</v>
      </c>
      <c r="K13">
        <v>551038</v>
      </c>
    </row>
    <row r="14" spans="1:11" x14ac:dyDescent="0.35">
      <c r="A14">
        <v>2024</v>
      </c>
      <c r="B14">
        <v>10</v>
      </c>
      <c r="C14" t="s">
        <v>73</v>
      </c>
      <c r="D14" t="s">
        <v>307</v>
      </c>
      <c r="E14">
        <v>155850</v>
      </c>
      <c r="F14">
        <v>472366</v>
      </c>
      <c r="G14">
        <v>439436</v>
      </c>
      <c r="H14">
        <v>266776</v>
      </c>
      <c r="I14">
        <v>1012078</v>
      </c>
      <c r="J14">
        <v>383426</v>
      </c>
      <c r="K14">
        <v>550249</v>
      </c>
    </row>
    <row r="15" spans="1:11" x14ac:dyDescent="0.35">
      <c r="A15">
        <v>2024</v>
      </c>
      <c r="B15">
        <v>11</v>
      </c>
      <c r="C15" t="s">
        <v>74</v>
      </c>
      <c r="D15" t="s">
        <v>307</v>
      </c>
      <c r="E15">
        <v>158031</v>
      </c>
      <c r="F15">
        <v>470880</v>
      </c>
      <c r="G15">
        <v>439436</v>
      </c>
      <c r="H15">
        <v>266776</v>
      </c>
      <c r="I15">
        <v>1066667</v>
      </c>
      <c r="J15">
        <v>376394</v>
      </c>
      <c r="K15">
        <v>549646</v>
      </c>
    </row>
    <row r="16" spans="1:11" x14ac:dyDescent="0.35">
      <c r="A16">
        <v>2024</v>
      </c>
      <c r="B16">
        <v>12</v>
      </c>
      <c r="C16" t="s">
        <v>75</v>
      </c>
      <c r="D16" t="s">
        <v>307</v>
      </c>
      <c r="E16">
        <v>158131</v>
      </c>
      <c r="F16">
        <v>470606</v>
      </c>
      <c r="G16">
        <v>439436</v>
      </c>
      <c r="H16">
        <v>266776</v>
      </c>
      <c r="I16">
        <v>1057997</v>
      </c>
      <c r="J16">
        <v>375926</v>
      </c>
      <c r="K16">
        <v>549646</v>
      </c>
    </row>
    <row r="17" spans="1:11" x14ac:dyDescent="0.35">
      <c r="A17">
        <v>2025</v>
      </c>
      <c r="B17">
        <v>1</v>
      </c>
      <c r="C17" t="s">
        <v>42</v>
      </c>
      <c r="D17" t="s">
        <v>307</v>
      </c>
      <c r="E17">
        <v>155834</v>
      </c>
      <c r="F17">
        <v>472132</v>
      </c>
      <c r="G17">
        <v>444436</v>
      </c>
      <c r="H17">
        <v>266776</v>
      </c>
      <c r="I17">
        <v>1069076</v>
      </c>
      <c r="J17">
        <v>372134</v>
      </c>
      <c r="K17">
        <v>549646</v>
      </c>
    </row>
    <row r="18" spans="1:11" x14ac:dyDescent="0.35">
      <c r="A18">
        <v>2025</v>
      </c>
      <c r="B18">
        <v>2</v>
      </c>
      <c r="C18" t="s">
        <v>63</v>
      </c>
      <c r="D18" t="s">
        <v>307</v>
      </c>
      <c r="E18">
        <v>156754</v>
      </c>
      <c r="F18">
        <v>474803</v>
      </c>
      <c r="G18">
        <v>441838</v>
      </c>
      <c r="H18">
        <v>266776</v>
      </c>
      <c r="I18">
        <v>1072736</v>
      </c>
      <c r="J18">
        <v>368894</v>
      </c>
      <c r="K18">
        <v>556038</v>
      </c>
    </row>
    <row r="19" spans="1:11" x14ac:dyDescent="0.35">
      <c r="A19">
        <v>2025</v>
      </c>
      <c r="B19">
        <v>3</v>
      </c>
      <c r="C19" t="s">
        <v>66</v>
      </c>
      <c r="D19" t="s">
        <v>307</v>
      </c>
      <c r="E19">
        <v>158691</v>
      </c>
      <c r="F19">
        <v>471624</v>
      </c>
      <c r="G19">
        <v>439436</v>
      </c>
      <c r="H19">
        <v>266776</v>
      </c>
      <c r="I19">
        <v>1072010</v>
      </c>
      <c r="J19">
        <v>370926</v>
      </c>
      <c r="K19">
        <v>552146</v>
      </c>
    </row>
    <row r="20" spans="1:11" x14ac:dyDescent="0.35">
      <c r="A20">
        <v>2025</v>
      </c>
      <c r="B20">
        <v>4</v>
      </c>
      <c r="C20" t="s">
        <v>67</v>
      </c>
      <c r="D20" t="s">
        <v>307</v>
      </c>
      <c r="E20">
        <v>156424</v>
      </c>
      <c r="F20">
        <v>474144</v>
      </c>
      <c r="G20">
        <v>441838</v>
      </c>
      <c r="H20">
        <v>266776</v>
      </c>
      <c r="I20">
        <v>1072736</v>
      </c>
      <c r="J20">
        <v>368426</v>
      </c>
      <c r="K20">
        <v>555249</v>
      </c>
    </row>
    <row r="21" spans="1:11" x14ac:dyDescent="0.35">
      <c r="A21">
        <v>2025</v>
      </c>
      <c r="B21">
        <v>5</v>
      </c>
      <c r="C21" t="s">
        <v>68</v>
      </c>
      <c r="D21" t="s">
        <v>307</v>
      </c>
      <c r="E21">
        <v>159255</v>
      </c>
      <c r="F21">
        <v>500957</v>
      </c>
      <c r="G21">
        <v>484055</v>
      </c>
      <c r="H21">
        <v>266776</v>
      </c>
      <c r="I21">
        <v>1071445</v>
      </c>
      <c r="J21">
        <v>373894</v>
      </c>
      <c r="K21">
        <v>585110</v>
      </c>
    </row>
    <row r="22" spans="1:11" x14ac:dyDescent="0.35">
      <c r="A22">
        <v>2025</v>
      </c>
      <c r="B22">
        <v>6</v>
      </c>
      <c r="C22" t="s">
        <v>69</v>
      </c>
      <c r="D22" t="s">
        <v>307</v>
      </c>
      <c r="E22">
        <v>160390</v>
      </c>
      <c r="F22">
        <v>470994</v>
      </c>
      <c r="G22">
        <v>438833</v>
      </c>
      <c r="H22">
        <v>266776</v>
      </c>
      <c r="I22">
        <v>1080842</v>
      </c>
      <c r="J22">
        <v>373426</v>
      </c>
      <c r="K22">
        <v>550249</v>
      </c>
    </row>
    <row r="23" spans="1:11" x14ac:dyDescent="0.35">
      <c r="A23">
        <v>2025</v>
      </c>
      <c r="B23">
        <v>7</v>
      </c>
      <c r="C23" t="s">
        <v>70</v>
      </c>
      <c r="D23" t="s">
        <v>307</v>
      </c>
      <c r="E23">
        <v>160704</v>
      </c>
      <c r="F23">
        <v>470989</v>
      </c>
      <c r="G23">
        <v>438833</v>
      </c>
      <c r="H23">
        <v>266776</v>
      </c>
      <c r="I23">
        <v>1075239</v>
      </c>
      <c r="J23">
        <v>373426</v>
      </c>
      <c r="K23">
        <v>551038</v>
      </c>
    </row>
    <row r="24" spans="1:11" x14ac:dyDescent="0.35">
      <c r="A24">
        <v>2025</v>
      </c>
      <c r="B24">
        <v>8</v>
      </c>
      <c r="C24" t="s">
        <v>71</v>
      </c>
      <c r="D24" t="s">
        <v>307</v>
      </c>
      <c r="E24">
        <v>161123</v>
      </c>
      <c r="F24">
        <v>471315</v>
      </c>
      <c r="G24">
        <v>438833</v>
      </c>
      <c r="H24">
        <v>266776</v>
      </c>
      <c r="I24">
        <v>1092136</v>
      </c>
      <c r="J24">
        <v>373426</v>
      </c>
      <c r="K24">
        <v>552146</v>
      </c>
    </row>
    <row r="25" spans="1:11" x14ac:dyDescent="0.35">
      <c r="A25">
        <v>2025</v>
      </c>
      <c r="B25">
        <v>9</v>
      </c>
      <c r="C25" t="s">
        <v>72</v>
      </c>
      <c r="D25" t="s">
        <v>307</v>
      </c>
      <c r="E25">
        <v>161412</v>
      </c>
      <c r="F25">
        <v>471160</v>
      </c>
      <c r="G25">
        <v>438835</v>
      </c>
      <c r="H25">
        <v>266776</v>
      </c>
      <c r="I25">
        <v>1094096</v>
      </c>
      <c r="J25">
        <v>370926</v>
      </c>
      <c r="K25">
        <v>551222</v>
      </c>
    </row>
    <row r="26" spans="1:11" x14ac:dyDescent="0.35">
      <c r="A26">
        <v>2025</v>
      </c>
      <c r="B26">
        <v>10</v>
      </c>
      <c r="C26" t="s">
        <v>73</v>
      </c>
      <c r="D26" t="s">
        <v>307</v>
      </c>
      <c r="E26">
        <v>164872</v>
      </c>
      <c r="F26">
        <v>468843</v>
      </c>
      <c r="G26">
        <v>441333</v>
      </c>
      <c r="H26">
        <v>266776</v>
      </c>
      <c r="I26">
        <v>1034206</v>
      </c>
      <c r="J26">
        <v>360926</v>
      </c>
      <c r="K26">
        <v>549646</v>
      </c>
    </row>
    <row r="27" spans="1:11" x14ac:dyDescent="0.35">
      <c r="A27">
        <v>2025</v>
      </c>
      <c r="B27">
        <v>11</v>
      </c>
      <c r="C27" t="s">
        <v>74</v>
      </c>
      <c r="D27" t="s">
        <v>307</v>
      </c>
      <c r="E27">
        <v>165180</v>
      </c>
      <c r="F27">
        <v>469078</v>
      </c>
      <c r="G27">
        <v>441333</v>
      </c>
      <c r="H27">
        <v>266776</v>
      </c>
      <c r="I27">
        <v>1120700</v>
      </c>
      <c r="J27">
        <v>360926</v>
      </c>
      <c r="K27">
        <v>549646</v>
      </c>
    </row>
    <row r="28" spans="1:11" x14ac:dyDescent="0.35">
      <c r="A28">
        <v>2025</v>
      </c>
      <c r="B28">
        <v>12</v>
      </c>
      <c r="C28" t="s">
        <v>75</v>
      </c>
      <c r="D28" t="s">
        <v>307</v>
      </c>
      <c r="E28">
        <v>165239</v>
      </c>
      <c r="F28">
        <v>470198</v>
      </c>
      <c r="G28">
        <v>441838</v>
      </c>
      <c r="H28">
        <v>266776</v>
      </c>
      <c r="I28">
        <v>1034206</v>
      </c>
      <c r="J28">
        <v>360926</v>
      </c>
      <c r="K28">
        <v>549647</v>
      </c>
    </row>
  </sheetData>
  <mergeCells count="1">
    <mergeCell ref="A1:K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308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309</v>
      </c>
      <c r="E5">
        <v>5108</v>
      </c>
      <c r="F5">
        <v>880819</v>
      </c>
      <c r="G5">
        <v>833220</v>
      </c>
      <c r="H5">
        <v>661667</v>
      </c>
      <c r="I5">
        <v>1436081</v>
      </c>
      <c r="J5">
        <v>731520</v>
      </c>
      <c r="K5">
        <v>949587</v>
      </c>
    </row>
    <row r="6" spans="1:11" x14ac:dyDescent="0.35">
      <c r="A6">
        <v>2024</v>
      </c>
      <c r="B6">
        <v>2</v>
      </c>
      <c r="C6" t="s">
        <v>63</v>
      </c>
      <c r="D6" t="s">
        <v>309</v>
      </c>
      <c r="E6">
        <v>5165</v>
      </c>
      <c r="F6">
        <v>883027</v>
      </c>
      <c r="G6">
        <v>837616</v>
      </c>
      <c r="H6">
        <v>669169</v>
      </c>
      <c r="I6">
        <v>1433582</v>
      </c>
      <c r="J6">
        <v>731520</v>
      </c>
      <c r="K6">
        <v>953334</v>
      </c>
    </row>
    <row r="7" spans="1:11" x14ac:dyDescent="0.35">
      <c r="A7">
        <v>2024</v>
      </c>
      <c r="B7">
        <v>3</v>
      </c>
      <c r="C7" t="s">
        <v>66</v>
      </c>
      <c r="D7" t="s">
        <v>309</v>
      </c>
      <c r="E7">
        <v>5044</v>
      </c>
      <c r="F7">
        <v>871992</v>
      </c>
      <c r="G7">
        <v>827616</v>
      </c>
      <c r="H7">
        <v>659169</v>
      </c>
      <c r="I7">
        <v>1436081</v>
      </c>
      <c r="J7">
        <v>731520</v>
      </c>
      <c r="K7">
        <v>929082</v>
      </c>
    </row>
    <row r="8" spans="1:11" x14ac:dyDescent="0.35">
      <c r="A8">
        <v>2024</v>
      </c>
      <c r="B8">
        <v>4</v>
      </c>
      <c r="C8" t="s">
        <v>67</v>
      </c>
      <c r="D8" t="s">
        <v>309</v>
      </c>
      <c r="E8">
        <v>5032</v>
      </c>
      <c r="F8">
        <v>871422</v>
      </c>
      <c r="G8">
        <v>827616</v>
      </c>
      <c r="H8">
        <v>659169</v>
      </c>
      <c r="I8">
        <v>1436081</v>
      </c>
      <c r="J8">
        <v>731520</v>
      </c>
      <c r="K8">
        <v>924082</v>
      </c>
    </row>
    <row r="9" spans="1:11" x14ac:dyDescent="0.35">
      <c r="A9">
        <v>2024</v>
      </c>
      <c r="B9">
        <v>5</v>
      </c>
      <c r="C9" t="s">
        <v>68</v>
      </c>
      <c r="D9" t="s">
        <v>309</v>
      </c>
      <c r="E9">
        <v>4943</v>
      </c>
      <c r="F9">
        <v>874579</v>
      </c>
      <c r="G9">
        <v>828219</v>
      </c>
      <c r="H9">
        <v>659169</v>
      </c>
      <c r="I9">
        <v>1436081</v>
      </c>
      <c r="J9">
        <v>730645</v>
      </c>
      <c r="K9">
        <v>931582</v>
      </c>
    </row>
    <row r="10" spans="1:11" x14ac:dyDescent="0.35">
      <c r="A10">
        <v>2024</v>
      </c>
      <c r="B10">
        <v>6</v>
      </c>
      <c r="C10" t="s">
        <v>69</v>
      </c>
      <c r="D10" t="s">
        <v>309</v>
      </c>
      <c r="E10">
        <v>4904</v>
      </c>
      <c r="F10">
        <v>877853</v>
      </c>
      <c r="G10">
        <v>827616</v>
      </c>
      <c r="H10">
        <v>659169</v>
      </c>
      <c r="I10">
        <v>1436081</v>
      </c>
      <c r="J10">
        <v>731520</v>
      </c>
      <c r="K10">
        <v>943060</v>
      </c>
    </row>
    <row r="11" spans="1:11" x14ac:dyDescent="0.35">
      <c r="A11">
        <v>2024</v>
      </c>
      <c r="B11">
        <v>7</v>
      </c>
      <c r="C11" t="s">
        <v>70</v>
      </c>
      <c r="D11" t="s">
        <v>309</v>
      </c>
      <c r="E11">
        <v>5362</v>
      </c>
      <c r="F11">
        <v>892288</v>
      </c>
      <c r="G11">
        <v>840721</v>
      </c>
      <c r="H11">
        <v>659169</v>
      </c>
      <c r="I11">
        <v>1436081</v>
      </c>
      <c r="J11">
        <v>731520</v>
      </c>
      <c r="K11">
        <v>1024762</v>
      </c>
    </row>
    <row r="12" spans="1:11" x14ac:dyDescent="0.35">
      <c r="A12">
        <v>2024</v>
      </c>
      <c r="B12">
        <v>8</v>
      </c>
      <c r="C12" t="s">
        <v>71</v>
      </c>
      <c r="D12" t="s">
        <v>309</v>
      </c>
      <c r="E12">
        <v>5678</v>
      </c>
      <c r="F12">
        <v>902963</v>
      </c>
      <c r="G12">
        <v>848675</v>
      </c>
      <c r="H12">
        <v>659169</v>
      </c>
      <c r="I12">
        <v>1514138</v>
      </c>
      <c r="J12">
        <v>723145</v>
      </c>
      <c r="K12">
        <v>1052347</v>
      </c>
    </row>
    <row r="13" spans="1:11" x14ac:dyDescent="0.35">
      <c r="A13">
        <v>2024</v>
      </c>
      <c r="B13">
        <v>9</v>
      </c>
      <c r="C13" t="s">
        <v>72</v>
      </c>
      <c r="D13" t="s">
        <v>309</v>
      </c>
      <c r="E13">
        <v>5825</v>
      </c>
      <c r="F13">
        <v>881132</v>
      </c>
      <c r="G13">
        <v>830116</v>
      </c>
      <c r="H13">
        <v>659169</v>
      </c>
      <c r="I13">
        <v>1436081</v>
      </c>
      <c r="J13">
        <v>716669</v>
      </c>
      <c r="K13">
        <v>980646</v>
      </c>
    </row>
    <row r="14" spans="1:11" x14ac:dyDescent="0.35">
      <c r="A14">
        <v>2024</v>
      </c>
      <c r="B14">
        <v>10</v>
      </c>
      <c r="C14" t="s">
        <v>73</v>
      </c>
      <c r="D14" t="s">
        <v>309</v>
      </c>
      <c r="E14">
        <v>5881</v>
      </c>
      <c r="F14">
        <v>880348</v>
      </c>
      <c r="G14">
        <v>828221</v>
      </c>
      <c r="H14">
        <v>656669</v>
      </c>
      <c r="I14">
        <v>1436081</v>
      </c>
      <c r="J14">
        <v>715645</v>
      </c>
      <c r="K14">
        <v>980646</v>
      </c>
    </row>
    <row r="15" spans="1:11" x14ac:dyDescent="0.35">
      <c r="A15">
        <v>2024</v>
      </c>
      <c r="B15">
        <v>11</v>
      </c>
      <c r="C15" t="s">
        <v>74</v>
      </c>
      <c r="D15" t="s">
        <v>309</v>
      </c>
      <c r="E15">
        <v>5888</v>
      </c>
      <c r="F15">
        <v>881166</v>
      </c>
      <c r="G15">
        <v>828221</v>
      </c>
      <c r="H15">
        <v>656667</v>
      </c>
      <c r="I15">
        <v>1436081</v>
      </c>
      <c r="J15">
        <v>716669</v>
      </c>
      <c r="K15">
        <v>977543</v>
      </c>
    </row>
    <row r="16" spans="1:11" x14ac:dyDescent="0.35">
      <c r="A16">
        <v>2024</v>
      </c>
      <c r="B16">
        <v>12</v>
      </c>
      <c r="C16" t="s">
        <v>75</v>
      </c>
      <c r="D16" t="s">
        <v>309</v>
      </c>
      <c r="E16">
        <v>5859</v>
      </c>
      <c r="F16">
        <v>881633</v>
      </c>
      <c r="G16">
        <v>828221</v>
      </c>
      <c r="H16">
        <v>656667</v>
      </c>
      <c r="I16">
        <v>1436081</v>
      </c>
      <c r="J16">
        <v>715646</v>
      </c>
      <c r="K16">
        <v>980646</v>
      </c>
    </row>
    <row r="17" spans="1:11" x14ac:dyDescent="0.35">
      <c r="A17">
        <v>2025</v>
      </c>
      <c r="B17">
        <v>1</v>
      </c>
      <c r="C17" t="s">
        <v>42</v>
      </c>
      <c r="D17" t="s">
        <v>309</v>
      </c>
      <c r="E17">
        <v>5732</v>
      </c>
      <c r="F17">
        <v>881577</v>
      </c>
      <c r="G17">
        <v>828221</v>
      </c>
      <c r="H17">
        <v>669169</v>
      </c>
      <c r="I17">
        <v>1436081</v>
      </c>
      <c r="J17">
        <v>723145</v>
      </c>
      <c r="K17">
        <v>980646</v>
      </c>
    </row>
    <row r="18" spans="1:11" x14ac:dyDescent="0.35">
      <c r="A18">
        <v>2025</v>
      </c>
      <c r="B18">
        <v>2</v>
      </c>
      <c r="C18" t="s">
        <v>63</v>
      </c>
      <c r="D18" t="s">
        <v>309</v>
      </c>
      <c r="E18">
        <v>5854</v>
      </c>
      <c r="F18">
        <v>890374</v>
      </c>
      <c r="G18">
        <v>835116</v>
      </c>
      <c r="H18">
        <v>656667</v>
      </c>
      <c r="I18">
        <v>1504153</v>
      </c>
      <c r="J18">
        <v>719351</v>
      </c>
      <c r="K18">
        <v>997543</v>
      </c>
    </row>
    <row r="19" spans="1:11" x14ac:dyDescent="0.35">
      <c r="A19">
        <v>2025</v>
      </c>
      <c r="B19">
        <v>3</v>
      </c>
      <c r="C19" t="s">
        <v>66</v>
      </c>
      <c r="D19" t="s">
        <v>309</v>
      </c>
      <c r="E19">
        <v>5463</v>
      </c>
      <c r="F19">
        <v>882257</v>
      </c>
      <c r="G19">
        <v>830116</v>
      </c>
      <c r="H19">
        <v>656667</v>
      </c>
      <c r="I19">
        <v>1508539</v>
      </c>
      <c r="J19">
        <v>718145</v>
      </c>
      <c r="K19">
        <v>973146</v>
      </c>
    </row>
    <row r="20" spans="1:11" x14ac:dyDescent="0.35">
      <c r="A20">
        <v>2025</v>
      </c>
      <c r="B20">
        <v>4</v>
      </c>
      <c r="C20" t="s">
        <v>67</v>
      </c>
      <c r="D20" t="s">
        <v>309</v>
      </c>
      <c r="E20">
        <v>5848</v>
      </c>
      <c r="F20">
        <v>890233</v>
      </c>
      <c r="G20">
        <v>835116</v>
      </c>
      <c r="H20">
        <v>656667</v>
      </c>
      <c r="I20">
        <v>1504153</v>
      </c>
      <c r="J20">
        <v>723145</v>
      </c>
      <c r="K20">
        <v>995646</v>
      </c>
    </row>
    <row r="21" spans="1:11" x14ac:dyDescent="0.35">
      <c r="A21">
        <v>2025</v>
      </c>
      <c r="B21">
        <v>5</v>
      </c>
      <c r="C21" t="s">
        <v>68</v>
      </c>
      <c r="D21" t="s">
        <v>309</v>
      </c>
      <c r="E21">
        <v>5994</v>
      </c>
      <c r="F21">
        <v>891773</v>
      </c>
      <c r="G21">
        <v>840855</v>
      </c>
      <c r="H21">
        <v>656667</v>
      </c>
      <c r="I21">
        <v>1457068</v>
      </c>
      <c r="J21">
        <v>718145</v>
      </c>
      <c r="K21">
        <v>1019635</v>
      </c>
    </row>
    <row r="22" spans="1:11" x14ac:dyDescent="0.35">
      <c r="A22">
        <v>2025</v>
      </c>
      <c r="B22">
        <v>6</v>
      </c>
      <c r="C22" t="s">
        <v>69</v>
      </c>
      <c r="D22" t="s">
        <v>309</v>
      </c>
      <c r="E22">
        <v>6154</v>
      </c>
      <c r="F22">
        <v>884174</v>
      </c>
      <c r="G22">
        <v>833355</v>
      </c>
      <c r="H22">
        <v>656667</v>
      </c>
      <c r="I22">
        <v>1451081</v>
      </c>
      <c r="J22">
        <v>715645</v>
      </c>
      <c r="K22">
        <v>990646</v>
      </c>
    </row>
    <row r="23" spans="1:11" x14ac:dyDescent="0.35">
      <c r="A23">
        <v>2025</v>
      </c>
      <c r="B23">
        <v>7</v>
      </c>
      <c r="C23" t="s">
        <v>70</v>
      </c>
      <c r="D23" t="s">
        <v>309</v>
      </c>
      <c r="E23">
        <v>6207</v>
      </c>
      <c r="F23">
        <v>884240</v>
      </c>
      <c r="G23">
        <v>832111</v>
      </c>
      <c r="H23">
        <v>656667</v>
      </c>
      <c r="I23">
        <v>1451081</v>
      </c>
      <c r="J23">
        <v>710646</v>
      </c>
      <c r="K23">
        <v>997543</v>
      </c>
    </row>
    <row r="24" spans="1:11" x14ac:dyDescent="0.35">
      <c r="A24">
        <v>2025</v>
      </c>
      <c r="B24">
        <v>8</v>
      </c>
      <c r="C24" t="s">
        <v>71</v>
      </c>
      <c r="D24" t="s">
        <v>309</v>
      </c>
      <c r="E24">
        <v>6285</v>
      </c>
      <c r="F24">
        <v>885702</v>
      </c>
      <c r="G24">
        <v>830855</v>
      </c>
      <c r="H24">
        <v>656667</v>
      </c>
      <c r="I24">
        <v>1451081</v>
      </c>
      <c r="J24">
        <v>710645</v>
      </c>
      <c r="K24">
        <v>1028184</v>
      </c>
    </row>
    <row r="25" spans="1:11" x14ac:dyDescent="0.35">
      <c r="A25">
        <v>2025</v>
      </c>
      <c r="B25">
        <v>9</v>
      </c>
      <c r="C25" t="s">
        <v>72</v>
      </c>
      <c r="D25" t="s">
        <v>309</v>
      </c>
      <c r="E25">
        <v>6409</v>
      </c>
      <c r="F25">
        <v>883531</v>
      </c>
      <c r="G25">
        <v>830116</v>
      </c>
      <c r="H25">
        <v>656667</v>
      </c>
      <c r="I25">
        <v>1451081</v>
      </c>
      <c r="J25">
        <v>710645</v>
      </c>
      <c r="K25">
        <v>1024525</v>
      </c>
    </row>
    <row r="26" spans="1:11" x14ac:dyDescent="0.35">
      <c r="A26">
        <v>2025</v>
      </c>
      <c r="B26">
        <v>10</v>
      </c>
      <c r="C26" t="s">
        <v>73</v>
      </c>
      <c r="D26" t="s">
        <v>309</v>
      </c>
      <c r="E26">
        <v>6378</v>
      </c>
      <c r="F26">
        <v>889264</v>
      </c>
      <c r="G26">
        <v>833355</v>
      </c>
      <c r="H26">
        <v>656667</v>
      </c>
      <c r="I26">
        <v>1459353</v>
      </c>
      <c r="J26">
        <v>710645</v>
      </c>
      <c r="K26">
        <v>1035684</v>
      </c>
    </row>
    <row r="27" spans="1:11" x14ac:dyDescent="0.35">
      <c r="A27">
        <v>2025</v>
      </c>
      <c r="B27">
        <v>11</v>
      </c>
      <c r="C27" t="s">
        <v>74</v>
      </c>
      <c r="D27" t="s">
        <v>309</v>
      </c>
      <c r="E27">
        <v>6391</v>
      </c>
      <c r="F27">
        <v>889163</v>
      </c>
      <c r="G27">
        <v>833355</v>
      </c>
      <c r="H27">
        <v>656667</v>
      </c>
      <c r="I27">
        <v>1474303</v>
      </c>
      <c r="J27">
        <v>715645</v>
      </c>
      <c r="K27">
        <v>1041608</v>
      </c>
    </row>
    <row r="28" spans="1:11" x14ac:dyDescent="0.35">
      <c r="A28">
        <v>2025</v>
      </c>
      <c r="B28">
        <v>12</v>
      </c>
      <c r="C28" t="s">
        <v>75</v>
      </c>
      <c r="D28" t="s">
        <v>309</v>
      </c>
      <c r="E28">
        <v>6424</v>
      </c>
      <c r="F28">
        <v>889022</v>
      </c>
      <c r="G28">
        <v>833355</v>
      </c>
      <c r="H28">
        <v>656667</v>
      </c>
      <c r="I28">
        <v>1451081</v>
      </c>
      <c r="J28">
        <v>715645</v>
      </c>
      <c r="K28">
        <v>1040733</v>
      </c>
    </row>
  </sheetData>
  <mergeCells count="1">
    <mergeCell ref="A1:K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311</v>
      </c>
      <c r="E5">
        <v>1047</v>
      </c>
      <c r="F5">
        <v>439318</v>
      </c>
      <c r="G5">
        <v>396900</v>
      </c>
      <c r="H5">
        <v>309915</v>
      </c>
      <c r="I5">
        <v>812667</v>
      </c>
      <c r="J5">
        <v>358242</v>
      </c>
      <c r="K5">
        <v>483921</v>
      </c>
    </row>
    <row r="6" spans="1:11" x14ac:dyDescent="0.35">
      <c r="A6">
        <v>2024</v>
      </c>
      <c r="B6">
        <v>2</v>
      </c>
      <c r="C6" t="s">
        <v>63</v>
      </c>
      <c r="D6" t="s">
        <v>311</v>
      </c>
      <c r="E6">
        <v>1093</v>
      </c>
      <c r="F6">
        <v>439787</v>
      </c>
      <c r="G6">
        <v>399301</v>
      </c>
      <c r="H6">
        <v>309915</v>
      </c>
      <c r="I6">
        <v>812667</v>
      </c>
      <c r="J6">
        <v>364634</v>
      </c>
      <c r="K6">
        <v>483921</v>
      </c>
    </row>
    <row r="7" spans="1:11" x14ac:dyDescent="0.35">
      <c r="A7">
        <v>2024</v>
      </c>
      <c r="B7">
        <v>3</v>
      </c>
      <c r="C7" t="s">
        <v>66</v>
      </c>
      <c r="D7" t="s">
        <v>311</v>
      </c>
      <c r="E7">
        <v>1040</v>
      </c>
      <c r="F7">
        <v>449541</v>
      </c>
      <c r="G7">
        <v>411061</v>
      </c>
      <c r="H7">
        <v>309915</v>
      </c>
      <c r="I7">
        <v>812667</v>
      </c>
      <c r="J7">
        <v>365741</v>
      </c>
      <c r="K7">
        <v>509424</v>
      </c>
    </row>
    <row r="8" spans="1:11" x14ac:dyDescent="0.35">
      <c r="A8">
        <v>2024</v>
      </c>
      <c r="B8">
        <v>4</v>
      </c>
      <c r="C8" t="s">
        <v>67</v>
      </c>
      <c r="D8" t="s">
        <v>311</v>
      </c>
      <c r="E8">
        <v>1091</v>
      </c>
      <c r="F8">
        <v>441528</v>
      </c>
      <c r="G8">
        <v>399351</v>
      </c>
      <c r="H8">
        <v>309915</v>
      </c>
      <c r="I8">
        <v>812667</v>
      </c>
      <c r="J8">
        <v>364634</v>
      </c>
      <c r="K8">
        <v>488921</v>
      </c>
    </row>
    <row r="9" spans="1:11" x14ac:dyDescent="0.35">
      <c r="A9">
        <v>2024</v>
      </c>
      <c r="B9">
        <v>5</v>
      </c>
      <c r="C9" t="s">
        <v>68</v>
      </c>
      <c r="D9" t="s">
        <v>311</v>
      </c>
      <c r="E9">
        <v>1093</v>
      </c>
      <c r="F9">
        <v>440138</v>
      </c>
      <c r="G9">
        <v>399351</v>
      </c>
      <c r="H9">
        <v>309915</v>
      </c>
      <c r="I9">
        <v>812667</v>
      </c>
      <c r="J9">
        <v>364634</v>
      </c>
      <c r="K9">
        <v>484842</v>
      </c>
    </row>
    <row r="10" spans="1:11" x14ac:dyDescent="0.35">
      <c r="A10">
        <v>2024</v>
      </c>
      <c r="B10">
        <v>6</v>
      </c>
      <c r="C10" t="s">
        <v>69</v>
      </c>
      <c r="D10" t="s">
        <v>311</v>
      </c>
      <c r="E10">
        <v>1093</v>
      </c>
      <c r="F10">
        <v>440415</v>
      </c>
      <c r="G10">
        <v>399351</v>
      </c>
      <c r="H10">
        <v>309915</v>
      </c>
      <c r="I10">
        <v>812667</v>
      </c>
      <c r="J10">
        <v>364634</v>
      </c>
      <c r="K10">
        <v>484842</v>
      </c>
    </row>
    <row r="11" spans="1:11" x14ac:dyDescent="0.35">
      <c r="A11">
        <v>2024</v>
      </c>
      <c r="B11">
        <v>7</v>
      </c>
      <c r="C11" t="s">
        <v>70</v>
      </c>
      <c r="D11" t="s">
        <v>311</v>
      </c>
      <c r="E11">
        <v>1092</v>
      </c>
      <c r="F11">
        <v>441580</v>
      </c>
      <c r="G11">
        <v>402404</v>
      </c>
      <c r="H11">
        <v>309915</v>
      </c>
      <c r="I11">
        <v>812667</v>
      </c>
      <c r="J11">
        <v>365741</v>
      </c>
      <c r="K11">
        <v>488921</v>
      </c>
    </row>
    <row r="12" spans="1:11" x14ac:dyDescent="0.35">
      <c r="A12">
        <v>2024</v>
      </c>
      <c r="B12">
        <v>8</v>
      </c>
      <c r="C12" t="s">
        <v>71</v>
      </c>
      <c r="D12" t="s">
        <v>311</v>
      </c>
      <c r="E12">
        <v>1089</v>
      </c>
      <c r="F12">
        <v>442511</v>
      </c>
      <c r="G12">
        <v>401851</v>
      </c>
      <c r="H12">
        <v>309915</v>
      </c>
      <c r="I12">
        <v>812667</v>
      </c>
      <c r="J12">
        <v>365741</v>
      </c>
      <c r="K12">
        <v>491001</v>
      </c>
    </row>
    <row r="13" spans="1:11" x14ac:dyDescent="0.35">
      <c r="A13">
        <v>2024</v>
      </c>
      <c r="B13">
        <v>9</v>
      </c>
      <c r="C13" t="s">
        <v>72</v>
      </c>
      <c r="D13" t="s">
        <v>311</v>
      </c>
      <c r="E13">
        <v>1089</v>
      </c>
      <c r="F13">
        <v>441744</v>
      </c>
      <c r="G13">
        <v>402404</v>
      </c>
      <c r="H13">
        <v>309915</v>
      </c>
      <c r="I13">
        <v>812667</v>
      </c>
      <c r="J13">
        <v>364634</v>
      </c>
      <c r="K13">
        <v>488500</v>
      </c>
    </row>
    <row r="14" spans="1:11" x14ac:dyDescent="0.35">
      <c r="A14">
        <v>2024</v>
      </c>
      <c r="B14">
        <v>10</v>
      </c>
      <c r="C14" t="s">
        <v>73</v>
      </c>
      <c r="D14" t="s">
        <v>311</v>
      </c>
      <c r="E14">
        <v>1093</v>
      </c>
      <c r="F14">
        <v>442638</v>
      </c>
      <c r="G14">
        <v>401851</v>
      </c>
      <c r="H14">
        <v>309915</v>
      </c>
      <c r="I14">
        <v>812667</v>
      </c>
      <c r="J14">
        <v>364634</v>
      </c>
      <c r="K14">
        <v>488919</v>
      </c>
    </row>
    <row r="15" spans="1:11" x14ac:dyDescent="0.35">
      <c r="A15">
        <v>2024</v>
      </c>
      <c r="B15">
        <v>11</v>
      </c>
      <c r="C15" t="s">
        <v>74</v>
      </c>
      <c r="D15" t="s">
        <v>311</v>
      </c>
      <c r="E15">
        <v>1091</v>
      </c>
      <c r="F15">
        <v>442513</v>
      </c>
      <c r="G15">
        <v>400741</v>
      </c>
      <c r="H15">
        <v>309915</v>
      </c>
      <c r="I15">
        <v>812667</v>
      </c>
      <c r="J15">
        <v>365741</v>
      </c>
      <c r="K15">
        <v>491050</v>
      </c>
    </row>
    <row r="16" spans="1:11" x14ac:dyDescent="0.35">
      <c r="A16">
        <v>2024</v>
      </c>
      <c r="B16">
        <v>12</v>
      </c>
      <c r="C16" t="s">
        <v>75</v>
      </c>
      <c r="D16" t="s">
        <v>311</v>
      </c>
      <c r="E16">
        <v>1130</v>
      </c>
      <c r="F16">
        <v>440329</v>
      </c>
      <c r="G16">
        <v>399904</v>
      </c>
      <c r="H16">
        <v>309915</v>
      </c>
      <c r="I16">
        <v>812667</v>
      </c>
      <c r="J16">
        <v>363241</v>
      </c>
      <c r="K16">
        <v>486604</v>
      </c>
    </row>
    <row r="17" spans="1:11" x14ac:dyDescent="0.35">
      <c r="A17">
        <v>2025</v>
      </c>
      <c r="B17">
        <v>1</v>
      </c>
      <c r="C17" t="s">
        <v>42</v>
      </c>
      <c r="D17" t="s">
        <v>311</v>
      </c>
      <c r="E17">
        <v>1133</v>
      </c>
      <c r="F17">
        <v>455885</v>
      </c>
      <c r="G17">
        <v>419300</v>
      </c>
      <c r="H17">
        <v>309915</v>
      </c>
      <c r="I17">
        <v>812667</v>
      </c>
      <c r="J17">
        <v>369634</v>
      </c>
      <c r="K17">
        <v>519929</v>
      </c>
    </row>
    <row r="18" spans="1:11" x14ac:dyDescent="0.35">
      <c r="A18">
        <v>2025</v>
      </c>
      <c r="B18">
        <v>2</v>
      </c>
      <c r="C18" t="s">
        <v>63</v>
      </c>
      <c r="D18" t="s">
        <v>311</v>
      </c>
      <c r="E18">
        <v>1160</v>
      </c>
      <c r="F18">
        <v>445919</v>
      </c>
      <c r="G18">
        <v>409326</v>
      </c>
      <c r="H18">
        <v>309915</v>
      </c>
      <c r="I18">
        <v>817666</v>
      </c>
      <c r="J18">
        <v>365741</v>
      </c>
      <c r="K18">
        <v>496051</v>
      </c>
    </row>
    <row r="19" spans="1:11" x14ac:dyDescent="0.35">
      <c r="A19">
        <v>2025</v>
      </c>
      <c r="B19">
        <v>3</v>
      </c>
      <c r="C19" t="s">
        <v>66</v>
      </c>
      <c r="D19" t="s">
        <v>311</v>
      </c>
      <c r="E19">
        <v>1158</v>
      </c>
      <c r="F19">
        <v>445989</v>
      </c>
      <c r="G19">
        <v>412128</v>
      </c>
      <c r="H19">
        <v>309915</v>
      </c>
      <c r="I19">
        <v>817666</v>
      </c>
      <c r="J19">
        <v>365741</v>
      </c>
      <c r="K19">
        <v>496419</v>
      </c>
    </row>
    <row r="20" spans="1:11" x14ac:dyDescent="0.35">
      <c r="A20">
        <v>2025</v>
      </c>
      <c r="B20">
        <v>4</v>
      </c>
      <c r="C20" t="s">
        <v>67</v>
      </c>
      <c r="D20" t="s">
        <v>311</v>
      </c>
      <c r="E20">
        <v>1160</v>
      </c>
      <c r="F20">
        <v>445919</v>
      </c>
      <c r="G20">
        <v>409326</v>
      </c>
      <c r="H20">
        <v>309915</v>
      </c>
      <c r="I20">
        <v>817666</v>
      </c>
      <c r="J20">
        <v>365741</v>
      </c>
      <c r="K20">
        <v>496051</v>
      </c>
    </row>
    <row r="21" spans="1:11" x14ac:dyDescent="0.35">
      <c r="A21">
        <v>2025</v>
      </c>
      <c r="B21">
        <v>5</v>
      </c>
      <c r="C21" t="s">
        <v>68</v>
      </c>
      <c r="D21" t="s">
        <v>311</v>
      </c>
      <c r="E21">
        <v>1157</v>
      </c>
      <c r="F21">
        <v>447062</v>
      </c>
      <c r="G21">
        <v>411851</v>
      </c>
      <c r="H21">
        <v>309915</v>
      </c>
      <c r="I21">
        <v>817666</v>
      </c>
      <c r="J21">
        <v>366900</v>
      </c>
      <c r="K21">
        <v>498549</v>
      </c>
    </row>
    <row r="22" spans="1:11" x14ac:dyDescent="0.35">
      <c r="A22">
        <v>2025</v>
      </c>
      <c r="B22">
        <v>6</v>
      </c>
      <c r="C22" t="s">
        <v>69</v>
      </c>
      <c r="D22" t="s">
        <v>311</v>
      </c>
      <c r="E22">
        <v>1154</v>
      </c>
      <c r="F22">
        <v>455475</v>
      </c>
      <c r="G22">
        <v>420409</v>
      </c>
      <c r="H22">
        <v>309915</v>
      </c>
      <c r="I22">
        <v>849332</v>
      </c>
      <c r="J22">
        <v>371898</v>
      </c>
      <c r="K22">
        <v>514424</v>
      </c>
    </row>
    <row r="23" spans="1:11" x14ac:dyDescent="0.35">
      <c r="A23">
        <v>2025</v>
      </c>
      <c r="B23">
        <v>7</v>
      </c>
      <c r="C23" t="s">
        <v>70</v>
      </c>
      <c r="D23" t="s">
        <v>311</v>
      </c>
      <c r="E23">
        <v>1111</v>
      </c>
      <c r="F23">
        <v>453963</v>
      </c>
      <c r="G23">
        <v>412909</v>
      </c>
      <c r="H23">
        <v>309915</v>
      </c>
      <c r="I23">
        <v>851336</v>
      </c>
      <c r="J23">
        <v>370741</v>
      </c>
      <c r="K23">
        <v>514424</v>
      </c>
    </row>
    <row r="24" spans="1:11" x14ac:dyDescent="0.35">
      <c r="A24">
        <v>2025</v>
      </c>
      <c r="B24">
        <v>8</v>
      </c>
      <c r="C24" t="s">
        <v>71</v>
      </c>
      <c r="D24" t="s">
        <v>311</v>
      </c>
      <c r="E24">
        <v>1154</v>
      </c>
      <c r="F24">
        <v>445541</v>
      </c>
      <c r="G24">
        <v>407404</v>
      </c>
      <c r="H24">
        <v>309915</v>
      </c>
      <c r="I24">
        <v>817666</v>
      </c>
      <c r="J24">
        <v>366898</v>
      </c>
      <c r="K24">
        <v>498550</v>
      </c>
    </row>
    <row r="25" spans="1:11" x14ac:dyDescent="0.35">
      <c r="A25">
        <v>2025</v>
      </c>
      <c r="B25">
        <v>9</v>
      </c>
      <c r="C25" t="s">
        <v>72</v>
      </c>
      <c r="D25" t="s">
        <v>311</v>
      </c>
      <c r="E25">
        <v>1155</v>
      </c>
      <c r="F25">
        <v>444825</v>
      </c>
      <c r="G25">
        <v>407405</v>
      </c>
      <c r="H25">
        <v>309915</v>
      </c>
      <c r="I25">
        <v>817666</v>
      </c>
      <c r="J25">
        <v>366898</v>
      </c>
      <c r="K25">
        <v>498549</v>
      </c>
    </row>
    <row r="26" spans="1:11" x14ac:dyDescent="0.35">
      <c r="A26">
        <v>2025</v>
      </c>
      <c r="B26">
        <v>10</v>
      </c>
      <c r="C26" t="s">
        <v>73</v>
      </c>
      <c r="D26" t="s">
        <v>311</v>
      </c>
      <c r="E26">
        <v>1154</v>
      </c>
      <c r="F26">
        <v>444789</v>
      </c>
      <c r="G26">
        <v>407404</v>
      </c>
      <c r="H26">
        <v>309915</v>
      </c>
      <c r="I26">
        <v>817666</v>
      </c>
      <c r="J26">
        <v>368241</v>
      </c>
      <c r="K26">
        <v>496421</v>
      </c>
    </row>
    <row r="27" spans="1:11" x14ac:dyDescent="0.35">
      <c r="A27">
        <v>2025</v>
      </c>
      <c r="B27">
        <v>11</v>
      </c>
      <c r="C27" t="s">
        <v>74</v>
      </c>
      <c r="D27" t="s">
        <v>311</v>
      </c>
      <c r="E27">
        <v>1154</v>
      </c>
      <c r="F27">
        <v>444882</v>
      </c>
      <c r="G27">
        <v>407405</v>
      </c>
      <c r="H27">
        <v>309915</v>
      </c>
      <c r="I27">
        <v>817666</v>
      </c>
      <c r="J27">
        <v>368241</v>
      </c>
      <c r="K27">
        <v>496421</v>
      </c>
    </row>
    <row r="28" spans="1:11" x14ac:dyDescent="0.35">
      <c r="A28">
        <v>2025</v>
      </c>
      <c r="B28">
        <v>12</v>
      </c>
      <c r="C28" t="s">
        <v>75</v>
      </c>
      <c r="D28" t="s">
        <v>311</v>
      </c>
      <c r="E28">
        <v>1154</v>
      </c>
      <c r="F28">
        <v>444935</v>
      </c>
      <c r="G28">
        <v>407405</v>
      </c>
      <c r="H28">
        <v>309915</v>
      </c>
      <c r="I28">
        <v>817666</v>
      </c>
      <c r="J28">
        <v>368241</v>
      </c>
      <c r="K28">
        <v>496421</v>
      </c>
    </row>
  </sheetData>
  <mergeCells count="1">
    <mergeCell ref="A1:K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312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313</v>
      </c>
      <c r="E5">
        <v>3211</v>
      </c>
      <c r="F5">
        <v>349078</v>
      </c>
      <c r="G5">
        <v>330286</v>
      </c>
      <c r="H5">
        <v>239743</v>
      </c>
      <c r="I5">
        <v>740916</v>
      </c>
      <c r="J5">
        <v>290752</v>
      </c>
      <c r="K5">
        <v>373474</v>
      </c>
    </row>
    <row r="6" spans="1:11" x14ac:dyDescent="0.35">
      <c r="A6">
        <v>2024</v>
      </c>
      <c r="B6">
        <v>2</v>
      </c>
      <c r="C6" t="s">
        <v>63</v>
      </c>
      <c r="D6" t="s">
        <v>313</v>
      </c>
      <c r="E6">
        <v>3239</v>
      </c>
      <c r="F6">
        <v>352790</v>
      </c>
      <c r="G6">
        <v>330286</v>
      </c>
      <c r="H6">
        <v>239743</v>
      </c>
      <c r="I6">
        <v>740916</v>
      </c>
      <c r="J6">
        <v>290752</v>
      </c>
      <c r="K6">
        <v>380322</v>
      </c>
    </row>
    <row r="7" spans="1:11" x14ac:dyDescent="0.35">
      <c r="A7">
        <v>2024</v>
      </c>
      <c r="B7">
        <v>3</v>
      </c>
      <c r="C7" t="s">
        <v>66</v>
      </c>
      <c r="D7" t="s">
        <v>313</v>
      </c>
      <c r="E7">
        <v>3311</v>
      </c>
      <c r="F7">
        <v>350664</v>
      </c>
      <c r="G7">
        <v>330286</v>
      </c>
      <c r="H7">
        <v>239743</v>
      </c>
      <c r="I7">
        <v>740916</v>
      </c>
      <c r="J7">
        <v>290752</v>
      </c>
      <c r="K7">
        <v>375974</v>
      </c>
    </row>
    <row r="8" spans="1:11" x14ac:dyDescent="0.35">
      <c r="A8">
        <v>2024</v>
      </c>
      <c r="B8">
        <v>4</v>
      </c>
      <c r="C8" t="s">
        <v>67</v>
      </c>
      <c r="D8" t="s">
        <v>313</v>
      </c>
      <c r="E8">
        <v>3409</v>
      </c>
      <c r="F8">
        <v>349730</v>
      </c>
      <c r="G8">
        <v>330286</v>
      </c>
      <c r="H8">
        <v>239743</v>
      </c>
      <c r="I8">
        <v>740916</v>
      </c>
      <c r="J8">
        <v>290752</v>
      </c>
      <c r="K8">
        <v>377822</v>
      </c>
    </row>
    <row r="9" spans="1:11" x14ac:dyDescent="0.35">
      <c r="A9">
        <v>2024</v>
      </c>
      <c r="B9">
        <v>5</v>
      </c>
      <c r="C9" t="s">
        <v>68</v>
      </c>
      <c r="D9" t="s">
        <v>313</v>
      </c>
      <c r="E9">
        <v>3465</v>
      </c>
      <c r="F9">
        <v>348952</v>
      </c>
      <c r="G9">
        <v>328573</v>
      </c>
      <c r="H9">
        <v>239743</v>
      </c>
      <c r="I9">
        <v>740916</v>
      </c>
      <c r="J9">
        <v>290752</v>
      </c>
      <c r="K9">
        <v>375790</v>
      </c>
    </row>
    <row r="10" spans="1:11" x14ac:dyDescent="0.35">
      <c r="A10">
        <v>2024</v>
      </c>
      <c r="B10">
        <v>6</v>
      </c>
      <c r="C10" t="s">
        <v>69</v>
      </c>
      <c r="D10" t="s">
        <v>313</v>
      </c>
      <c r="E10">
        <v>3550</v>
      </c>
      <c r="F10">
        <v>348880</v>
      </c>
      <c r="G10">
        <v>328634</v>
      </c>
      <c r="H10">
        <v>239743</v>
      </c>
      <c r="I10">
        <v>740916</v>
      </c>
      <c r="J10">
        <v>290752</v>
      </c>
      <c r="K10">
        <v>375790</v>
      </c>
    </row>
    <row r="11" spans="1:11" x14ac:dyDescent="0.35">
      <c r="A11">
        <v>2024</v>
      </c>
      <c r="B11">
        <v>7</v>
      </c>
      <c r="C11" t="s">
        <v>70</v>
      </c>
      <c r="D11" t="s">
        <v>313</v>
      </c>
      <c r="E11">
        <v>3599</v>
      </c>
      <c r="F11">
        <v>349289</v>
      </c>
      <c r="G11">
        <v>330286</v>
      </c>
      <c r="H11">
        <v>242797</v>
      </c>
      <c r="I11">
        <v>740916</v>
      </c>
      <c r="J11">
        <v>290752</v>
      </c>
      <c r="K11">
        <v>377065</v>
      </c>
    </row>
    <row r="12" spans="1:11" x14ac:dyDescent="0.35">
      <c r="A12">
        <v>2024</v>
      </c>
      <c r="B12">
        <v>8</v>
      </c>
      <c r="C12" t="s">
        <v>71</v>
      </c>
      <c r="D12" t="s">
        <v>313</v>
      </c>
      <c r="E12">
        <v>3635</v>
      </c>
      <c r="F12">
        <v>350289</v>
      </c>
      <c r="G12">
        <v>330286</v>
      </c>
      <c r="H12">
        <v>242797</v>
      </c>
      <c r="I12">
        <v>740916</v>
      </c>
      <c r="J12">
        <v>290752</v>
      </c>
      <c r="K12">
        <v>378795</v>
      </c>
    </row>
    <row r="13" spans="1:11" x14ac:dyDescent="0.35">
      <c r="A13">
        <v>2024</v>
      </c>
      <c r="B13">
        <v>9</v>
      </c>
      <c r="C13" t="s">
        <v>72</v>
      </c>
      <c r="D13" t="s">
        <v>313</v>
      </c>
      <c r="E13">
        <v>3676</v>
      </c>
      <c r="F13">
        <v>349072</v>
      </c>
      <c r="G13">
        <v>330286</v>
      </c>
      <c r="H13">
        <v>242797</v>
      </c>
      <c r="I13">
        <v>740916</v>
      </c>
      <c r="J13">
        <v>290752</v>
      </c>
      <c r="K13">
        <v>375322</v>
      </c>
    </row>
    <row r="14" spans="1:11" x14ac:dyDescent="0.35">
      <c r="A14">
        <v>2024</v>
      </c>
      <c r="B14">
        <v>10</v>
      </c>
      <c r="C14" t="s">
        <v>73</v>
      </c>
      <c r="D14" t="s">
        <v>313</v>
      </c>
      <c r="E14">
        <v>3690</v>
      </c>
      <c r="F14">
        <v>349120</v>
      </c>
      <c r="G14">
        <v>330286</v>
      </c>
      <c r="H14">
        <v>242797</v>
      </c>
      <c r="I14">
        <v>740916</v>
      </c>
      <c r="J14">
        <v>290752</v>
      </c>
      <c r="K14">
        <v>375322</v>
      </c>
    </row>
    <row r="15" spans="1:11" x14ac:dyDescent="0.35">
      <c r="A15">
        <v>2024</v>
      </c>
      <c r="B15">
        <v>11</v>
      </c>
      <c r="C15" t="s">
        <v>74</v>
      </c>
      <c r="D15" t="s">
        <v>313</v>
      </c>
      <c r="E15">
        <v>3695</v>
      </c>
      <c r="F15">
        <v>349471</v>
      </c>
      <c r="G15">
        <v>330286</v>
      </c>
      <c r="H15">
        <v>242797</v>
      </c>
      <c r="I15">
        <v>740916</v>
      </c>
      <c r="J15">
        <v>290752</v>
      </c>
      <c r="K15">
        <v>375790</v>
      </c>
    </row>
    <row r="16" spans="1:11" x14ac:dyDescent="0.35">
      <c r="A16">
        <v>2024</v>
      </c>
      <c r="B16">
        <v>12</v>
      </c>
      <c r="C16" t="s">
        <v>75</v>
      </c>
      <c r="D16" t="s">
        <v>313</v>
      </c>
      <c r="E16">
        <v>3696</v>
      </c>
      <c r="F16">
        <v>349525</v>
      </c>
      <c r="G16">
        <v>330286</v>
      </c>
      <c r="H16">
        <v>242797</v>
      </c>
      <c r="I16">
        <v>740916</v>
      </c>
      <c r="J16">
        <v>290752</v>
      </c>
      <c r="K16">
        <v>375322</v>
      </c>
    </row>
    <row r="17" spans="1:11" x14ac:dyDescent="0.35">
      <c r="A17">
        <v>2025</v>
      </c>
      <c r="B17">
        <v>1</v>
      </c>
      <c r="C17" t="s">
        <v>42</v>
      </c>
      <c r="D17" t="s">
        <v>313</v>
      </c>
      <c r="E17">
        <v>3677</v>
      </c>
      <c r="F17">
        <v>350931</v>
      </c>
      <c r="G17">
        <v>330286</v>
      </c>
      <c r="H17">
        <v>242797</v>
      </c>
      <c r="I17">
        <v>780217</v>
      </c>
      <c r="J17">
        <v>290754</v>
      </c>
      <c r="K17">
        <v>377787</v>
      </c>
    </row>
    <row r="18" spans="1:11" x14ac:dyDescent="0.35">
      <c r="A18">
        <v>2025</v>
      </c>
      <c r="B18">
        <v>2</v>
      </c>
      <c r="C18" t="s">
        <v>63</v>
      </c>
      <c r="D18" t="s">
        <v>313</v>
      </c>
      <c r="E18">
        <v>3786</v>
      </c>
      <c r="F18">
        <v>350904</v>
      </c>
      <c r="G18">
        <v>330286</v>
      </c>
      <c r="H18">
        <v>242797</v>
      </c>
      <c r="I18">
        <v>779645</v>
      </c>
      <c r="J18">
        <v>290752</v>
      </c>
      <c r="K18">
        <v>375790</v>
      </c>
    </row>
    <row r="19" spans="1:11" x14ac:dyDescent="0.35">
      <c r="A19">
        <v>2025</v>
      </c>
      <c r="B19">
        <v>3</v>
      </c>
      <c r="C19" t="s">
        <v>66</v>
      </c>
      <c r="D19" t="s">
        <v>313</v>
      </c>
      <c r="E19">
        <v>3894</v>
      </c>
      <c r="F19">
        <v>349621</v>
      </c>
      <c r="G19">
        <v>328573</v>
      </c>
      <c r="H19">
        <v>242797</v>
      </c>
      <c r="I19">
        <v>735916</v>
      </c>
      <c r="J19">
        <v>290752</v>
      </c>
      <c r="K19">
        <v>375974</v>
      </c>
    </row>
    <row r="20" spans="1:11" x14ac:dyDescent="0.35">
      <c r="A20">
        <v>2025</v>
      </c>
      <c r="B20">
        <v>4</v>
      </c>
      <c r="C20" t="s">
        <v>67</v>
      </c>
      <c r="D20" t="s">
        <v>313</v>
      </c>
      <c r="E20">
        <v>3786</v>
      </c>
      <c r="F20">
        <v>350947</v>
      </c>
      <c r="G20">
        <v>330286</v>
      </c>
      <c r="H20">
        <v>242797</v>
      </c>
      <c r="I20">
        <v>779645</v>
      </c>
      <c r="J20">
        <v>290752</v>
      </c>
      <c r="K20">
        <v>375790</v>
      </c>
    </row>
    <row r="21" spans="1:11" x14ac:dyDescent="0.35">
      <c r="A21">
        <v>2025</v>
      </c>
      <c r="B21">
        <v>5</v>
      </c>
      <c r="C21" t="s">
        <v>68</v>
      </c>
      <c r="D21" t="s">
        <v>313</v>
      </c>
      <c r="E21">
        <v>4007</v>
      </c>
      <c r="F21">
        <v>349539</v>
      </c>
      <c r="G21">
        <v>328573</v>
      </c>
      <c r="H21">
        <v>242797</v>
      </c>
      <c r="I21">
        <v>735916</v>
      </c>
      <c r="J21">
        <v>290752</v>
      </c>
      <c r="K21">
        <v>379719</v>
      </c>
    </row>
    <row r="22" spans="1:11" x14ac:dyDescent="0.35">
      <c r="A22">
        <v>2025</v>
      </c>
      <c r="B22">
        <v>6</v>
      </c>
      <c r="C22" t="s">
        <v>69</v>
      </c>
      <c r="D22" t="s">
        <v>313</v>
      </c>
      <c r="E22">
        <v>4023</v>
      </c>
      <c r="F22">
        <v>349926</v>
      </c>
      <c r="G22">
        <v>328573</v>
      </c>
      <c r="H22">
        <v>247243</v>
      </c>
      <c r="I22">
        <v>735916</v>
      </c>
      <c r="J22">
        <v>290752</v>
      </c>
      <c r="K22">
        <v>380322</v>
      </c>
    </row>
    <row r="23" spans="1:11" x14ac:dyDescent="0.35">
      <c r="A23">
        <v>2025</v>
      </c>
      <c r="B23">
        <v>7</v>
      </c>
      <c r="C23" t="s">
        <v>70</v>
      </c>
      <c r="D23" t="s">
        <v>313</v>
      </c>
      <c r="E23">
        <v>4038</v>
      </c>
      <c r="F23">
        <v>350602</v>
      </c>
      <c r="G23">
        <v>328573</v>
      </c>
      <c r="H23">
        <v>246824</v>
      </c>
      <c r="I23">
        <v>735916</v>
      </c>
      <c r="J23">
        <v>290752</v>
      </c>
      <c r="K23">
        <v>380974</v>
      </c>
    </row>
    <row r="24" spans="1:11" x14ac:dyDescent="0.35">
      <c r="A24">
        <v>2025</v>
      </c>
      <c r="B24">
        <v>8</v>
      </c>
      <c r="C24" t="s">
        <v>71</v>
      </c>
      <c r="D24" t="s">
        <v>313</v>
      </c>
      <c r="E24">
        <v>4052</v>
      </c>
      <c r="F24">
        <v>351299</v>
      </c>
      <c r="G24">
        <v>328573</v>
      </c>
      <c r="H24">
        <v>246824</v>
      </c>
      <c r="I24">
        <v>735916</v>
      </c>
      <c r="J24">
        <v>290986</v>
      </c>
      <c r="K24">
        <v>380974</v>
      </c>
    </row>
    <row r="25" spans="1:11" x14ac:dyDescent="0.35">
      <c r="A25">
        <v>2025</v>
      </c>
      <c r="B25">
        <v>9</v>
      </c>
      <c r="C25" t="s">
        <v>72</v>
      </c>
      <c r="D25" t="s">
        <v>313</v>
      </c>
      <c r="E25">
        <v>4069</v>
      </c>
      <c r="F25">
        <v>351183</v>
      </c>
      <c r="G25">
        <v>328573</v>
      </c>
      <c r="H25">
        <v>246824</v>
      </c>
      <c r="I25">
        <v>735916</v>
      </c>
      <c r="J25">
        <v>290986</v>
      </c>
      <c r="K25">
        <v>380974</v>
      </c>
    </row>
    <row r="26" spans="1:11" x14ac:dyDescent="0.35">
      <c r="A26">
        <v>2025</v>
      </c>
      <c r="B26">
        <v>10</v>
      </c>
      <c r="C26" t="s">
        <v>73</v>
      </c>
      <c r="D26" t="s">
        <v>313</v>
      </c>
      <c r="E26">
        <v>4085</v>
      </c>
      <c r="F26">
        <v>351103</v>
      </c>
      <c r="G26">
        <v>328339</v>
      </c>
      <c r="H26">
        <v>246824</v>
      </c>
      <c r="I26">
        <v>735916</v>
      </c>
      <c r="J26">
        <v>290986</v>
      </c>
      <c r="K26">
        <v>380974</v>
      </c>
    </row>
    <row r="27" spans="1:11" x14ac:dyDescent="0.35">
      <c r="A27">
        <v>2025</v>
      </c>
      <c r="B27">
        <v>11</v>
      </c>
      <c r="C27" t="s">
        <v>74</v>
      </c>
      <c r="D27" t="s">
        <v>313</v>
      </c>
      <c r="E27">
        <v>4088</v>
      </c>
      <c r="F27">
        <v>351168</v>
      </c>
      <c r="G27">
        <v>328573</v>
      </c>
      <c r="H27">
        <v>246824</v>
      </c>
      <c r="I27">
        <v>735916</v>
      </c>
      <c r="J27">
        <v>290986</v>
      </c>
      <c r="K27">
        <v>380974</v>
      </c>
    </row>
    <row r="28" spans="1:11" x14ac:dyDescent="0.35">
      <c r="A28">
        <v>2025</v>
      </c>
      <c r="B28">
        <v>12</v>
      </c>
      <c r="C28" t="s">
        <v>75</v>
      </c>
      <c r="D28" t="s">
        <v>313</v>
      </c>
      <c r="E28">
        <v>4091</v>
      </c>
      <c r="F28">
        <v>351396</v>
      </c>
      <c r="G28">
        <v>328573</v>
      </c>
      <c r="H28">
        <v>246824</v>
      </c>
      <c r="I28">
        <v>735916</v>
      </c>
      <c r="J28">
        <v>290986</v>
      </c>
      <c r="K28">
        <v>380974</v>
      </c>
    </row>
  </sheetData>
  <mergeCells count="1">
    <mergeCell ref="A1:K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314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315</v>
      </c>
      <c r="E5">
        <v>620</v>
      </c>
      <c r="F5">
        <v>1015387</v>
      </c>
      <c r="G5">
        <v>1044725</v>
      </c>
      <c r="H5">
        <v>690287</v>
      </c>
      <c r="I5">
        <v>1278458</v>
      </c>
      <c r="J5">
        <v>920118</v>
      </c>
      <c r="K5">
        <v>1124208</v>
      </c>
    </row>
    <row r="6" spans="1:11" x14ac:dyDescent="0.35">
      <c r="A6">
        <v>2024</v>
      </c>
      <c r="B6">
        <v>2</v>
      </c>
      <c r="C6" t="s">
        <v>63</v>
      </c>
      <c r="D6" t="s">
        <v>315</v>
      </c>
      <c r="E6">
        <v>648</v>
      </c>
      <c r="F6">
        <v>999315</v>
      </c>
      <c r="G6">
        <v>1040655</v>
      </c>
      <c r="H6">
        <v>690287</v>
      </c>
      <c r="I6">
        <v>1278458</v>
      </c>
      <c r="J6">
        <v>871977</v>
      </c>
      <c r="K6">
        <v>1116708</v>
      </c>
    </row>
    <row r="7" spans="1:11" x14ac:dyDescent="0.35">
      <c r="A7">
        <v>2024</v>
      </c>
      <c r="B7">
        <v>3</v>
      </c>
      <c r="C7" t="s">
        <v>66</v>
      </c>
      <c r="D7" t="s">
        <v>315</v>
      </c>
      <c r="E7">
        <v>617</v>
      </c>
      <c r="F7">
        <v>1015700</v>
      </c>
      <c r="G7">
        <v>1044725</v>
      </c>
      <c r="H7">
        <v>690287</v>
      </c>
      <c r="I7">
        <v>1285955</v>
      </c>
      <c r="J7">
        <v>920118</v>
      </c>
      <c r="K7">
        <v>1124208</v>
      </c>
    </row>
    <row r="8" spans="1:11" x14ac:dyDescent="0.35">
      <c r="A8">
        <v>2024</v>
      </c>
      <c r="B8">
        <v>4</v>
      </c>
      <c r="C8" t="s">
        <v>67</v>
      </c>
      <c r="D8" t="s">
        <v>315</v>
      </c>
      <c r="E8">
        <v>646</v>
      </c>
      <c r="F8">
        <v>1000302</v>
      </c>
      <c r="G8">
        <v>1044725</v>
      </c>
      <c r="H8">
        <v>690287</v>
      </c>
      <c r="I8">
        <v>1278458</v>
      </c>
      <c r="J8">
        <v>874476</v>
      </c>
      <c r="K8">
        <v>1116708</v>
      </c>
    </row>
    <row r="9" spans="1:11" x14ac:dyDescent="0.35">
      <c r="A9">
        <v>2024</v>
      </c>
      <c r="B9">
        <v>5</v>
      </c>
      <c r="C9" t="s">
        <v>68</v>
      </c>
      <c r="D9" t="s">
        <v>315</v>
      </c>
      <c r="E9">
        <v>652</v>
      </c>
      <c r="F9">
        <v>1019231</v>
      </c>
      <c r="G9">
        <v>1044725</v>
      </c>
      <c r="H9">
        <v>690287</v>
      </c>
      <c r="I9">
        <v>1432039</v>
      </c>
      <c r="J9">
        <v>881977</v>
      </c>
      <c r="K9">
        <v>1174208</v>
      </c>
    </row>
    <row r="10" spans="1:11" x14ac:dyDescent="0.35">
      <c r="A10">
        <v>2024</v>
      </c>
      <c r="B10">
        <v>6</v>
      </c>
      <c r="C10" t="s">
        <v>69</v>
      </c>
      <c r="D10" t="s">
        <v>315</v>
      </c>
      <c r="E10">
        <v>643</v>
      </c>
      <c r="F10">
        <v>998893</v>
      </c>
      <c r="G10">
        <v>1044725</v>
      </c>
      <c r="H10">
        <v>690287</v>
      </c>
      <c r="I10">
        <v>1278458</v>
      </c>
      <c r="J10">
        <v>856977</v>
      </c>
      <c r="K10">
        <v>1124208</v>
      </c>
    </row>
    <row r="11" spans="1:11" x14ac:dyDescent="0.35">
      <c r="A11">
        <v>2024</v>
      </c>
      <c r="B11">
        <v>7</v>
      </c>
      <c r="C11" t="s">
        <v>70</v>
      </c>
      <c r="D11" t="s">
        <v>315</v>
      </c>
      <c r="E11">
        <v>644</v>
      </c>
      <c r="F11">
        <v>1002063</v>
      </c>
      <c r="G11">
        <v>1044725</v>
      </c>
      <c r="H11">
        <v>690287</v>
      </c>
      <c r="I11">
        <v>1384983</v>
      </c>
      <c r="J11">
        <v>866977</v>
      </c>
      <c r="K11">
        <v>1124208</v>
      </c>
    </row>
    <row r="12" spans="1:11" x14ac:dyDescent="0.35">
      <c r="A12">
        <v>2024</v>
      </c>
      <c r="B12">
        <v>8</v>
      </c>
      <c r="C12" t="s">
        <v>71</v>
      </c>
      <c r="D12" t="s">
        <v>315</v>
      </c>
      <c r="E12">
        <v>677</v>
      </c>
      <c r="F12">
        <v>999845</v>
      </c>
      <c r="G12">
        <v>1044725</v>
      </c>
      <c r="H12">
        <v>690287</v>
      </c>
      <c r="I12">
        <v>1300957</v>
      </c>
      <c r="J12">
        <v>866977</v>
      </c>
      <c r="K12">
        <v>1166708</v>
      </c>
    </row>
    <row r="13" spans="1:11" x14ac:dyDescent="0.35">
      <c r="A13">
        <v>2024</v>
      </c>
      <c r="B13">
        <v>9</v>
      </c>
      <c r="C13" t="s">
        <v>72</v>
      </c>
      <c r="D13" t="s">
        <v>315</v>
      </c>
      <c r="E13">
        <v>678</v>
      </c>
      <c r="F13">
        <v>994483</v>
      </c>
      <c r="G13">
        <v>1044725</v>
      </c>
      <c r="H13">
        <v>690287</v>
      </c>
      <c r="I13">
        <v>1300957</v>
      </c>
      <c r="J13">
        <v>864477</v>
      </c>
      <c r="K13">
        <v>1124208</v>
      </c>
    </row>
    <row r="14" spans="1:11" x14ac:dyDescent="0.35">
      <c r="A14">
        <v>2024</v>
      </c>
      <c r="B14">
        <v>10</v>
      </c>
      <c r="C14" t="s">
        <v>73</v>
      </c>
      <c r="D14" t="s">
        <v>315</v>
      </c>
      <c r="E14">
        <v>678</v>
      </c>
      <c r="F14">
        <v>995804</v>
      </c>
      <c r="G14">
        <v>1044725</v>
      </c>
      <c r="H14">
        <v>690287</v>
      </c>
      <c r="I14">
        <v>1453912</v>
      </c>
      <c r="J14">
        <v>859477</v>
      </c>
      <c r="K14">
        <v>1124208</v>
      </c>
    </row>
    <row r="15" spans="1:11" x14ac:dyDescent="0.35">
      <c r="A15">
        <v>2024</v>
      </c>
      <c r="B15">
        <v>11</v>
      </c>
      <c r="C15" t="s">
        <v>74</v>
      </c>
      <c r="D15" t="s">
        <v>315</v>
      </c>
      <c r="E15">
        <v>678</v>
      </c>
      <c r="F15">
        <v>992688</v>
      </c>
      <c r="G15">
        <v>1044725</v>
      </c>
      <c r="H15">
        <v>690287</v>
      </c>
      <c r="I15">
        <v>1300957</v>
      </c>
      <c r="J15">
        <v>859477</v>
      </c>
      <c r="K15">
        <v>1116708</v>
      </c>
    </row>
    <row r="16" spans="1:11" x14ac:dyDescent="0.35">
      <c r="A16">
        <v>2024</v>
      </c>
      <c r="B16">
        <v>12</v>
      </c>
      <c r="C16" t="s">
        <v>75</v>
      </c>
      <c r="D16" t="s">
        <v>315</v>
      </c>
      <c r="E16">
        <v>676</v>
      </c>
      <c r="F16">
        <v>992573</v>
      </c>
      <c r="G16">
        <v>1044725</v>
      </c>
      <c r="H16">
        <v>690287</v>
      </c>
      <c r="I16">
        <v>1300957</v>
      </c>
      <c r="J16">
        <v>864477</v>
      </c>
      <c r="K16">
        <v>1116708</v>
      </c>
    </row>
    <row r="17" spans="1:11" x14ac:dyDescent="0.35">
      <c r="A17">
        <v>2025</v>
      </c>
      <c r="B17">
        <v>1</v>
      </c>
      <c r="C17" t="s">
        <v>42</v>
      </c>
      <c r="D17" t="s">
        <v>315</v>
      </c>
      <c r="E17">
        <v>669</v>
      </c>
      <c r="F17">
        <v>990843</v>
      </c>
      <c r="G17">
        <v>1044725</v>
      </c>
      <c r="H17">
        <v>690287</v>
      </c>
      <c r="I17">
        <v>1300957</v>
      </c>
      <c r="J17">
        <v>859477</v>
      </c>
      <c r="K17">
        <v>1116708</v>
      </c>
    </row>
    <row r="18" spans="1:11" x14ac:dyDescent="0.35">
      <c r="A18">
        <v>2025</v>
      </c>
      <c r="B18">
        <v>2</v>
      </c>
      <c r="C18" t="s">
        <v>63</v>
      </c>
      <c r="D18" t="s">
        <v>315</v>
      </c>
      <c r="E18">
        <v>680</v>
      </c>
      <c r="F18">
        <v>1079671</v>
      </c>
      <c r="G18">
        <v>1055975</v>
      </c>
      <c r="H18">
        <v>690287</v>
      </c>
      <c r="I18">
        <v>1528451</v>
      </c>
      <c r="J18">
        <v>959601</v>
      </c>
      <c r="K18">
        <v>1196241</v>
      </c>
    </row>
    <row r="19" spans="1:11" x14ac:dyDescent="0.35">
      <c r="A19">
        <v>2025</v>
      </c>
      <c r="B19">
        <v>3</v>
      </c>
      <c r="C19" t="s">
        <v>66</v>
      </c>
      <c r="D19" t="s">
        <v>315</v>
      </c>
      <c r="E19">
        <v>674</v>
      </c>
      <c r="F19">
        <v>1005829</v>
      </c>
      <c r="G19">
        <v>1044725</v>
      </c>
      <c r="H19">
        <v>690287</v>
      </c>
      <c r="I19">
        <v>1300957</v>
      </c>
      <c r="J19">
        <v>902616</v>
      </c>
      <c r="K19">
        <v>1116708</v>
      </c>
    </row>
    <row r="20" spans="1:11" x14ac:dyDescent="0.35">
      <c r="A20">
        <v>2025</v>
      </c>
      <c r="B20">
        <v>4</v>
      </c>
      <c r="C20" t="s">
        <v>67</v>
      </c>
      <c r="D20" t="s">
        <v>315</v>
      </c>
      <c r="E20">
        <v>694</v>
      </c>
      <c r="F20">
        <v>1080238</v>
      </c>
      <c r="G20">
        <v>1052225</v>
      </c>
      <c r="H20">
        <v>690287</v>
      </c>
      <c r="I20">
        <v>1528451</v>
      </c>
      <c r="J20">
        <v>959601</v>
      </c>
      <c r="K20">
        <v>1196241</v>
      </c>
    </row>
    <row r="21" spans="1:11" x14ac:dyDescent="0.35">
      <c r="A21">
        <v>2025</v>
      </c>
      <c r="B21">
        <v>5</v>
      </c>
      <c r="C21" t="s">
        <v>68</v>
      </c>
      <c r="D21" t="s">
        <v>315</v>
      </c>
      <c r="E21">
        <v>672</v>
      </c>
      <c r="F21">
        <v>1007757</v>
      </c>
      <c r="G21">
        <v>1044725</v>
      </c>
      <c r="H21">
        <v>690287</v>
      </c>
      <c r="I21">
        <v>1300957</v>
      </c>
      <c r="J21">
        <v>905118</v>
      </c>
      <c r="K21">
        <v>1116708</v>
      </c>
    </row>
    <row r="22" spans="1:11" x14ac:dyDescent="0.35">
      <c r="A22">
        <v>2025</v>
      </c>
      <c r="B22">
        <v>6</v>
      </c>
      <c r="C22" t="s">
        <v>69</v>
      </c>
      <c r="D22" t="s">
        <v>315</v>
      </c>
      <c r="E22">
        <v>671</v>
      </c>
      <c r="F22">
        <v>1007217</v>
      </c>
      <c r="G22">
        <v>1044725</v>
      </c>
      <c r="H22">
        <v>690287</v>
      </c>
      <c r="I22">
        <v>1313361</v>
      </c>
      <c r="J22">
        <v>905116</v>
      </c>
      <c r="K22">
        <v>1116708</v>
      </c>
    </row>
    <row r="23" spans="1:11" x14ac:dyDescent="0.35">
      <c r="A23">
        <v>2025</v>
      </c>
      <c r="B23">
        <v>7</v>
      </c>
      <c r="C23" t="s">
        <v>70</v>
      </c>
      <c r="D23" t="s">
        <v>315</v>
      </c>
      <c r="E23">
        <v>671</v>
      </c>
      <c r="F23">
        <v>1007131</v>
      </c>
      <c r="G23">
        <v>1044725</v>
      </c>
      <c r="H23">
        <v>690287</v>
      </c>
      <c r="I23">
        <v>1293457</v>
      </c>
      <c r="J23">
        <v>905116</v>
      </c>
      <c r="K23">
        <v>1116708</v>
      </c>
    </row>
    <row r="24" spans="1:11" x14ac:dyDescent="0.35">
      <c r="A24">
        <v>2025</v>
      </c>
      <c r="B24">
        <v>8</v>
      </c>
      <c r="C24" t="s">
        <v>71</v>
      </c>
      <c r="D24" t="s">
        <v>315</v>
      </c>
      <c r="E24">
        <v>671</v>
      </c>
      <c r="F24">
        <v>1007763</v>
      </c>
      <c r="G24">
        <v>1044725</v>
      </c>
      <c r="H24">
        <v>690287</v>
      </c>
      <c r="I24">
        <v>1529212</v>
      </c>
      <c r="J24">
        <v>905116</v>
      </c>
      <c r="K24">
        <v>1116708</v>
      </c>
    </row>
    <row r="25" spans="1:11" x14ac:dyDescent="0.35">
      <c r="A25">
        <v>2025</v>
      </c>
      <c r="B25">
        <v>9</v>
      </c>
      <c r="C25" t="s">
        <v>72</v>
      </c>
      <c r="D25" t="s">
        <v>315</v>
      </c>
      <c r="E25">
        <v>672</v>
      </c>
      <c r="F25">
        <v>1007829</v>
      </c>
      <c r="G25">
        <v>1044725</v>
      </c>
      <c r="H25">
        <v>690287</v>
      </c>
      <c r="I25">
        <v>1293457</v>
      </c>
      <c r="J25">
        <v>905116</v>
      </c>
      <c r="K25">
        <v>1116708</v>
      </c>
    </row>
    <row r="26" spans="1:11" x14ac:dyDescent="0.35">
      <c r="A26">
        <v>2025</v>
      </c>
      <c r="B26">
        <v>10</v>
      </c>
      <c r="C26" t="s">
        <v>73</v>
      </c>
      <c r="D26" t="s">
        <v>315</v>
      </c>
      <c r="E26">
        <v>671</v>
      </c>
      <c r="F26">
        <v>1007556</v>
      </c>
      <c r="G26">
        <v>1044725</v>
      </c>
      <c r="H26">
        <v>690287</v>
      </c>
      <c r="I26">
        <v>1369208</v>
      </c>
      <c r="J26">
        <v>905116</v>
      </c>
      <c r="K26">
        <v>1116708</v>
      </c>
    </row>
    <row r="27" spans="1:11" x14ac:dyDescent="0.35">
      <c r="A27">
        <v>2025</v>
      </c>
      <c r="B27">
        <v>11</v>
      </c>
      <c r="C27" t="s">
        <v>74</v>
      </c>
      <c r="D27" t="s">
        <v>315</v>
      </c>
      <c r="E27">
        <v>695</v>
      </c>
      <c r="F27">
        <v>1047388</v>
      </c>
      <c r="G27">
        <v>1052225</v>
      </c>
      <c r="H27">
        <v>690287</v>
      </c>
      <c r="I27">
        <v>1506425</v>
      </c>
      <c r="J27">
        <v>920118</v>
      </c>
      <c r="K27">
        <v>1196241</v>
      </c>
    </row>
    <row r="28" spans="1:11" x14ac:dyDescent="0.35">
      <c r="A28">
        <v>2025</v>
      </c>
      <c r="B28">
        <v>12</v>
      </c>
      <c r="C28" t="s">
        <v>75</v>
      </c>
      <c r="D28" t="s">
        <v>315</v>
      </c>
      <c r="E28">
        <v>687</v>
      </c>
      <c r="F28">
        <v>1005298</v>
      </c>
      <c r="G28">
        <v>1036585</v>
      </c>
      <c r="H28">
        <v>690287</v>
      </c>
      <c r="I28">
        <v>1293457</v>
      </c>
      <c r="J28">
        <v>904477</v>
      </c>
      <c r="K28">
        <v>1116708</v>
      </c>
    </row>
  </sheetData>
  <mergeCells count="1">
    <mergeCell ref="A1:K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316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317</v>
      </c>
      <c r="E5">
        <v>6326</v>
      </c>
      <c r="F5">
        <v>290505</v>
      </c>
      <c r="G5">
        <v>283486</v>
      </c>
      <c r="H5">
        <v>229743</v>
      </c>
      <c r="I5">
        <v>545804</v>
      </c>
      <c r="J5">
        <v>255297</v>
      </c>
      <c r="K5">
        <v>313019</v>
      </c>
    </row>
    <row r="6" spans="1:11" x14ac:dyDescent="0.35">
      <c r="A6">
        <v>2024</v>
      </c>
      <c r="B6">
        <v>2</v>
      </c>
      <c r="C6" t="s">
        <v>63</v>
      </c>
      <c r="D6" t="s">
        <v>317</v>
      </c>
      <c r="E6">
        <v>6494</v>
      </c>
      <c r="F6">
        <v>292214</v>
      </c>
      <c r="G6">
        <v>283488</v>
      </c>
      <c r="H6">
        <v>229743</v>
      </c>
      <c r="I6">
        <v>545804</v>
      </c>
      <c r="J6">
        <v>255297</v>
      </c>
      <c r="K6">
        <v>316307</v>
      </c>
    </row>
    <row r="7" spans="1:11" x14ac:dyDescent="0.35">
      <c r="A7">
        <v>2024</v>
      </c>
      <c r="B7">
        <v>3</v>
      </c>
      <c r="C7" t="s">
        <v>66</v>
      </c>
      <c r="D7" t="s">
        <v>317</v>
      </c>
      <c r="E7">
        <v>6707</v>
      </c>
      <c r="F7">
        <v>289142</v>
      </c>
      <c r="G7">
        <v>279487</v>
      </c>
      <c r="H7">
        <v>229743</v>
      </c>
      <c r="I7">
        <v>545804</v>
      </c>
      <c r="J7">
        <v>254743</v>
      </c>
      <c r="K7">
        <v>313019</v>
      </c>
    </row>
    <row r="8" spans="1:11" x14ac:dyDescent="0.35">
      <c r="A8">
        <v>2024</v>
      </c>
      <c r="B8">
        <v>4</v>
      </c>
      <c r="C8" t="s">
        <v>67</v>
      </c>
      <c r="D8" t="s">
        <v>317</v>
      </c>
      <c r="E8">
        <v>6764</v>
      </c>
      <c r="F8">
        <v>289362</v>
      </c>
      <c r="G8">
        <v>280848</v>
      </c>
      <c r="H8">
        <v>229743</v>
      </c>
      <c r="I8">
        <v>545804</v>
      </c>
      <c r="J8">
        <v>254743</v>
      </c>
      <c r="K8">
        <v>313019</v>
      </c>
    </row>
    <row r="9" spans="1:11" x14ac:dyDescent="0.35">
      <c r="A9">
        <v>2024</v>
      </c>
      <c r="B9">
        <v>5</v>
      </c>
      <c r="C9" t="s">
        <v>68</v>
      </c>
      <c r="D9" t="s">
        <v>317</v>
      </c>
      <c r="E9">
        <v>6778</v>
      </c>
      <c r="F9">
        <v>289045</v>
      </c>
      <c r="G9">
        <v>281473</v>
      </c>
      <c r="H9">
        <v>229743</v>
      </c>
      <c r="I9">
        <v>545804</v>
      </c>
      <c r="J9">
        <v>254743</v>
      </c>
      <c r="K9">
        <v>311307</v>
      </c>
    </row>
    <row r="10" spans="1:11" x14ac:dyDescent="0.35">
      <c r="A10">
        <v>2024</v>
      </c>
      <c r="B10">
        <v>6</v>
      </c>
      <c r="C10" t="s">
        <v>69</v>
      </c>
      <c r="D10" t="s">
        <v>317</v>
      </c>
      <c r="E10">
        <v>6854</v>
      </c>
      <c r="F10">
        <v>288981</v>
      </c>
      <c r="G10">
        <v>280986</v>
      </c>
      <c r="H10">
        <v>229743</v>
      </c>
      <c r="I10">
        <v>545804</v>
      </c>
      <c r="J10">
        <v>254743</v>
      </c>
      <c r="K10">
        <v>311676</v>
      </c>
    </row>
    <row r="11" spans="1:11" x14ac:dyDescent="0.35">
      <c r="A11">
        <v>2024</v>
      </c>
      <c r="B11">
        <v>7</v>
      </c>
      <c r="C11" t="s">
        <v>70</v>
      </c>
      <c r="D11" t="s">
        <v>317</v>
      </c>
      <c r="E11">
        <v>6944</v>
      </c>
      <c r="F11">
        <v>289049</v>
      </c>
      <c r="G11">
        <v>280752</v>
      </c>
      <c r="H11">
        <v>229743</v>
      </c>
      <c r="I11">
        <v>545804</v>
      </c>
      <c r="J11">
        <v>254743</v>
      </c>
      <c r="K11">
        <v>310889</v>
      </c>
    </row>
    <row r="12" spans="1:11" x14ac:dyDescent="0.35">
      <c r="A12">
        <v>2024</v>
      </c>
      <c r="B12">
        <v>8</v>
      </c>
      <c r="C12" t="s">
        <v>71</v>
      </c>
      <c r="D12" t="s">
        <v>317</v>
      </c>
      <c r="E12">
        <v>7025</v>
      </c>
      <c r="F12">
        <v>290454</v>
      </c>
      <c r="G12">
        <v>281590</v>
      </c>
      <c r="H12">
        <v>229743</v>
      </c>
      <c r="I12">
        <v>545804</v>
      </c>
      <c r="J12">
        <v>254743</v>
      </c>
      <c r="K12">
        <v>313019</v>
      </c>
    </row>
    <row r="13" spans="1:11" x14ac:dyDescent="0.35">
      <c r="A13">
        <v>2024</v>
      </c>
      <c r="B13">
        <v>9</v>
      </c>
      <c r="C13" t="s">
        <v>72</v>
      </c>
      <c r="D13" t="s">
        <v>317</v>
      </c>
      <c r="E13">
        <v>7190</v>
      </c>
      <c r="F13">
        <v>288215</v>
      </c>
      <c r="G13">
        <v>278486</v>
      </c>
      <c r="H13">
        <v>229743</v>
      </c>
      <c r="I13">
        <v>545804</v>
      </c>
      <c r="J13">
        <v>251824</v>
      </c>
      <c r="K13">
        <v>308488</v>
      </c>
    </row>
    <row r="14" spans="1:11" x14ac:dyDescent="0.35">
      <c r="A14">
        <v>2024</v>
      </c>
      <c r="B14">
        <v>10</v>
      </c>
      <c r="C14" t="s">
        <v>73</v>
      </c>
      <c r="D14" t="s">
        <v>317</v>
      </c>
      <c r="E14">
        <v>7279</v>
      </c>
      <c r="F14">
        <v>287686</v>
      </c>
      <c r="G14">
        <v>277797</v>
      </c>
      <c r="H14">
        <v>229743</v>
      </c>
      <c r="I14">
        <v>545804</v>
      </c>
      <c r="J14">
        <v>251824</v>
      </c>
      <c r="K14">
        <v>308019</v>
      </c>
    </row>
    <row r="15" spans="1:11" x14ac:dyDescent="0.35">
      <c r="A15">
        <v>2024</v>
      </c>
      <c r="B15">
        <v>11</v>
      </c>
      <c r="C15" t="s">
        <v>74</v>
      </c>
      <c r="D15" t="s">
        <v>317</v>
      </c>
      <c r="E15">
        <v>7302</v>
      </c>
      <c r="F15">
        <v>287348</v>
      </c>
      <c r="G15">
        <v>277564</v>
      </c>
      <c r="H15">
        <v>229743</v>
      </c>
      <c r="I15">
        <v>545804</v>
      </c>
      <c r="J15">
        <v>251824</v>
      </c>
      <c r="K15">
        <v>306307</v>
      </c>
    </row>
    <row r="16" spans="1:11" x14ac:dyDescent="0.35">
      <c r="A16">
        <v>2024</v>
      </c>
      <c r="B16">
        <v>12</v>
      </c>
      <c r="C16" t="s">
        <v>75</v>
      </c>
      <c r="D16" t="s">
        <v>317</v>
      </c>
      <c r="E16">
        <v>7320</v>
      </c>
      <c r="F16">
        <v>287256</v>
      </c>
      <c r="G16">
        <v>277564</v>
      </c>
      <c r="H16">
        <v>229743</v>
      </c>
      <c r="I16">
        <v>545804</v>
      </c>
      <c r="J16">
        <v>251824</v>
      </c>
      <c r="K16">
        <v>306307</v>
      </c>
    </row>
    <row r="17" spans="1:11" x14ac:dyDescent="0.35">
      <c r="A17">
        <v>2025</v>
      </c>
      <c r="B17">
        <v>1</v>
      </c>
      <c r="C17" t="s">
        <v>42</v>
      </c>
      <c r="D17" t="s">
        <v>317</v>
      </c>
      <c r="E17">
        <v>7284</v>
      </c>
      <c r="F17">
        <v>287291</v>
      </c>
      <c r="G17">
        <v>278486</v>
      </c>
      <c r="H17">
        <v>229743</v>
      </c>
      <c r="I17">
        <v>545804</v>
      </c>
      <c r="J17">
        <v>252243</v>
      </c>
      <c r="K17">
        <v>308019</v>
      </c>
    </row>
    <row r="18" spans="1:11" x14ac:dyDescent="0.35">
      <c r="A18">
        <v>2025</v>
      </c>
      <c r="B18">
        <v>2</v>
      </c>
      <c r="C18" t="s">
        <v>63</v>
      </c>
      <c r="D18" t="s">
        <v>317</v>
      </c>
      <c r="E18">
        <v>7517</v>
      </c>
      <c r="F18">
        <v>288205</v>
      </c>
      <c r="G18">
        <v>278488</v>
      </c>
      <c r="H18">
        <v>229743</v>
      </c>
      <c r="I18">
        <v>545804</v>
      </c>
      <c r="J18">
        <v>251824</v>
      </c>
      <c r="K18">
        <v>313019</v>
      </c>
    </row>
    <row r="19" spans="1:11" x14ac:dyDescent="0.35">
      <c r="A19">
        <v>2025</v>
      </c>
      <c r="B19">
        <v>3</v>
      </c>
      <c r="C19" t="s">
        <v>66</v>
      </c>
      <c r="D19" t="s">
        <v>317</v>
      </c>
      <c r="E19">
        <v>7744</v>
      </c>
      <c r="F19">
        <v>286782</v>
      </c>
      <c r="G19">
        <v>277564</v>
      </c>
      <c r="H19">
        <v>229743</v>
      </c>
      <c r="I19">
        <v>545804</v>
      </c>
      <c r="J19">
        <v>250297</v>
      </c>
      <c r="K19">
        <v>308020</v>
      </c>
    </row>
    <row r="20" spans="1:11" x14ac:dyDescent="0.35">
      <c r="A20">
        <v>2025</v>
      </c>
      <c r="B20">
        <v>4</v>
      </c>
      <c r="C20" t="s">
        <v>67</v>
      </c>
      <c r="D20" t="s">
        <v>317</v>
      </c>
      <c r="E20">
        <v>7517</v>
      </c>
      <c r="F20">
        <v>288205</v>
      </c>
      <c r="G20">
        <v>278488</v>
      </c>
      <c r="H20">
        <v>229743</v>
      </c>
      <c r="I20">
        <v>545804</v>
      </c>
      <c r="J20">
        <v>251824</v>
      </c>
      <c r="K20">
        <v>313019</v>
      </c>
    </row>
    <row r="21" spans="1:11" x14ac:dyDescent="0.35">
      <c r="A21">
        <v>2025</v>
      </c>
      <c r="B21">
        <v>5</v>
      </c>
      <c r="C21" t="s">
        <v>68</v>
      </c>
      <c r="D21" t="s">
        <v>317</v>
      </c>
      <c r="E21">
        <v>7986</v>
      </c>
      <c r="F21">
        <v>286200</v>
      </c>
      <c r="G21">
        <v>275988</v>
      </c>
      <c r="H21">
        <v>229743</v>
      </c>
      <c r="I21">
        <v>545804</v>
      </c>
      <c r="J21">
        <v>249743</v>
      </c>
      <c r="K21">
        <v>308019</v>
      </c>
    </row>
    <row r="22" spans="1:11" x14ac:dyDescent="0.35">
      <c r="A22">
        <v>2025</v>
      </c>
      <c r="B22">
        <v>6</v>
      </c>
      <c r="C22" t="s">
        <v>69</v>
      </c>
      <c r="D22" t="s">
        <v>317</v>
      </c>
      <c r="E22">
        <v>8046</v>
      </c>
      <c r="F22">
        <v>286426</v>
      </c>
      <c r="G22">
        <v>276603</v>
      </c>
      <c r="H22">
        <v>229743</v>
      </c>
      <c r="I22">
        <v>545804</v>
      </c>
      <c r="J22">
        <v>249743</v>
      </c>
      <c r="K22">
        <v>306676</v>
      </c>
    </row>
    <row r="23" spans="1:11" x14ac:dyDescent="0.35">
      <c r="A23">
        <v>2025</v>
      </c>
      <c r="B23">
        <v>7</v>
      </c>
      <c r="C23" t="s">
        <v>70</v>
      </c>
      <c r="D23" t="s">
        <v>317</v>
      </c>
      <c r="E23">
        <v>8079</v>
      </c>
      <c r="F23">
        <v>286411</v>
      </c>
      <c r="G23">
        <v>277243</v>
      </c>
      <c r="H23">
        <v>229743</v>
      </c>
      <c r="I23">
        <v>545804</v>
      </c>
      <c r="J23">
        <v>250297</v>
      </c>
      <c r="K23">
        <v>306676</v>
      </c>
    </row>
    <row r="24" spans="1:11" x14ac:dyDescent="0.35">
      <c r="A24">
        <v>2025</v>
      </c>
      <c r="B24">
        <v>8</v>
      </c>
      <c r="C24" t="s">
        <v>71</v>
      </c>
      <c r="D24" t="s">
        <v>317</v>
      </c>
      <c r="E24">
        <v>8107</v>
      </c>
      <c r="F24">
        <v>286269</v>
      </c>
      <c r="G24">
        <v>277481</v>
      </c>
      <c r="H24">
        <v>229743</v>
      </c>
      <c r="I24">
        <v>545804</v>
      </c>
      <c r="J24">
        <v>250297</v>
      </c>
      <c r="K24">
        <v>306307</v>
      </c>
    </row>
    <row r="25" spans="1:11" x14ac:dyDescent="0.35">
      <c r="A25">
        <v>2025</v>
      </c>
      <c r="B25">
        <v>9</v>
      </c>
      <c r="C25" t="s">
        <v>72</v>
      </c>
      <c r="D25" t="s">
        <v>317</v>
      </c>
      <c r="E25">
        <v>8119</v>
      </c>
      <c r="F25">
        <v>286091</v>
      </c>
      <c r="G25">
        <v>277563</v>
      </c>
      <c r="H25">
        <v>229743</v>
      </c>
      <c r="I25">
        <v>545804</v>
      </c>
      <c r="J25">
        <v>250297</v>
      </c>
      <c r="K25">
        <v>305986</v>
      </c>
    </row>
    <row r="26" spans="1:11" x14ac:dyDescent="0.35">
      <c r="A26">
        <v>2025</v>
      </c>
      <c r="B26">
        <v>10</v>
      </c>
      <c r="C26" t="s">
        <v>73</v>
      </c>
      <c r="D26" t="s">
        <v>317</v>
      </c>
      <c r="E26">
        <v>8152</v>
      </c>
      <c r="F26">
        <v>286097</v>
      </c>
      <c r="G26">
        <v>277564</v>
      </c>
      <c r="H26">
        <v>229743</v>
      </c>
      <c r="I26">
        <v>545804</v>
      </c>
      <c r="J26">
        <v>250297</v>
      </c>
      <c r="K26">
        <v>305986</v>
      </c>
    </row>
    <row r="27" spans="1:11" x14ac:dyDescent="0.35">
      <c r="A27">
        <v>2025</v>
      </c>
      <c r="B27">
        <v>11</v>
      </c>
      <c r="C27" t="s">
        <v>74</v>
      </c>
      <c r="D27" t="s">
        <v>317</v>
      </c>
      <c r="E27">
        <v>8184</v>
      </c>
      <c r="F27">
        <v>286073</v>
      </c>
      <c r="G27">
        <v>277564</v>
      </c>
      <c r="H27">
        <v>229743</v>
      </c>
      <c r="I27">
        <v>557494</v>
      </c>
      <c r="J27">
        <v>250297</v>
      </c>
      <c r="K27">
        <v>305889</v>
      </c>
    </row>
    <row r="28" spans="1:11" x14ac:dyDescent="0.35">
      <c r="A28">
        <v>2025</v>
      </c>
      <c r="B28">
        <v>12</v>
      </c>
      <c r="C28" t="s">
        <v>75</v>
      </c>
      <c r="D28" t="s">
        <v>317</v>
      </c>
      <c r="E28">
        <v>8182</v>
      </c>
      <c r="F28">
        <v>286059</v>
      </c>
      <c r="G28">
        <v>278486</v>
      </c>
      <c r="H28">
        <v>229743</v>
      </c>
      <c r="I28">
        <v>552515</v>
      </c>
      <c r="J28">
        <v>250297</v>
      </c>
      <c r="K28">
        <v>305752</v>
      </c>
    </row>
  </sheetData>
  <mergeCells count="1">
    <mergeCell ref="A1:K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3" width="15" customWidth="1"/>
    <col min="4" max="5" width="18" customWidth="1"/>
    <col min="6" max="8" width="15" customWidth="1"/>
  </cols>
  <sheetData>
    <row r="1" spans="1:11" ht="28" customHeight="1" x14ac:dyDescent="0.35">
      <c r="A1" s="6" t="s">
        <v>318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5" x14ac:dyDescent="0.35">
      <c r="A2" s="2" t="str">
        <f>HYPERLINK("#SOMMAIRE!A1","← Retour au sommaire")</f>
        <v>← Retour au sommaire</v>
      </c>
    </row>
    <row r="4" spans="1:11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</row>
    <row r="5" spans="1:11" x14ac:dyDescent="0.35">
      <c r="A5">
        <v>2024</v>
      </c>
      <c r="B5">
        <v>1</v>
      </c>
      <c r="C5" t="s">
        <v>42</v>
      </c>
      <c r="D5" t="s">
        <v>319</v>
      </c>
      <c r="E5">
        <v>31141</v>
      </c>
      <c r="F5">
        <v>318970</v>
      </c>
      <c r="G5">
        <v>305519</v>
      </c>
      <c r="H5">
        <v>204237</v>
      </c>
      <c r="I5">
        <v>695879</v>
      </c>
      <c r="J5">
        <v>274646</v>
      </c>
      <c r="K5">
        <v>343474</v>
      </c>
    </row>
    <row r="6" spans="1:11" x14ac:dyDescent="0.35">
      <c r="A6">
        <v>2024</v>
      </c>
      <c r="B6">
        <v>2</v>
      </c>
      <c r="C6" t="s">
        <v>63</v>
      </c>
      <c r="D6" t="s">
        <v>319</v>
      </c>
      <c r="E6">
        <v>31180</v>
      </c>
      <c r="F6">
        <v>319589</v>
      </c>
      <c r="G6">
        <v>305519</v>
      </c>
      <c r="H6">
        <v>204237</v>
      </c>
      <c r="I6">
        <v>695879</v>
      </c>
      <c r="J6">
        <v>274646</v>
      </c>
      <c r="K6">
        <v>343942</v>
      </c>
    </row>
    <row r="7" spans="1:11" x14ac:dyDescent="0.35">
      <c r="A7">
        <v>2024</v>
      </c>
      <c r="B7">
        <v>3</v>
      </c>
      <c r="C7" t="s">
        <v>66</v>
      </c>
      <c r="D7" t="s">
        <v>319</v>
      </c>
      <c r="E7">
        <v>31584</v>
      </c>
      <c r="F7">
        <v>320819</v>
      </c>
      <c r="G7">
        <v>310519</v>
      </c>
      <c r="H7">
        <v>204237</v>
      </c>
      <c r="I7">
        <v>695879</v>
      </c>
      <c r="J7">
        <v>273486</v>
      </c>
      <c r="K7">
        <v>345052</v>
      </c>
    </row>
    <row r="8" spans="1:11" x14ac:dyDescent="0.35">
      <c r="A8">
        <v>2024</v>
      </c>
      <c r="B8">
        <v>4</v>
      </c>
      <c r="C8" t="s">
        <v>67</v>
      </c>
      <c r="D8" t="s">
        <v>319</v>
      </c>
      <c r="E8">
        <v>31821</v>
      </c>
      <c r="F8">
        <v>320054</v>
      </c>
      <c r="G8">
        <v>308252</v>
      </c>
      <c r="H8">
        <v>204237</v>
      </c>
      <c r="I8">
        <v>695879</v>
      </c>
      <c r="J8">
        <v>273486</v>
      </c>
      <c r="K8">
        <v>343942</v>
      </c>
    </row>
    <row r="9" spans="1:11" x14ac:dyDescent="0.35">
      <c r="A9">
        <v>2024</v>
      </c>
      <c r="B9">
        <v>5</v>
      </c>
      <c r="C9" t="s">
        <v>68</v>
      </c>
      <c r="D9" t="s">
        <v>319</v>
      </c>
      <c r="E9">
        <v>31641</v>
      </c>
      <c r="F9">
        <v>320807</v>
      </c>
      <c r="G9">
        <v>308942</v>
      </c>
      <c r="H9">
        <v>204237</v>
      </c>
      <c r="I9">
        <v>695879</v>
      </c>
      <c r="J9">
        <v>275512</v>
      </c>
      <c r="K9">
        <v>343474</v>
      </c>
    </row>
    <row r="10" spans="1:11" x14ac:dyDescent="0.35">
      <c r="A10">
        <v>2024</v>
      </c>
      <c r="B10">
        <v>6</v>
      </c>
      <c r="C10" t="s">
        <v>69</v>
      </c>
      <c r="D10" t="s">
        <v>319</v>
      </c>
      <c r="E10">
        <v>31778</v>
      </c>
      <c r="F10">
        <v>320664</v>
      </c>
      <c r="G10">
        <v>308252</v>
      </c>
      <c r="H10">
        <v>204237</v>
      </c>
      <c r="I10">
        <v>695879</v>
      </c>
      <c r="J10">
        <v>279693</v>
      </c>
      <c r="K10">
        <v>343474</v>
      </c>
    </row>
    <row r="11" spans="1:11" x14ac:dyDescent="0.35">
      <c r="A11">
        <v>2024</v>
      </c>
      <c r="B11">
        <v>7</v>
      </c>
      <c r="C11" t="s">
        <v>70</v>
      </c>
      <c r="D11" t="s">
        <v>319</v>
      </c>
      <c r="E11">
        <v>31937</v>
      </c>
      <c r="F11">
        <v>320223</v>
      </c>
      <c r="G11">
        <v>308019</v>
      </c>
      <c r="H11">
        <v>204237</v>
      </c>
      <c r="I11">
        <v>695879</v>
      </c>
      <c r="J11">
        <v>273486</v>
      </c>
      <c r="K11">
        <v>343155</v>
      </c>
    </row>
    <row r="12" spans="1:11" x14ac:dyDescent="0.35">
      <c r="A12">
        <v>2024</v>
      </c>
      <c r="B12">
        <v>8</v>
      </c>
      <c r="C12" t="s">
        <v>71</v>
      </c>
      <c r="D12" t="s">
        <v>319</v>
      </c>
      <c r="E12">
        <v>32056</v>
      </c>
      <c r="F12">
        <v>321809</v>
      </c>
      <c r="G12">
        <v>308942</v>
      </c>
      <c r="H12">
        <v>204842</v>
      </c>
      <c r="I12">
        <v>695879</v>
      </c>
      <c r="J12">
        <v>275064</v>
      </c>
      <c r="K12">
        <v>345052</v>
      </c>
    </row>
    <row r="13" spans="1:11" x14ac:dyDescent="0.35">
      <c r="A13">
        <v>2024</v>
      </c>
      <c r="B13">
        <v>9</v>
      </c>
      <c r="C13" t="s">
        <v>72</v>
      </c>
      <c r="D13" t="s">
        <v>319</v>
      </c>
      <c r="E13">
        <v>32234</v>
      </c>
      <c r="F13">
        <v>320824</v>
      </c>
      <c r="G13">
        <v>308942</v>
      </c>
      <c r="H13">
        <v>204842</v>
      </c>
      <c r="I13">
        <v>695879</v>
      </c>
      <c r="J13">
        <v>273486</v>
      </c>
      <c r="K13">
        <v>343942</v>
      </c>
    </row>
    <row r="14" spans="1:11" x14ac:dyDescent="0.35">
      <c r="A14">
        <v>2024</v>
      </c>
      <c r="B14">
        <v>10</v>
      </c>
      <c r="C14" t="s">
        <v>73</v>
      </c>
      <c r="D14" t="s">
        <v>319</v>
      </c>
      <c r="E14">
        <v>32319</v>
      </c>
      <c r="F14">
        <v>320947</v>
      </c>
      <c r="G14">
        <v>308942</v>
      </c>
      <c r="H14">
        <v>204842</v>
      </c>
      <c r="I14">
        <v>695879</v>
      </c>
      <c r="J14">
        <v>273486</v>
      </c>
      <c r="K14">
        <v>343942</v>
      </c>
    </row>
    <row r="15" spans="1:11" x14ac:dyDescent="0.35">
      <c r="A15">
        <v>2024</v>
      </c>
      <c r="B15">
        <v>11</v>
      </c>
      <c r="C15" t="s">
        <v>74</v>
      </c>
      <c r="D15" t="s">
        <v>319</v>
      </c>
      <c r="E15">
        <v>32334</v>
      </c>
      <c r="F15">
        <v>321050</v>
      </c>
      <c r="G15">
        <v>308942</v>
      </c>
      <c r="H15">
        <v>204842</v>
      </c>
      <c r="I15">
        <v>695879</v>
      </c>
      <c r="J15">
        <v>273486</v>
      </c>
      <c r="K15">
        <v>345052</v>
      </c>
    </row>
    <row r="16" spans="1:11" x14ac:dyDescent="0.35">
      <c r="A16">
        <v>2024</v>
      </c>
      <c r="B16">
        <v>12</v>
      </c>
      <c r="C16" t="s">
        <v>75</v>
      </c>
      <c r="D16" t="s">
        <v>319</v>
      </c>
      <c r="E16">
        <v>32386</v>
      </c>
      <c r="F16">
        <v>320944</v>
      </c>
      <c r="G16">
        <v>308942</v>
      </c>
      <c r="H16">
        <v>204842</v>
      </c>
      <c r="I16">
        <v>695879</v>
      </c>
      <c r="J16">
        <v>273486</v>
      </c>
      <c r="K16">
        <v>343942</v>
      </c>
    </row>
    <row r="17" spans="1:11" x14ac:dyDescent="0.35">
      <c r="A17">
        <v>2025</v>
      </c>
      <c r="B17">
        <v>1</v>
      </c>
      <c r="C17" t="s">
        <v>42</v>
      </c>
      <c r="D17" t="s">
        <v>319</v>
      </c>
      <c r="E17">
        <v>32022</v>
      </c>
      <c r="F17">
        <v>319642</v>
      </c>
      <c r="G17">
        <v>308019</v>
      </c>
      <c r="H17">
        <v>204842</v>
      </c>
      <c r="I17">
        <v>699710</v>
      </c>
      <c r="J17">
        <v>273486</v>
      </c>
      <c r="K17">
        <v>342552</v>
      </c>
    </row>
    <row r="18" spans="1:11" x14ac:dyDescent="0.35">
      <c r="A18">
        <v>2025</v>
      </c>
      <c r="B18">
        <v>2</v>
      </c>
      <c r="C18" t="s">
        <v>63</v>
      </c>
      <c r="D18" t="s">
        <v>319</v>
      </c>
      <c r="E18">
        <v>32468</v>
      </c>
      <c r="F18">
        <v>321505</v>
      </c>
      <c r="G18">
        <v>305752</v>
      </c>
      <c r="H18">
        <v>204842</v>
      </c>
      <c r="I18">
        <v>695879</v>
      </c>
      <c r="J18">
        <v>272564</v>
      </c>
      <c r="K18">
        <v>352552</v>
      </c>
    </row>
    <row r="19" spans="1:11" x14ac:dyDescent="0.35">
      <c r="A19">
        <v>2025</v>
      </c>
      <c r="B19">
        <v>3</v>
      </c>
      <c r="C19" t="s">
        <v>66</v>
      </c>
      <c r="D19" t="s">
        <v>319</v>
      </c>
      <c r="E19">
        <v>33075</v>
      </c>
      <c r="F19">
        <v>320650</v>
      </c>
      <c r="G19">
        <v>308942</v>
      </c>
      <c r="H19">
        <v>204260</v>
      </c>
      <c r="I19">
        <v>695879</v>
      </c>
      <c r="J19">
        <v>270986</v>
      </c>
      <c r="K19">
        <v>348474</v>
      </c>
    </row>
    <row r="20" spans="1:11" x14ac:dyDescent="0.35">
      <c r="A20">
        <v>2025</v>
      </c>
      <c r="B20">
        <v>4</v>
      </c>
      <c r="C20" t="s">
        <v>67</v>
      </c>
      <c r="D20" t="s">
        <v>319</v>
      </c>
      <c r="E20">
        <v>32464</v>
      </c>
      <c r="F20">
        <v>321518</v>
      </c>
      <c r="G20">
        <v>305752</v>
      </c>
      <c r="H20">
        <v>204842</v>
      </c>
      <c r="I20">
        <v>695879</v>
      </c>
      <c r="J20">
        <v>272564</v>
      </c>
      <c r="K20">
        <v>352552</v>
      </c>
    </row>
    <row r="21" spans="1:11" x14ac:dyDescent="0.35">
      <c r="A21">
        <v>2025</v>
      </c>
      <c r="B21">
        <v>5</v>
      </c>
      <c r="C21" t="s">
        <v>68</v>
      </c>
      <c r="D21" t="s">
        <v>319</v>
      </c>
      <c r="E21">
        <v>34264</v>
      </c>
      <c r="F21">
        <v>318843</v>
      </c>
      <c r="G21">
        <v>305752</v>
      </c>
      <c r="H21">
        <v>204237</v>
      </c>
      <c r="I21">
        <v>695879</v>
      </c>
      <c r="J21">
        <v>267564</v>
      </c>
      <c r="K21">
        <v>348474</v>
      </c>
    </row>
    <row r="22" spans="1:11" x14ac:dyDescent="0.35">
      <c r="A22">
        <v>2025</v>
      </c>
      <c r="B22">
        <v>6</v>
      </c>
      <c r="C22" t="s">
        <v>69</v>
      </c>
      <c r="D22" t="s">
        <v>319</v>
      </c>
      <c r="E22">
        <v>36024</v>
      </c>
      <c r="F22">
        <v>317864</v>
      </c>
      <c r="G22">
        <v>305519</v>
      </c>
      <c r="H22">
        <v>204237</v>
      </c>
      <c r="I22">
        <v>695879</v>
      </c>
      <c r="J22">
        <v>270316</v>
      </c>
      <c r="K22">
        <v>346442</v>
      </c>
    </row>
    <row r="23" spans="1:11" x14ac:dyDescent="0.35">
      <c r="A23">
        <v>2025</v>
      </c>
      <c r="B23">
        <v>7</v>
      </c>
      <c r="C23" t="s">
        <v>70</v>
      </c>
      <c r="D23" t="s">
        <v>319</v>
      </c>
      <c r="E23">
        <v>36505</v>
      </c>
      <c r="F23">
        <v>317649</v>
      </c>
      <c r="G23">
        <v>305519</v>
      </c>
      <c r="H23">
        <v>204237</v>
      </c>
      <c r="I23">
        <v>695879</v>
      </c>
      <c r="J23">
        <v>270851</v>
      </c>
      <c r="K23">
        <v>345974</v>
      </c>
    </row>
    <row r="24" spans="1:11" x14ac:dyDescent="0.35">
      <c r="A24">
        <v>2025</v>
      </c>
      <c r="B24">
        <v>8</v>
      </c>
      <c r="C24" t="s">
        <v>71</v>
      </c>
      <c r="D24" t="s">
        <v>319</v>
      </c>
      <c r="E24">
        <v>36582</v>
      </c>
      <c r="F24">
        <v>318640</v>
      </c>
      <c r="G24">
        <v>307542</v>
      </c>
      <c r="H24">
        <v>204237</v>
      </c>
      <c r="I24">
        <v>695879</v>
      </c>
      <c r="J24">
        <v>270986</v>
      </c>
      <c r="K24">
        <v>345974</v>
      </c>
    </row>
    <row r="25" spans="1:11" x14ac:dyDescent="0.35">
      <c r="A25">
        <v>2025</v>
      </c>
      <c r="B25">
        <v>9</v>
      </c>
      <c r="C25" t="s">
        <v>72</v>
      </c>
      <c r="D25" t="s">
        <v>319</v>
      </c>
      <c r="E25">
        <v>36680</v>
      </c>
      <c r="F25">
        <v>318343</v>
      </c>
      <c r="G25">
        <v>305519</v>
      </c>
      <c r="H25">
        <v>204237</v>
      </c>
      <c r="I25">
        <v>696851</v>
      </c>
      <c r="J25">
        <v>270986</v>
      </c>
      <c r="K25">
        <v>347552</v>
      </c>
    </row>
    <row r="26" spans="1:11" x14ac:dyDescent="0.35">
      <c r="A26">
        <v>2025</v>
      </c>
      <c r="B26">
        <v>10</v>
      </c>
      <c r="C26" t="s">
        <v>73</v>
      </c>
      <c r="D26" t="s">
        <v>319</v>
      </c>
      <c r="E26">
        <v>36777</v>
      </c>
      <c r="F26">
        <v>318343</v>
      </c>
      <c r="G26">
        <v>305519</v>
      </c>
      <c r="H26">
        <v>204237</v>
      </c>
      <c r="I26">
        <v>707591</v>
      </c>
      <c r="J26">
        <v>270986</v>
      </c>
      <c r="K26">
        <v>347552</v>
      </c>
    </row>
    <row r="27" spans="1:11" x14ac:dyDescent="0.35">
      <c r="A27">
        <v>2025</v>
      </c>
      <c r="B27">
        <v>11</v>
      </c>
      <c r="C27" t="s">
        <v>74</v>
      </c>
      <c r="D27" t="s">
        <v>319</v>
      </c>
      <c r="E27">
        <v>36993</v>
      </c>
      <c r="F27">
        <v>318173</v>
      </c>
      <c r="G27">
        <v>305519</v>
      </c>
      <c r="H27">
        <v>204237</v>
      </c>
      <c r="I27">
        <v>696851</v>
      </c>
      <c r="J27">
        <v>270986</v>
      </c>
      <c r="K27">
        <v>347552</v>
      </c>
    </row>
    <row r="28" spans="1:11" x14ac:dyDescent="0.35">
      <c r="A28">
        <v>2025</v>
      </c>
      <c r="B28">
        <v>12</v>
      </c>
      <c r="C28" t="s">
        <v>75</v>
      </c>
      <c r="D28" t="s">
        <v>319</v>
      </c>
      <c r="E28">
        <v>36956</v>
      </c>
      <c r="F28">
        <v>318522</v>
      </c>
      <c r="G28">
        <v>305519</v>
      </c>
      <c r="H28">
        <v>204237</v>
      </c>
      <c r="I28">
        <v>696851</v>
      </c>
      <c r="J28">
        <v>270986</v>
      </c>
      <c r="K28">
        <v>348474</v>
      </c>
    </row>
  </sheetData>
  <mergeCells count="1">
    <mergeCell ref="A1:K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L29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299</v>
      </c>
      <c r="E5" t="s">
        <v>255</v>
      </c>
      <c r="F5">
        <v>8996</v>
      </c>
      <c r="G5">
        <v>383856</v>
      </c>
      <c r="H5">
        <v>382822</v>
      </c>
      <c r="I5">
        <v>297834</v>
      </c>
      <c r="J5">
        <v>598304</v>
      </c>
      <c r="K5">
        <v>325655</v>
      </c>
      <c r="L5">
        <v>424436</v>
      </c>
    </row>
    <row r="6" spans="1:12" x14ac:dyDescent="0.35">
      <c r="A6">
        <v>2024</v>
      </c>
      <c r="B6">
        <v>1</v>
      </c>
      <c r="C6" t="s">
        <v>42</v>
      </c>
      <c r="D6" t="s">
        <v>299</v>
      </c>
      <c r="E6" t="s">
        <v>257</v>
      </c>
      <c r="F6">
        <v>4280</v>
      </c>
      <c r="G6">
        <v>461710</v>
      </c>
      <c r="H6">
        <v>450544</v>
      </c>
      <c r="I6">
        <v>325286</v>
      </c>
      <c r="J6">
        <v>692502</v>
      </c>
      <c r="K6">
        <v>373474</v>
      </c>
      <c r="L6">
        <v>528403</v>
      </c>
    </row>
    <row r="7" spans="1:12" x14ac:dyDescent="0.35">
      <c r="A7">
        <v>2024</v>
      </c>
      <c r="B7">
        <v>1</v>
      </c>
      <c r="C7" t="s">
        <v>42</v>
      </c>
      <c r="D7" t="s">
        <v>299</v>
      </c>
      <c r="E7" t="s">
        <v>259</v>
      </c>
      <c r="F7">
        <v>1612</v>
      </c>
      <c r="G7">
        <v>615301</v>
      </c>
      <c r="H7">
        <v>621444</v>
      </c>
      <c r="I7">
        <v>382502</v>
      </c>
      <c r="J7">
        <v>720324</v>
      </c>
      <c r="K7">
        <v>575324</v>
      </c>
      <c r="L7">
        <v>670142</v>
      </c>
    </row>
    <row r="8" spans="1:12" x14ac:dyDescent="0.35">
      <c r="A8">
        <v>2024</v>
      </c>
      <c r="B8">
        <v>1</v>
      </c>
      <c r="C8" t="s">
        <v>42</v>
      </c>
      <c r="D8" t="s">
        <v>299</v>
      </c>
      <c r="E8" t="s">
        <v>261</v>
      </c>
      <c r="F8">
        <v>433</v>
      </c>
      <c r="G8">
        <v>663894</v>
      </c>
      <c r="H8">
        <v>673379</v>
      </c>
      <c r="I8">
        <v>452677</v>
      </c>
      <c r="J8">
        <v>728379</v>
      </c>
      <c r="K8">
        <v>651581</v>
      </c>
      <c r="L8">
        <v>685879</v>
      </c>
    </row>
    <row r="9" spans="1:12" x14ac:dyDescent="0.35">
      <c r="A9">
        <v>2024</v>
      </c>
      <c r="B9">
        <v>1</v>
      </c>
      <c r="C9" t="s">
        <v>42</v>
      </c>
      <c r="D9" t="s">
        <v>299</v>
      </c>
      <c r="E9" t="s">
        <v>263</v>
      </c>
      <c r="F9">
        <v>198</v>
      </c>
      <c r="G9">
        <v>697936</v>
      </c>
      <c r="H9">
        <v>695411</v>
      </c>
      <c r="I9">
        <v>620090</v>
      </c>
      <c r="J9">
        <v>768416</v>
      </c>
      <c r="K9">
        <v>680092</v>
      </c>
      <c r="L9">
        <v>715411</v>
      </c>
    </row>
    <row r="10" spans="1:12" x14ac:dyDescent="0.35">
      <c r="A10">
        <v>2024</v>
      </c>
      <c r="B10">
        <v>1</v>
      </c>
      <c r="C10" t="s">
        <v>42</v>
      </c>
      <c r="D10" t="s">
        <v>299</v>
      </c>
      <c r="E10" t="s">
        <v>265</v>
      </c>
      <c r="F10">
        <v>44</v>
      </c>
      <c r="G10">
        <v>278951</v>
      </c>
      <c r="H10">
        <v>275784</v>
      </c>
      <c r="I10">
        <v>231688</v>
      </c>
      <c r="J10">
        <v>335889</v>
      </c>
      <c r="K10">
        <v>254743</v>
      </c>
      <c r="L10">
        <v>303807</v>
      </c>
    </row>
    <row r="11" spans="1:12" x14ac:dyDescent="0.35">
      <c r="A11">
        <v>2024</v>
      </c>
      <c r="B11">
        <v>1</v>
      </c>
      <c r="C11" t="s">
        <v>42</v>
      </c>
      <c r="D11" t="s">
        <v>299</v>
      </c>
      <c r="E11" t="s">
        <v>267</v>
      </c>
      <c r="F11">
        <v>13942</v>
      </c>
      <c r="G11">
        <v>313503</v>
      </c>
      <c r="H11">
        <v>298486</v>
      </c>
      <c r="I11">
        <v>260063</v>
      </c>
      <c r="J11">
        <v>466517</v>
      </c>
      <c r="K11">
        <v>277564</v>
      </c>
      <c r="L11">
        <v>333252</v>
      </c>
    </row>
    <row r="12" spans="1:12" x14ac:dyDescent="0.35">
      <c r="A12">
        <v>2024</v>
      </c>
      <c r="B12">
        <v>1</v>
      </c>
      <c r="C12" t="s">
        <v>42</v>
      </c>
      <c r="D12" t="s">
        <v>299</v>
      </c>
      <c r="E12" t="s">
        <v>269</v>
      </c>
      <c r="F12">
        <v>7641</v>
      </c>
      <c r="G12">
        <v>227019</v>
      </c>
      <c r="H12">
        <v>226000</v>
      </c>
      <c r="I12">
        <v>203500</v>
      </c>
      <c r="J12">
        <v>274325</v>
      </c>
      <c r="K12">
        <v>211368</v>
      </c>
      <c r="L12">
        <v>238400</v>
      </c>
    </row>
    <row r="13" spans="1:12" x14ac:dyDescent="0.35">
      <c r="A13">
        <v>2024</v>
      </c>
      <c r="B13">
        <v>1</v>
      </c>
      <c r="C13" t="s">
        <v>42</v>
      </c>
      <c r="D13" t="s">
        <v>299</v>
      </c>
      <c r="E13" t="s">
        <v>271</v>
      </c>
      <c r="F13">
        <v>4638</v>
      </c>
      <c r="G13">
        <v>244515</v>
      </c>
      <c r="H13">
        <v>242661</v>
      </c>
      <c r="I13">
        <v>207526</v>
      </c>
      <c r="J13">
        <v>290297</v>
      </c>
      <c r="K13">
        <v>230210</v>
      </c>
      <c r="L13">
        <v>259509</v>
      </c>
    </row>
    <row r="14" spans="1:12" x14ac:dyDescent="0.35">
      <c r="A14">
        <v>2024</v>
      </c>
      <c r="B14">
        <v>1</v>
      </c>
      <c r="C14" t="s">
        <v>42</v>
      </c>
      <c r="D14" t="s">
        <v>299</v>
      </c>
      <c r="E14" t="s">
        <v>273</v>
      </c>
      <c r="F14">
        <v>6655</v>
      </c>
      <c r="G14">
        <v>257991</v>
      </c>
      <c r="H14">
        <v>259927</v>
      </c>
      <c r="I14">
        <v>210212</v>
      </c>
      <c r="J14">
        <v>320568</v>
      </c>
      <c r="K14">
        <v>235212</v>
      </c>
      <c r="L14">
        <v>276640</v>
      </c>
    </row>
    <row r="15" spans="1:12" x14ac:dyDescent="0.35">
      <c r="A15">
        <v>2024</v>
      </c>
      <c r="B15">
        <v>1</v>
      </c>
      <c r="C15" t="s">
        <v>42</v>
      </c>
      <c r="D15" t="s">
        <v>299</v>
      </c>
      <c r="E15" t="s">
        <v>275</v>
      </c>
      <c r="F15">
        <v>4327</v>
      </c>
      <c r="G15">
        <v>216098</v>
      </c>
      <c r="H15">
        <v>215260</v>
      </c>
      <c r="I15">
        <v>191417</v>
      </c>
      <c r="J15">
        <v>250950</v>
      </c>
      <c r="K15">
        <v>202895</v>
      </c>
      <c r="L15">
        <v>227895</v>
      </c>
    </row>
    <row r="16" spans="1:12" x14ac:dyDescent="0.35">
      <c r="A16">
        <v>2024</v>
      </c>
      <c r="B16">
        <v>1</v>
      </c>
      <c r="C16" t="s">
        <v>42</v>
      </c>
      <c r="D16" t="s">
        <v>299</v>
      </c>
      <c r="E16" t="s">
        <v>277</v>
      </c>
      <c r="F16">
        <v>6</v>
      </c>
      <c r="G16">
        <v>236317</v>
      </c>
      <c r="H16">
        <v>237150</v>
      </c>
      <c r="I16">
        <v>233400</v>
      </c>
      <c r="J16">
        <v>238400</v>
      </c>
      <c r="K16">
        <v>233400</v>
      </c>
      <c r="L16">
        <v>238400</v>
      </c>
    </row>
    <row r="17" spans="1:12" x14ac:dyDescent="0.35">
      <c r="A17">
        <v>2024</v>
      </c>
      <c r="B17">
        <v>2</v>
      </c>
      <c r="C17" t="s">
        <v>63</v>
      </c>
      <c r="D17" t="s">
        <v>299</v>
      </c>
      <c r="E17" t="s">
        <v>255</v>
      </c>
      <c r="F17">
        <v>9292</v>
      </c>
      <c r="G17">
        <v>388721</v>
      </c>
      <c r="H17">
        <v>390322</v>
      </c>
      <c r="I17">
        <v>297836</v>
      </c>
      <c r="J17">
        <v>598070</v>
      </c>
      <c r="K17">
        <v>325655</v>
      </c>
      <c r="L17">
        <v>433824</v>
      </c>
    </row>
    <row r="18" spans="1:12" x14ac:dyDescent="0.35">
      <c r="A18">
        <v>2024</v>
      </c>
      <c r="B18">
        <v>2</v>
      </c>
      <c r="C18" t="s">
        <v>63</v>
      </c>
      <c r="D18" t="s">
        <v>299</v>
      </c>
      <c r="E18" t="s">
        <v>257</v>
      </c>
      <c r="F18">
        <v>4377</v>
      </c>
      <c r="G18">
        <v>473323</v>
      </c>
      <c r="H18">
        <v>465544</v>
      </c>
      <c r="I18">
        <v>325286</v>
      </c>
      <c r="J18">
        <v>695250</v>
      </c>
      <c r="K18">
        <v>373476</v>
      </c>
      <c r="L18">
        <v>555804</v>
      </c>
    </row>
    <row r="19" spans="1:12" x14ac:dyDescent="0.35">
      <c r="A19">
        <v>2024</v>
      </c>
      <c r="B19">
        <v>2</v>
      </c>
      <c r="C19" t="s">
        <v>63</v>
      </c>
      <c r="D19" t="s">
        <v>299</v>
      </c>
      <c r="E19" t="s">
        <v>259</v>
      </c>
      <c r="F19">
        <v>1611</v>
      </c>
      <c r="G19">
        <v>620745</v>
      </c>
      <c r="H19">
        <v>628946</v>
      </c>
      <c r="I19">
        <v>382502</v>
      </c>
      <c r="J19">
        <v>721434</v>
      </c>
      <c r="K19">
        <v>578538</v>
      </c>
      <c r="L19">
        <v>675140</v>
      </c>
    </row>
    <row r="20" spans="1:12" x14ac:dyDescent="0.35">
      <c r="A20">
        <v>2024</v>
      </c>
      <c r="B20">
        <v>2</v>
      </c>
      <c r="C20" t="s">
        <v>63</v>
      </c>
      <c r="D20" t="s">
        <v>299</v>
      </c>
      <c r="E20" t="s">
        <v>261</v>
      </c>
      <c r="F20">
        <v>429</v>
      </c>
      <c r="G20">
        <v>666056</v>
      </c>
      <c r="H20">
        <v>674868</v>
      </c>
      <c r="I20">
        <v>452677</v>
      </c>
      <c r="J20">
        <v>728379</v>
      </c>
      <c r="K20">
        <v>652923</v>
      </c>
      <c r="L20">
        <v>688379</v>
      </c>
    </row>
    <row r="21" spans="1:12" x14ac:dyDescent="0.35">
      <c r="A21">
        <v>2024</v>
      </c>
      <c r="B21">
        <v>2</v>
      </c>
      <c r="C21" t="s">
        <v>63</v>
      </c>
      <c r="D21" t="s">
        <v>299</v>
      </c>
      <c r="E21" t="s">
        <v>263</v>
      </c>
      <c r="F21">
        <v>203</v>
      </c>
      <c r="G21">
        <v>714488</v>
      </c>
      <c r="H21">
        <v>716760</v>
      </c>
      <c r="I21">
        <v>620090</v>
      </c>
      <c r="J21">
        <v>780954</v>
      </c>
      <c r="K21">
        <v>701969</v>
      </c>
      <c r="L21">
        <v>731760</v>
      </c>
    </row>
    <row r="22" spans="1:12" x14ac:dyDescent="0.35">
      <c r="A22">
        <v>2024</v>
      </c>
      <c r="B22">
        <v>2</v>
      </c>
      <c r="C22" t="s">
        <v>63</v>
      </c>
      <c r="D22" t="s">
        <v>299</v>
      </c>
      <c r="E22" t="s">
        <v>265</v>
      </c>
      <c r="F22">
        <v>45</v>
      </c>
      <c r="G22">
        <v>279608</v>
      </c>
      <c r="H22">
        <v>277243</v>
      </c>
      <c r="I22">
        <v>231688</v>
      </c>
      <c r="J22">
        <v>335889</v>
      </c>
      <c r="K22">
        <v>254743</v>
      </c>
      <c r="L22">
        <v>303807</v>
      </c>
    </row>
    <row r="23" spans="1:12" x14ac:dyDescent="0.35">
      <c r="A23">
        <v>2024</v>
      </c>
      <c r="B23">
        <v>2</v>
      </c>
      <c r="C23" t="s">
        <v>63</v>
      </c>
      <c r="D23" t="s">
        <v>299</v>
      </c>
      <c r="E23" t="s">
        <v>267</v>
      </c>
      <c r="F23">
        <v>14162</v>
      </c>
      <c r="G23">
        <v>314922</v>
      </c>
      <c r="H23">
        <v>300752</v>
      </c>
      <c r="I23">
        <v>260064</v>
      </c>
      <c r="J23">
        <v>466517</v>
      </c>
      <c r="K23">
        <v>277564</v>
      </c>
      <c r="L23">
        <v>337542</v>
      </c>
    </row>
    <row r="24" spans="1:12" x14ac:dyDescent="0.35">
      <c r="A24">
        <v>2024</v>
      </c>
      <c r="B24">
        <v>2</v>
      </c>
      <c r="C24" t="s">
        <v>63</v>
      </c>
      <c r="D24" t="s">
        <v>299</v>
      </c>
      <c r="E24" t="s">
        <v>269</v>
      </c>
      <c r="F24">
        <v>7729</v>
      </c>
      <c r="G24">
        <v>227288</v>
      </c>
      <c r="H24">
        <v>226000</v>
      </c>
      <c r="I24">
        <v>202830</v>
      </c>
      <c r="J24">
        <v>274783</v>
      </c>
      <c r="K24">
        <v>211554</v>
      </c>
      <c r="L24">
        <v>238769</v>
      </c>
    </row>
    <row r="25" spans="1:12" x14ac:dyDescent="0.35">
      <c r="A25">
        <v>2024</v>
      </c>
      <c r="B25">
        <v>2</v>
      </c>
      <c r="C25" t="s">
        <v>63</v>
      </c>
      <c r="D25" t="s">
        <v>299</v>
      </c>
      <c r="E25" t="s">
        <v>271</v>
      </c>
      <c r="F25">
        <v>4635</v>
      </c>
      <c r="G25">
        <v>245395</v>
      </c>
      <c r="H25">
        <v>242720</v>
      </c>
      <c r="I25">
        <v>206856</v>
      </c>
      <c r="J25">
        <v>290063</v>
      </c>
      <c r="K25">
        <v>230210</v>
      </c>
      <c r="L25">
        <v>260210</v>
      </c>
    </row>
    <row r="26" spans="1:12" x14ac:dyDescent="0.35">
      <c r="A26">
        <v>2024</v>
      </c>
      <c r="B26">
        <v>2</v>
      </c>
      <c r="C26" t="s">
        <v>63</v>
      </c>
      <c r="D26" t="s">
        <v>299</v>
      </c>
      <c r="E26" t="s">
        <v>273</v>
      </c>
      <c r="F26">
        <v>6651</v>
      </c>
      <c r="G26">
        <v>258255</v>
      </c>
      <c r="H26">
        <v>259927</v>
      </c>
      <c r="I26">
        <v>210212</v>
      </c>
      <c r="J26">
        <v>320568</v>
      </c>
      <c r="K26">
        <v>235212</v>
      </c>
      <c r="L26">
        <v>276640</v>
      </c>
    </row>
    <row r="27" spans="1:12" x14ac:dyDescent="0.35">
      <c r="A27">
        <v>2024</v>
      </c>
      <c r="B27">
        <v>2</v>
      </c>
      <c r="C27" t="s">
        <v>63</v>
      </c>
      <c r="D27" t="s">
        <v>299</v>
      </c>
      <c r="E27" t="s">
        <v>275</v>
      </c>
      <c r="F27">
        <v>4347</v>
      </c>
      <c r="G27">
        <v>216247</v>
      </c>
      <c r="H27">
        <v>215260</v>
      </c>
      <c r="I27">
        <v>191417</v>
      </c>
      <c r="J27">
        <v>250950</v>
      </c>
      <c r="K27">
        <v>202895</v>
      </c>
      <c r="L27">
        <v>227895</v>
      </c>
    </row>
    <row r="28" spans="1:12" x14ac:dyDescent="0.35">
      <c r="A28">
        <v>2024</v>
      </c>
      <c r="B28">
        <v>2</v>
      </c>
      <c r="C28" t="s">
        <v>63</v>
      </c>
      <c r="D28" t="s">
        <v>299</v>
      </c>
      <c r="E28" t="s">
        <v>277</v>
      </c>
      <c r="F28">
        <v>6</v>
      </c>
      <c r="G28">
        <v>236317</v>
      </c>
      <c r="H28">
        <v>237150</v>
      </c>
      <c r="I28">
        <v>233400</v>
      </c>
      <c r="J28">
        <v>238400</v>
      </c>
      <c r="K28">
        <v>233400</v>
      </c>
      <c r="L28">
        <v>238400</v>
      </c>
    </row>
    <row r="29" spans="1:12" x14ac:dyDescent="0.35">
      <c r="A29">
        <v>2024</v>
      </c>
      <c r="B29">
        <v>3</v>
      </c>
      <c r="C29" t="s">
        <v>66</v>
      </c>
      <c r="D29" t="s">
        <v>299</v>
      </c>
      <c r="E29" t="s">
        <v>255</v>
      </c>
      <c r="F29">
        <v>9479</v>
      </c>
      <c r="G29">
        <v>384687</v>
      </c>
      <c r="H29">
        <v>382822</v>
      </c>
      <c r="I29">
        <v>297836</v>
      </c>
      <c r="J29">
        <v>598558</v>
      </c>
      <c r="K29">
        <v>325655</v>
      </c>
      <c r="L29">
        <v>428044</v>
      </c>
    </row>
    <row r="30" spans="1:12" x14ac:dyDescent="0.35">
      <c r="A30">
        <v>2024</v>
      </c>
      <c r="B30">
        <v>3</v>
      </c>
      <c r="C30" t="s">
        <v>66</v>
      </c>
      <c r="D30" t="s">
        <v>299</v>
      </c>
      <c r="E30" t="s">
        <v>257</v>
      </c>
      <c r="F30">
        <v>4524</v>
      </c>
      <c r="G30">
        <v>465660</v>
      </c>
      <c r="H30">
        <v>456604</v>
      </c>
      <c r="I30">
        <v>325286</v>
      </c>
      <c r="J30">
        <v>694955</v>
      </c>
      <c r="K30">
        <v>373474</v>
      </c>
      <c r="L30">
        <v>535903</v>
      </c>
    </row>
    <row r="31" spans="1:12" x14ac:dyDescent="0.35">
      <c r="A31">
        <v>2024</v>
      </c>
      <c r="B31">
        <v>3</v>
      </c>
      <c r="C31" t="s">
        <v>66</v>
      </c>
      <c r="D31" t="s">
        <v>299</v>
      </c>
      <c r="E31" t="s">
        <v>259</v>
      </c>
      <c r="F31">
        <v>1614</v>
      </c>
      <c r="G31">
        <v>617247</v>
      </c>
      <c r="H31">
        <v>623439</v>
      </c>
      <c r="I31">
        <v>382502</v>
      </c>
      <c r="J31">
        <v>720324</v>
      </c>
      <c r="K31">
        <v>575941</v>
      </c>
      <c r="L31">
        <v>672690</v>
      </c>
    </row>
    <row r="32" spans="1:12" x14ac:dyDescent="0.35">
      <c r="A32">
        <v>2024</v>
      </c>
      <c r="B32">
        <v>3</v>
      </c>
      <c r="C32" t="s">
        <v>66</v>
      </c>
      <c r="D32" t="s">
        <v>299</v>
      </c>
      <c r="E32" t="s">
        <v>261</v>
      </c>
      <c r="F32">
        <v>426</v>
      </c>
      <c r="G32">
        <v>664759</v>
      </c>
      <c r="H32">
        <v>673379</v>
      </c>
      <c r="I32">
        <v>452677</v>
      </c>
      <c r="J32">
        <v>728379</v>
      </c>
      <c r="K32">
        <v>649870</v>
      </c>
      <c r="L32">
        <v>685879</v>
      </c>
    </row>
    <row r="33" spans="1:12" x14ac:dyDescent="0.35">
      <c r="A33">
        <v>2024</v>
      </c>
      <c r="B33">
        <v>3</v>
      </c>
      <c r="C33" t="s">
        <v>66</v>
      </c>
      <c r="D33" t="s">
        <v>299</v>
      </c>
      <c r="E33" t="s">
        <v>263</v>
      </c>
      <c r="F33">
        <v>204</v>
      </c>
      <c r="G33">
        <v>706328</v>
      </c>
      <c r="H33">
        <v>706149</v>
      </c>
      <c r="I33">
        <v>620090</v>
      </c>
      <c r="J33">
        <v>768649</v>
      </c>
      <c r="K33">
        <v>695411</v>
      </c>
      <c r="L33">
        <v>720916</v>
      </c>
    </row>
    <row r="34" spans="1:12" x14ac:dyDescent="0.35">
      <c r="A34">
        <v>2024</v>
      </c>
      <c r="B34">
        <v>3</v>
      </c>
      <c r="C34" t="s">
        <v>66</v>
      </c>
      <c r="D34" t="s">
        <v>299</v>
      </c>
      <c r="E34" t="s">
        <v>265</v>
      </c>
      <c r="F34">
        <v>45</v>
      </c>
      <c r="G34">
        <v>278668</v>
      </c>
      <c r="H34">
        <v>277243</v>
      </c>
      <c r="I34">
        <v>231688</v>
      </c>
      <c r="J34">
        <v>335889</v>
      </c>
      <c r="K34">
        <v>254743</v>
      </c>
      <c r="L34">
        <v>303807</v>
      </c>
    </row>
    <row r="35" spans="1:12" x14ac:dyDescent="0.35">
      <c r="A35">
        <v>2024</v>
      </c>
      <c r="B35">
        <v>3</v>
      </c>
      <c r="C35" t="s">
        <v>66</v>
      </c>
      <c r="D35" t="s">
        <v>299</v>
      </c>
      <c r="E35" t="s">
        <v>267</v>
      </c>
      <c r="F35">
        <v>14478</v>
      </c>
      <c r="G35">
        <v>313120</v>
      </c>
      <c r="H35">
        <v>298486</v>
      </c>
      <c r="I35">
        <v>260064</v>
      </c>
      <c r="J35">
        <v>467106</v>
      </c>
      <c r="K35">
        <v>275986</v>
      </c>
      <c r="L35">
        <v>333486</v>
      </c>
    </row>
    <row r="36" spans="1:12" x14ac:dyDescent="0.35">
      <c r="A36">
        <v>2024</v>
      </c>
      <c r="B36">
        <v>3</v>
      </c>
      <c r="C36" t="s">
        <v>66</v>
      </c>
      <c r="D36" t="s">
        <v>299</v>
      </c>
      <c r="E36" t="s">
        <v>269</v>
      </c>
      <c r="F36">
        <v>7852</v>
      </c>
      <c r="G36">
        <v>226974</v>
      </c>
      <c r="H36">
        <v>225975</v>
      </c>
      <c r="I36">
        <v>202944</v>
      </c>
      <c r="J36">
        <v>274325</v>
      </c>
      <c r="K36">
        <v>211553</v>
      </c>
      <c r="L36">
        <v>238400</v>
      </c>
    </row>
    <row r="37" spans="1:12" x14ac:dyDescent="0.35">
      <c r="A37">
        <v>2024</v>
      </c>
      <c r="B37">
        <v>3</v>
      </c>
      <c r="C37" t="s">
        <v>66</v>
      </c>
      <c r="D37" t="s">
        <v>299</v>
      </c>
      <c r="E37" t="s">
        <v>271</v>
      </c>
      <c r="F37">
        <v>4634</v>
      </c>
      <c r="G37">
        <v>245104</v>
      </c>
      <c r="H37">
        <v>242661</v>
      </c>
      <c r="I37">
        <v>207526</v>
      </c>
      <c r="J37">
        <v>290297</v>
      </c>
      <c r="K37">
        <v>230210</v>
      </c>
      <c r="L37">
        <v>260161</v>
      </c>
    </row>
    <row r="38" spans="1:12" x14ac:dyDescent="0.35">
      <c r="A38">
        <v>2024</v>
      </c>
      <c r="B38">
        <v>3</v>
      </c>
      <c r="C38" t="s">
        <v>66</v>
      </c>
      <c r="D38" t="s">
        <v>299</v>
      </c>
      <c r="E38" t="s">
        <v>273</v>
      </c>
      <c r="F38">
        <v>6659</v>
      </c>
      <c r="G38">
        <v>258398</v>
      </c>
      <c r="H38">
        <v>259927</v>
      </c>
      <c r="I38">
        <v>210212</v>
      </c>
      <c r="J38">
        <v>320568</v>
      </c>
      <c r="K38">
        <v>235212</v>
      </c>
      <c r="L38">
        <v>276640</v>
      </c>
    </row>
    <row r="39" spans="1:12" x14ac:dyDescent="0.35">
      <c r="A39">
        <v>2024</v>
      </c>
      <c r="B39">
        <v>3</v>
      </c>
      <c r="C39" t="s">
        <v>66</v>
      </c>
      <c r="D39" t="s">
        <v>299</v>
      </c>
      <c r="E39" t="s">
        <v>275</v>
      </c>
      <c r="F39">
        <v>4427</v>
      </c>
      <c r="G39">
        <v>215930</v>
      </c>
      <c r="H39">
        <v>215026</v>
      </c>
      <c r="I39">
        <v>191417</v>
      </c>
      <c r="J39">
        <v>250950</v>
      </c>
      <c r="K39">
        <v>202895</v>
      </c>
      <c r="L39">
        <v>227895</v>
      </c>
    </row>
    <row r="40" spans="1:12" x14ac:dyDescent="0.35">
      <c r="A40">
        <v>2024</v>
      </c>
      <c r="B40">
        <v>3</v>
      </c>
      <c r="C40" t="s">
        <v>66</v>
      </c>
      <c r="D40" t="s">
        <v>299</v>
      </c>
      <c r="E40" t="s">
        <v>277</v>
      </c>
      <c r="F40">
        <v>6</v>
      </c>
      <c r="G40">
        <v>236317</v>
      </c>
      <c r="H40">
        <v>237150</v>
      </c>
      <c r="I40">
        <v>233400</v>
      </c>
      <c r="J40">
        <v>238400</v>
      </c>
      <c r="K40">
        <v>233400</v>
      </c>
      <c r="L40">
        <v>238400</v>
      </c>
    </row>
    <row r="41" spans="1:12" x14ac:dyDescent="0.35">
      <c r="A41">
        <v>2024</v>
      </c>
      <c r="B41">
        <v>4</v>
      </c>
      <c r="C41" t="s">
        <v>67</v>
      </c>
      <c r="D41" t="s">
        <v>299</v>
      </c>
      <c r="E41" t="s">
        <v>255</v>
      </c>
      <c r="F41">
        <v>9632</v>
      </c>
      <c r="G41">
        <v>383821</v>
      </c>
      <c r="H41">
        <v>382822</v>
      </c>
      <c r="I41">
        <v>297834</v>
      </c>
      <c r="J41">
        <v>598304</v>
      </c>
      <c r="K41">
        <v>325655</v>
      </c>
      <c r="L41">
        <v>426936</v>
      </c>
    </row>
    <row r="42" spans="1:12" x14ac:dyDescent="0.35">
      <c r="A42">
        <v>2024</v>
      </c>
      <c r="B42">
        <v>4</v>
      </c>
      <c r="C42" t="s">
        <v>67</v>
      </c>
      <c r="D42" t="s">
        <v>299</v>
      </c>
      <c r="E42" t="s">
        <v>257</v>
      </c>
      <c r="F42">
        <v>4622</v>
      </c>
      <c r="G42">
        <v>465325</v>
      </c>
      <c r="H42">
        <v>456604</v>
      </c>
      <c r="I42">
        <v>325286</v>
      </c>
      <c r="J42">
        <v>694973</v>
      </c>
      <c r="K42">
        <v>373474</v>
      </c>
      <c r="L42">
        <v>535903</v>
      </c>
    </row>
    <row r="43" spans="1:12" x14ac:dyDescent="0.35">
      <c r="A43">
        <v>2024</v>
      </c>
      <c r="B43">
        <v>4</v>
      </c>
      <c r="C43" t="s">
        <v>67</v>
      </c>
      <c r="D43" t="s">
        <v>299</v>
      </c>
      <c r="E43" t="s">
        <v>259</v>
      </c>
      <c r="F43">
        <v>1618</v>
      </c>
      <c r="G43">
        <v>616749</v>
      </c>
      <c r="H43">
        <v>621444</v>
      </c>
      <c r="I43">
        <v>382502</v>
      </c>
      <c r="J43">
        <v>720324</v>
      </c>
      <c r="K43">
        <v>575939</v>
      </c>
      <c r="L43">
        <v>672689</v>
      </c>
    </row>
    <row r="44" spans="1:12" x14ac:dyDescent="0.35">
      <c r="A44">
        <v>2024</v>
      </c>
      <c r="B44">
        <v>4</v>
      </c>
      <c r="C44" t="s">
        <v>67</v>
      </c>
      <c r="D44" t="s">
        <v>299</v>
      </c>
      <c r="E44" t="s">
        <v>261</v>
      </c>
      <c r="F44">
        <v>427</v>
      </c>
      <c r="G44">
        <v>663951</v>
      </c>
      <c r="H44">
        <v>673379</v>
      </c>
      <c r="I44">
        <v>452677</v>
      </c>
      <c r="J44">
        <v>728379</v>
      </c>
      <c r="K44">
        <v>649868</v>
      </c>
      <c r="L44">
        <v>685879</v>
      </c>
    </row>
    <row r="45" spans="1:12" x14ac:dyDescent="0.35">
      <c r="A45">
        <v>2024</v>
      </c>
      <c r="B45">
        <v>4</v>
      </c>
      <c r="C45" t="s">
        <v>67</v>
      </c>
      <c r="D45" t="s">
        <v>299</v>
      </c>
      <c r="E45" t="s">
        <v>263</v>
      </c>
      <c r="F45">
        <v>205</v>
      </c>
      <c r="G45">
        <v>707698</v>
      </c>
      <c r="H45">
        <v>706149</v>
      </c>
      <c r="I45">
        <v>620090</v>
      </c>
      <c r="J45">
        <v>768649</v>
      </c>
      <c r="K45">
        <v>695411</v>
      </c>
      <c r="L45">
        <v>721149</v>
      </c>
    </row>
    <row r="46" spans="1:12" x14ac:dyDescent="0.35">
      <c r="A46">
        <v>2024</v>
      </c>
      <c r="B46">
        <v>4</v>
      </c>
      <c r="C46" t="s">
        <v>67</v>
      </c>
      <c r="D46" t="s">
        <v>299</v>
      </c>
      <c r="E46" t="s">
        <v>265</v>
      </c>
      <c r="F46">
        <v>44</v>
      </c>
      <c r="G46">
        <v>278138</v>
      </c>
      <c r="H46">
        <v>275666</v>
      </c>
      <c r="I46">
        <v>231688</v>
      </c>
      <c r="J46">
        <v>335889</v>
      </c>
      <c r="K46">
        <v>254743</v>
      </c>
      <c r="L46">
        <v>303807</v>
      </c>
    </row>
    <row r="47" spans="1:12" x14ac:dyDescent="0.35">
      <c r="A47">
        <v>2024</v>
      </c>
      <c r="B47">
        <v>4</v>
      </c>
      <c r="C47" t="s">
        <v>67</v>
      </c>
      <c r="D47" t="s">
        <v>299</v>
      </c>
      <c r="E47" t="s">
        <v>267</v>
      </c>
      <c r="F47">
        <v>14629</v>
      </c>
      <c r="G47">
        <v>313016</v>
      </c>
      <c r="H47">
        <v>300519</v>
      </c>
      <c r="I47">
        <v>260063</v>
      </c>
      <c r="J47">
        <v>467550</v>
      </c>
      <c r="K47">
        <v>275988</v>
      </c>
      <c r="L47">
        <v>333252</v>
      </c>
    </row>
    <row r="48" spans="1:12" x14ac:dyDescent="0.35">
      <c r="A48">
        <v>2024</v>
      </c>
      <c r="B48">
        <v>4</v>
      </c>
      <c r="C48" t="s">
        <v>67</v>
      </c>
      <c r="D48" t="s">
        <v>299</v>
      </c>
      <c r="E48" t="s">
        <v>269</v>
      </c>
      <c r="F48">
        <v>7943</v>
      </c>
      <c r="G48">
        <v>226873</v>
      </c>
      <c r="H48">
        <v>225765</v>
      </c>
      <c r="I48">
        <v>203500</v>
      </c>
      <c r="J48">
        <v>274325</v>
      </c>
      <c r="K48">
        <v>211553</v>
      </c>
      <c r="L48">
        <v>238400</v>
      </c>
    </row>
    <row r="49" spans="1:12" x14ac:dyDescent="0.35">
      <c r="A49">
        <v>2024</v>
      </c>
      <c r="B49">
        <v>4</v>
      </c>
      <c r="C49" t="s">
        <v>67</v>
      </c>
      <c r="D49" t="s">
        <v>299</v>
      </c>
      <c r="E49" t="s">
        <v>271</v>
      </c>
      <c r="F49">
        <v>4626</v>
      </c>
      <c r="G49">
        <v>245248</v>
      </c>
      <c r="H49">
        <v>242661</v>
      </c>
      <c r="I49">
        <v>207202</v>
      </c>
      <c r="J49">
        <v>290297</v>
      </c>
      <c r="K49">
        <v>230210</v>
      </c>
      <c r="L49">
        <v>260161</v>
      </c>
    </row>
    <row r="50" spans="1:12" x14ac:dyDescent="0.35">
      <c r="A50">
        <v>2024</v>
      </c>
      <c r="B50">
        <v>4</v>
      </c>
      <c r="C50" t="s">
        <v>67</v>
      </c>
      <c r="D50" t="s">
        <v>299</v>
      </c>
      <c r="E50" t="s">
        <v>273</v>
      </c>
      <c r="F50">
        <v>6618</v>
      </c>
      <c r="G50">
        <v>258174</v>
      </c>
      <c r="H50">
        <v>259927</v>
      </c>
      <c r="I50">
        <v>210212</v>
      </c>
      <c r="J50">
        <v>320568</v>
      </c>
      <c r="K50">
        <v>235212</v>
      </c>
      <c r="L50">
        <v>276640</v>
      </c>
    </row>
    <row r="51" spans="1:12" x14ac:dyDescent="0.35">
      <c r="A51">
        <v>2024</v>
      </c>
      <c r="B51">
        <v>4</v>
      </c>
      <c r="C51" t="s">
        <v>67</v>
      </c>
      <c r="D51" t="s">
        <v>299</v>
      </c>
      <c r="E51" t="s">
        <v>275</v>
      </c>
      <c r="F51">
        <v>4549</v>
      </c>
      <c r="G51">
        <v>215607</v>
      </c>
      <c r="H51">
        <v>214422</v>
      </c>
      <c r="I51">
        <v>191417</v>
      </c>
      <c r="J51">
        <v>250950</v>
      </c>
      <c r="K51">
        <v>202760</v>
      </c>
      <c r="L51">
        <v>227526</v>
      </c>
    </row>
    <row r="52" spans="1:12" x14ac:dyDescent="0.35">
      <c r="A52">
        <v>2024</v>
      </c>
      <c r="B52">
        <v>4</v>
      </c>
      <c r="C52" t="s">
        <v>67</v>
      </c>
      <c r="D52" t="s">
        <v>299</v>
      </c>
      <c r="E52" t="s">
        <v>277</v>
      </c>
      <c r="F52">
        <v>6</v>
      </c>
      <c r="G52">
        <v>236317</v>
      </c>
      <c r="H52">
        <v>237150</v>
      </c>
      <c r="I52">
        <v>233400</v>
      </c>
      <c r="J52">
        <v>238400</v>
      </c>
      <c r="K52">
        <v>233400</v>
      </c>
      <c r="L52">
        <v>238400</v>
      </c>
    </row>
    <row r="53" spans="1:12" x14ac:dyDescent="0.35">
      <c r="A53">
        <v>2024</v>
      </c>
      <c r="B53">
        <v>5</v>
      </c>
      <c r="C53" t="s">
        <v>68</v>
      </c>
      <c r="D53" t="s">
        <v>299</v>
      </c>
      <c r="E53" t="s">
        <v>255</v>
      </c>
      <c r="F53">
        <v>9723</v>
      </c>
      <c r="G53">
        <v>382818</v>
      </c>
      <c r="H53">
        <v>377822</v>
      </c>
      <c r="I53">
        <v>297836</v>
      </c>
      <c r="J53">
        <v>598304</v>
      </c>
      <c r="K53">
        <v>325655</v>
      </c>
      <c r="L53">
        <v>424436</v>
      </c>
    </row>
    <row r="54" spans="1:12" x14ac:dyDescent="0.35">
      <c r="A54">
        <v>2024</v>
      </c>
      <c r="B54">
        <v>5</v>
      </c>
      <c r="C54" t="s">
        <v>68</v>
      </c>
      <c r="D54" t="s">
        <v>299</v>
      </c>
      <c r="E54" t="s">
        <v>257</v>
      </c>
      <c r="F54">
        <v>4709</v>
      </c>
      <c r="G54">
        <v>464918</v>
      </c>
      <c r="H54">
        <v>455544</v>
      </c>
      <c r="I54">
        <v>325286</v>
      </c>
      <c r="J54">
        <v>694955</v>
      </c>
      <c r="K54">
        <v>373474</v>
      </c>
      <c r="L54">
        <v>535903</v>
      </c>
    </row>
    <row r="55" spans="1:12" x14ac:dyDescent="0.35">
      <c r="A55">
        <v>2024</v>
      </c>
      <c r="B55">
        <v>5</v>
      </c>
      <c r="C55" t="s">
        <v>68</v>
      </c>
      <c r="D55" t="s">
        <v>299</v>
      </c>
      <c r="E55" t="s">
        <v>259</v>
      </c>
      <c r="F55">
        <v>1614</v>
      </c>
      <c r="G55">
        <v>616891</v>
      </c>
      <c r="H55">
        <v>621445</v>
      </c>
      <c r="I55">
        <v>382502</v>
      </c>
      <c r="J55">
        <v>720324</v>
      </c>
      <c r="K55">
        <v>575939</v>
      </c>
      <c r="L55">
        <v>672689</v>
      </c>
    </row>
    <row r="56" spans="1:12" x14ac:dyDescent="0.35">
      <c r="A56">
        <v>2024</v>
      </c>
      <c r="B56">
        <v>5</v>
      </c>
      <c r="C56" t="s">
        <v>68</v>
      </c>
      <c r="D56" t="s">
        <v>299</v>
      </c>
      <c r="E56" t="s">
        <v>261</v>
      </c>
      <c r="F56">
        <v>431</v>
      </c>
      <c r="G56">
        <v>663701</v>
      </c>
      <c r="H56">
        <v>673379</v>
      </c>
      <c r="I56">
        <v>452677</v>
      </c>
      <c r="J56">
        <v>728379</v>
      </c>
      <c r="K56">
        <v>649868</v>
      </c>
      <c r="L56">
        <v>685879</v>
      </c>
    </row>
    <row r="57" spans="1:12" x14ac:dyDescent="0.35">
      <c r="A57">
        <v>2024</v>
      </c>
      <c r="B57">
        <v>5</v>
      </c>
      <c r="C57" t="s">
        <v>68</v>
      </c>
      <c r="D57" t="s">
        <v>299</v>
      </c>
      <c r="E57" t="s">
        <v>263</v>
      </c>
      <c r="F57">
        <v>203</v>
      </c>
      <c r="G57">
        <v>706661</v>
      </c>
      <c r="H57">
        <v>706149</v>
      </c>
      <c r="I57">
        <v>620090</v>
      </c>
      <c r="J57">
        <v>768649</v>
      </c>
      <c r="K57">
        <v>695411</v>
      </c>
      <c r="L57">
        <v>720916</v>
      </c>
    </row>
    <row r="58" spans="1:12" x14ac:dyDescent="0.35">
      <c r="A58">
        <v>2024</v>
      </c>
      <c r="B58">
        <v>5</v>
      </c>
      <c r="C58" t="s">
        <v>68</v>
      </c>
      <c r="D58" t="s">
        <v>299</v>
      </c>
      <c r="E58" t="s">
        <v>265</v>
      </c>
      <c r="F58">
        <v>44</v>
      </c>
      <c r="G58">
        <v>278619</v>
      </c>
      <c r="H58">
        <v>275666</v>
      </c>
      <c r="I58">
        <v>231688</v>
      </c>
      <c r="J58">
        <v>335889</v>
      </c>
      <c r="K58">
        <v>254743</v>
      </c>
      <c r="L58">
        <v>303807</v>
      </c>
    </row>
    <row r="59" spans="1:12" x14ac:dyDescent="0.35">
      <c r="A59">
        <v>2024</v>
      </c>
      <c r="B59">
        <v>5</v>
      </c>
      <c r="C59" t="s">
        <v>68</v>
      </c>
      <c r="D59" t="s">
        <v>299</v>
      </c>
      <c r="E59" t="s">
        <v>267</v>
      </c>
      <c r="F59">
        <v>14588</v>
      </c>
      <c r="G59">
        <v>312833</v>
      </c>
      <c r="H59">
        <v>300519</v>
      </c>
      <c r="I59">
        <v>260063</v>
      </c>
      <c r="J59">
        <v>467871</v>
      </c>
      <c r="K59">
        <v>277914</v>
      </c>
      <c r="L59">
        <v>330519</v>
      </c>
    </row>
    <row r="60" spans="1:12" x14ac:dyDescent="0.35">
      <c r="A60">
        <v>2024</v>
      </c>
      <c r="B60">
        <v>5</v>
      </c>
      <c r="C60" t="s">
        <v>68</v>
      </c>
      <c r="D60" t="s">
        <v>299</v>
      </c>
      <c r="E60" t="s">
        <v>269</v>
      </c>
      <c r="F60">
        <v>7959</v>
      </c>
      <c r="G60">
        <v>226804</v>
      </c>
      <c r="H60">
        <v>225765</v>
      </c>
      <c r="I60">
        <v>202885</v>
      </c>
      <c r="J60">
        <v>274325</v>
      </c>
      <c r="K60">
        <v>211553</v>
      </c>
      <c r="L60">
        <v>238400</v>
      </c>
    </row>
    <row r="61" spans="1:12" x14ac:dyDescent="0.35">
      <c r="A61">
        <v>2024</v>
      </c>
      <c r="B61">
        <v>5</v>
      </c>
      <c r="C61" t="s">
        <v>68</v>
      </c>
      <c r="D61" t="s">
        <v>299</v>
      </c>
      <c r="E61" t="s">
        <v>271</v>
      </c>
      <c r="F61">
        <v>4609</v>
      </c>
      <c r="G61">
        <v>245090</v>
      </c>
      <c r="H61">
        <v>242661</v>
      </c>
      <c r="I61">
        <v>207526</v>
      </c>
      <c r="J61">
        <v>290297</v>
      </c>
      <c r="K61">
        <v>230210</v>
      </c>
      <c r="L61">
        <v>260161</v>
      </c>
    </row>
    <row r="62" spans="1:12" x14ac:dyDescent="0.35">
      <c r="A62">
        <v>2024</v>
      </c>
      <c r="B62">
        <v>5</v>
      </c>
      <c r="C62" t="s">
        <v>68</v>
      </c>
      <c r="D62" t="s">
        <v>299</v>
      </c>
      <c r="E62" t="s">
        <v>273</v>
      </c>
      <c r="F62">
        <v>6562</v>
      </c>
      <c r="G62">
        <v>259929</v>
      </c>
      <c r="H62">
        <v>259927</v>
      </c>
      <c r="I62">
        <v>210212</v>
      </c>
      <c r="J62">
        <v>320568</v>
      </c>
      <c r="K62">
        <v>241134</v>
      </c>
      <c r="L62">
        <v>276640</v>
      </c>
    </row>
    <row r="63" spans="1:12" x14ac:dyDescent="0.35">
      <c r="A63">
        <v>2024</v>
      </c>
      <c r="B63">
        <v>5</v>
      </c>
      <c r="C63" t="s">
        <v>68</v>
      </c>
      <c r="D63" t="s">
        <v>299</v>
      </c>
      <c r="E63" t="s">
        <v>275</v>
      </c>
      <c r="F63">
        <v>4526</v>
      </c>
      <c r="G63">
        <v>215527</v>
      </c>
      <c r="H63">
        <v>214422</v>
      </c>
      <c r="I63">
        <v>191417</v>
      </c>
      <c r="J63">
        <v>250950</v>
      </c>
      <c r="K63">
        <v>202526</v>
      </c>
      <c r="L63">
        <v>227760</v>
      </c>
    </row>
    <row r="64" spans="1:12" x14ac:dyDescent="0.35">
      <c r="A64">
        <v>2024</v>
      </c>
      <c r="B64">
        <v>5</v>
      </c>
      <c r="C64" t="s">
        <v>68</v>
      </c>
      <c r="D64" t="s">
        <v>299</v>
      </c>
      <c r="E64" t="s">
        <v>277</v>
      </c>
      <c r="F64">
        <v>6</v>
      </c>
      <c r="G64">
        <v>236317</v>
      </c>
      <c r="H64">
        <v>237150</v>
      </c>
      <c r="I64">
        <v>233400</v>
      </c>
      <c r="J64">
        <v>238400</v>
      </c>
      <c r="K64">
        <v>233400</v>
      </c>
      <c r="L64">
        <v>238400</v>
      </c>
    </row>
    <row r="65" spans="1:12" x14ac:dyDescent="0.35">
      <c r="A65">
        <v>2024</v>
      </c>
      <c r="B65">
        <v>6</v>
      </c>
      <c r="C65" t="s">
        <v>69</v>
      </c>
      <c r="D65" t="s">
        <v>299</v>
      </c>
      <c r="E65" t="s">
        <v>255</v>
      </c>
      <c r="F65">
        <v>9790</v>
      </c>
      <c r="G65">
        <v>382608</v>
      </c>
      <c r="H65">
        <v>375790</v>
      </c>
      <c r="I65">
        <v>297836</v>
      </c>
      <c r="J65">
        <v>598304</v>
      </c>
      <c r="K65">
        <v>325655</v>
      </c>
      <c r="L65">
        <v>424436</v>
      </c>
    </row>
    <row r="66" spans="1:12" x14ac:dyDescent="0.35">
      <c r="A66">
        <v>2024</v>
      </c>
      <c r="B66">
        <v>6</v>
      </c>
      <c r="C66" t="s">
        <v>69</v>
      </c>
      <c r="D66" t="s">
        <v>299</v>
      </c>
      <c r="E66" t="s">
        <v>257</v>
      </c>
      <c r="F66">
        <v>4771</v>
      </c>
      <c r="G66">
        <v>465609</v>
      </c>
      <c r="H66">
        <v>456604</v>
      </c>
      <c r="I66">
        <v>325286</v>
      </c>
      <c r="J66">
        <v>694955</v>
      </c>
      <c r="K66">
        <v>375322</v>
      </c>
      <c r="L66">
        <v>535903</v>
      </c>
    </row>
    <row r="67" spans="1:12" x14ac:dyDescent="0.35">
      <c r="A67">
        <v>2024</v>
      </c>
      <c r="B67">
        <v>6</v>
      </c>
      <c r="C67" t="s">
        <v>69</v>
      </c>
      <c r="D67" t="s">
        <v>299</v>
      </c>
      <c r="E67" t="s">
        <v>259</v>
      </c>
      <c r="F67">
        <v>1623</v>
      </c>
      <c r="G67">
        <v>616350</v>
      </c>
      <c r="H67">
        <v>621444</v>
      </c>
      <c r="I67">
        <v>382502</v>
      </c>
      <c r="J67">
        <v>720324</v>
      </c>
      <c r="K67">
        <v>575939</v>
      </c>
      <c r="L67">
        <v>672689</v>
      </c>
    </row>
    <row r="68" spans="1:12" x14ac:dyDescent="0.35">
      <c r="A68">
        <v>2024</v>
      </c>
      <c r="B68">
        <v>6</v>
      </c>
      <c r="C68" t="s">
        <v>69</v>
      </c>
      <c r="D68" t="s">
        <v>299</v>
      </c>
      <c r="E68" t="s">
        <v>261</v>
      </c>
      <c r="F68">
        <v>431</v>
      </c>
      <c r="G68">
        <v>663630</v>
      </c>
      <c r="H68">
        <v>673379</v>
      </c>
      <c r="I68">
        <v>452677</v>
      </c>
      <c r="J68">
        <v>728379</v>
      </c>
      <c r="K68">
        <v>649868</v>
      </c>
      <c r="L68">
        <v>685879</v>
      </c>
    </row>
    <row r="69" spans="1:12" x14ac:dyDescent="0.35">
      <c r="A69">
        <v>2024</v>
      </c>
      <c r="B69">
        <v>6</v>
      </c>
      <c r="C69" t="s">
        <v>69</v>
      </c>
      <c r="D69" t="s">
        <v>299</v>
      </c>
      <c r="E69" t="s">
        <v>263</v>
      </c>
      <c r="F69">
        <v>204</v>
      </c>
      <c r="G69">
        <v>705897</v>
      </c>
      <c r="H69">
        <v>706149</v>
      </c>
      <c r="I69">
        <v>620090</v>
      </c>
      <c r="J69">
        <v>768649</v>
      </c>
      <c r="K69">
        <v>695411</v>
      </c>
      <c r="L69">
        <v>720916</v>
      </c>
    </row>
    <row r="70" spans="1:12" x14ac:dyDescent="0.35">
      <c r="A70">
        <v>2024</v>
      </c>
      <c r="B70">
        <v>6</v>
      </c>
      <c r="C70" t="s">
        <v>69</v>
      </c>
      <c r="D70" t="s">
        <v>299</v>
      </c>
      <c r="E70" t="s">
        <v>265</v>
      </c>
      <c r="F70">
        <v>43</v>
      </c>
      <c r="G70">
        <v>278676</v>
      </c>
      <c r="H70">
        <v>277797</v>
      </c>
      <c r="I70">
        <v>231688</v>
      </c>
      <c r="J70">
        <v>335889</v>
      </c>
      <c r="K70">
        <v>254743</v>
      </c>
      <c r="L70">
        <v>303807</v>
      </c>
    </row>
    <row r="71" spans="1:12" x14ac:dyDescent="0.35">
      <c r="A71">
        <v>2024</v>
      </c>
      <c r="B71">
        <v>6</v>
      </c>
      <c r="C71" t="s">
        <v>69</v>
      </c>
      <c r="D71" t="s">
        <v>299</v>
      </c>
      <c r="E71" t="s">
        <v>267</v>
      </c>
      <c r="F71">
        <v>14617</v>
      </c>
      <c r="G71">
        <v>313409</v>
      </c>
      <c r="H71">
        <v>300519</v>
      </c>
      <c r="I71">
        <v>260063</v>
      </c>
      <c r="J71">
        <v>466517</v>
      </c>
      <c r="K71">
        <v>279883</v>
      </c>
      <c r="L71">
        <v>330519</v>
      </c>
    </row>
    <row r="72" spans="1:12" x14ac:dyDescent="0.35">
      <c r="A72">
        <v>2024</v>
      </c>
      <c r="B72">
        <v>6</v>
      </c>
      <c r="C72" t="s">
        <v>69</v>
      </c>
      <c r="D72" t="s">
        <v>299</v>
      </c>
      <c r="E72" t="s">
        <v>269</v>
      </c>
      <c r="F72">
        <v>8044</v>
      </c>
      <c r="G72">
        <v>226821</v>
      </c>
      <c r="H72">
        <v>225595</v>
      </c>
      <c r="I72">
        <v>202830</v>
      </c>
      <c r="J72">
        <v>274325</v>
      </c>
      <c r="K72">
        <v>211553</v>
      </c>
      <c r="L72">
        <v>238400</v>
      </c>
    </row>
    <row r="73" spans="1:12" x14ac:dyDescent="0.35">
      <c r="A73">
        <v>2024</v>
      </c>
      <c r="B73">
        <v>6</v>
      </c>
      <c r="C73" t="s">
        <v>69</v>
      </c>
      <c r="D73" t="s">
        <v>299</v>
      </c>
      <c r="E73" t="s">
        <v>271</v>
      </c>
      <c r="F73">
        <v>4612</v>
      </c>
      <c r="G73">
        <v>244952</v>
      </c>
      <c r="H73">
        <v>242661</v>
      </c>
      <c r="I73">
        <v>207526</v>
      </c>
      <c r="J73">
        <v>290297</v>
      </c>
      <c r="K73">
        <v>230210</v>
      </c>
      <c r="L73">
        <v>260161</v>
      </c>
    </row>
    <row r="74" spans="1:12" x14ac:dyDescent="0.35">
      <c r="A74">
        <v>2024</v>
      </c>
      <c r="B74">
        <v>6</v>
      </c>
      <c r="C74" t="s">
        <v>69</v>
      </c>
      <c r="D74" t="s">
        <v>299</v>
      </c>
      <c r="E74" t="s">
        <v>273</v>
      </c>
      <c r="F74">
        <v>6542</v>
      </c>
      <c r="G74">
        <v>259508</v>
      </c>
      <c r="H74">
        <v>259927</v>
      </c>
      <c r="I74">
        <v>210212</v>
      </c>
      <c r="J74">
        <v>320568</v>
      </c>
      <c r="K74">
        <v>241134</v>
      </c>
      <c r="L74">
        <v>276640</v>
      </c>
    </row>
    <row r="75" spans="1:12" x14ac:dyDescent="0.35">
      <c r="A75">
        <v>2024</v>
      </c>
      <c r="B75">
        <v>6</v>
      </c>
      <c r="C75" t="s">
        <v>69</v>
      </c>
      <c r="D75" t="s">
        <v>299</v>
      </c>
      <c r="E75" t="s">
        <v>275</v>
      </c>
      <c r="F75">
        <v>4520</v>
      </c>
      <c r="G75">
        <v>215737</v>
      </c>
      <c r="H75">
        <v>215026</v>
      </c>
      <c r="I75">
        <v>191418</v>
      </c>
      <c r="J75">
        <v>250950</v>
      </c>
      <c r="K75">
        <v>202760</v>
      </c>
      <c r="L75">
        <v>227895</v>
      </c>
    </row>
    <row r="76" spans="1:12" x14ac:dyDescent="0.35">
      <c r="A76">
        <v>2024</v>
      </c>
      <c r="B76">
        <v>6</v>
      </c>
      <c r="C76" t="s">
        <v>69</v>
      </c>
      <c r="D76" t="s">
        <v>299</v>
      </c>
      <c r="E76" t="s">
        <v>277</v>
      </c>
      <c r="F76">
        <v>6</v>
      </c>
      <c r="G76">
        <v>236317</v>
      </c>
      <c r="H76">
        <v>237150</v>
      </c>
      <c r="I76">
        <v>233400</v>
      </c>
      <c r="J76">
        <v>238400</v>
      </c>
      <c r="K76">
        <v>233400</v>
      </c>
      <c r="L76">
        <v>238400</v>
      </c>
    </row>
    <row r="77" spans="1:12" x14ac:dyDescent="0.35">
      <c r="A77">
        <v>2024</v>
      </c>
      <c r="B77">
        <v>7</v>
      </c>
      <c r="C77" t="s">
        <v>70</v>
      </c>
      <c r="D77" t="s">
        <v>299</v>
      </c>
      <c r="E77" t="s">
        <v>255</v>
      </c>
      <c r="F77">
        <v>9893</v>
      </c>
      <c r="G77">
        <v>382973</v>
      </c>
      <c r="H77">
        <v>375790</v>
      </c>
      <c r="I77">
        <v>297836</v>
      </c>
      <c r="J77">
        <v>598304</v>
      </c>
      <c r="K77">
        <v>325655</v>
      </c>
      <c r="L77">
        <v>424438</v>
      </c>
    </row>
    <row r="78" spans="1:12" x14ac:dyDescent="0.35">
      <c r="A78">
        <v>2024</v>
      </c>
      <c r="B78">
        <v>7</v>
      </c>
      <c r="C78" t="s">
        <v>70</v>
      </c>
      <c r="D78" t="s">
        <v>299</v>
      </c>
      <c r="E78" t="s">
        <v>257</v>
      </c>
      <c r="F78">
        <v>4848</v>
      </c>
      <c r="G78">
        <v>465833</v>
      </c>
      <c r="H78">
        <v>456604</v>
      </c>
      <c r="I78">
        <v>325286</v>
      </c>
      <c r="J78">
        <v>694955</v>
      </c>
      <c r="K78">
        <v>374868</v>
      </c>
      <c r="L78">
        <v>535903</v>
      </c>
    </row>
    <row r="79" spans="1:12" x14ac:dyDescent="0.35">
      <c r="A79">
        <v>2024</v>
      </c>
      <c r="B79">
        <v>7</v>
      </c>
      <c r="C79" t="s">
        <v>70</v>
      </c>
      <c r="D79" t="s">
        <v>299</v>
      </c>
      <c r="E79" t="s">
        <v>259</v>
      </c>
      <c r="F79">
        <v>1622</v>
      </c>
      <c r="G79">
        <v>616322</v>
      </c>
      <c r="H79">
        <v>621444</v>
      </c>
      <c r="I79">
        <v>382502</v>
      </c>
      <c r="J79">
        <v>720324</v>
      </c>
      <c r="K79">
        <v>575939</v>
      </c>
      <c r="L79">
        <v>672689</v>
      </c>
    </row>
    <row r="80" spans="1:12" x14ac:dyDescent="0.35">
      <c r="A80">
        <v>2024</v>
      </c>
      <c r="B80">
        <v>7</v>
      </c>
      <c r="C80" t="s">
        <v>70</v>
      </c>
      <c r="D80" t="s">
        <v>299</v>
      </c>
      <c r="E80" t="s">
        <v>261</v>
      </c>
      <c r="F80">
        <v>429</v>
      </c>
      <c r="G80">
        <v>663457</v>
      </c>
      <c r="H80">
        <v>673379</v>
      </c>
      <c r="I80">
        <v>452677</v>
      </c>
      <c r="J80">
        <v>728379</v>
      </c>
      <c r="K80">
        <v>649868</v>
      </c>
      <c r="L80">
        <v>685879</v>
      </c>
    </row>
    <row r="81" spans="1:12" x14ac:dyDescent="0.35">
      <c r="A81">
        <v>2024</v>
      </c>
      <c r="B81">
        <v>7</v>
      </c>
      <c r="C81" t="s">
        <v>70</v>
      </c>
      <c r="D81" t="s">
        <v>299</v>
      </c>
      <c r="E81" t="s">
        <v>263</v>
      </c>
      <c r="F81">
        <v>204</v>
      </c>
      <c r="G81">
        <v>706770</v>
      </c>
      <c r="H81">
        <v>706149</v>
      </c>
      <c r="I81">
        <v>620090</v>
      </c>
      <c r="J81">
        <v>778689</v>
      </c>
      <c r="K81">
        <v>695411</v>
      </c>
      <c r="L81">
        <v>720916</v>
      </c>
    </row>
    <row r="82" spans="1:12" x14ac:dyDescent="0.35">
      <c r="A82">
        <v>2024</v>
      </c>
      <c r="B82">
        <v>7</v>
      </c>
      <c r="C82" t="s">
        <v>70</v>
      </c>
      <c r="D82" t="s">
        <v>299</v>
      </c>
      <c r="E82" t="s">
        <v>265</v>
      </c>
      <c r="F82">
        <v>43</v>
      </c>
      <c r="G82">
        <v>279190</v>
      </c>
      <c r="H82">
        <v>279090</v>
      </c>
      <c r="I82">
        <v>231688</v>
      </c>
      <c r="J82">
        <v>335889</v>
      </c>
      <c r="K82">
        <v>254743</v>
      </c>
      <c r="L82">
        <v>303807</v>
      </c>
    </row>
    <row r="83" spans="1:12" x14ac:dyDescent="0.35">
      <c r="A83">
        <v>2024</v>
      </c>
      <c r="B83">
        <v>7</v>
      </c>
      <c r="C83" t="s">
        <v>70</v>
      </c>
      <c r="D83" t="s">
        <v>299</v>
      </c>
      <c r="E83" t="s">
        <v>267</v>
      </c>
      <c r="F83">
        <v>14731</v>
      </c>
      <c r="G83">
        <v>313481</v>
      </c>
      <c r="H83">
        <v>300519</v>
      </c>
      <c r="I83">
        <v>260064</v>
      </c>
      <c r="J83">
        <v>466517</v>
      </c>
      <c r="K83">
        <v>280064</v>
      </c>
      <c r="L83">
        <v>330052</v>
      </c>
    </row>
    <row r="84" spans="1:12" x14ac:dyDescent="0.35">
      <c r="A84">
        <v>2024</v>
      </c>
      <c r="B84">
        <v>7</v>
      </c>
      <c r="C84" t="s">
        <v>70</v>
      </c>
      <c r="D84" t="s">
        <v>299</v>
      </c>
      <c r="E84" t="s">
        <v>269</v>
      </c>
      <c r="F84">
        <v>8091</v>
      </c>
      <c r="G84">
        <v>226715</v>
      </c>
      <c r="H84">
        <v>224053</v>
      </c>
      <c r="I84">
        <v>203065</v>
      </c>
      <c r="J84">
        <v>274506</v>
      </c>
      <c r="K84">
        <v>211368</v>
      </c>
      <c r="L84">
        <v>238400</v>
      </c>
    </row>
    <row r="85" spans="1:12" x14ac:dyDescent="0.35">
      <c r="A85">
        <v>2024</v>
      </c>
      <c r="B85">
        <v>7</v>
      </c>
      <c r="C85" t="s">
        <v>70</v>
      </c>
      <c r="D85" t="s">
        <v>299</v>
      </c>
      <c r="E85" t="s">
        <v>271</v>
      </c>
      <c r="F85">
        <v>4639</v>
      </c>
      <c r="G85">
        <v>245102</v>
      </c>
      <c r="H85">
        <v>242661</v>
      </c>
      <c r="I85">
        <v>207526</v>
      </c>
      <c r="J85">
        <v>290297</v>
      </c>
      <c r="K85">
        <v>230210</v>
      </c>
      <c r="L85">
        <v>260161</v>
      </c>
    </row>
    <row r="86" spans="1:12" x14ac:dyDescent="0.35">
      <c r="A86">
        <v>2024</v>
      </c>
      <c r="B86">
        <v>7</v>
      </c>
      <c r="C86" t="s">
        <v>70</v>
      </c>
      <c r="D86" t="s">
        <v>299</v>
      </c>
      <c r="E86" t="s">
        <v>273</v>
      </c>
      <c r="F86">
        <v>6544</v>
      </c>
      <c r="G86">
        <v>260159</v>
      </c>
      <c r="H86">
        <v>259927</v>
      </c>
      <c r="I86">
        <v>210212</v>
      </c>
      <c r="J86">
        <v>320568</v>
      </c>
      <c r="K86">
        <v>241134</v>
      </c>
      <c r="L86">
        <v>276640</v>
      </c>
    </row>
    <row r="87" spans="1:12" x14ac:dyDescent="0.35">
      <c r="A87">
        <v>2024</v>
      </c>
      <c r="B87">
        <v>7</v>
      </c>
      <c r="C87" t="s">
        <v>70</v>
      </c>
      <c r="D87" t="s">
        <v>299</v>
      </c>
      <c r="E87" t="s">
        <v>275</v>
      </c>
      <c r="F87">
        <v>4537</v>
      </c>
      <c r="G87">
        <v>215811</v>
      </c>
      <c r="H87">
        <v>214422</v>
      </c>
      <c r="I87">
        <v>191418</v>
      </c>
      <c r="J87">
        <v>250950</v>
      </c>
      <c r="K87">
        <v>202895</v>
      </c>
      <c r="L87">
        <v>227895</v>
      </c>
    </row>
    <row r="88" spans="1:12" x14ac:dyDescent="0.35">
      <c r="A88">
        <v>2024</v>
      </c>
      <c r="B88">
        <v>7</v>
      </c>
      <c r="C88" t="s">
        <v>70</v>
      </c>
      <c r="D88" t="s">
        <v>299</v>
      </c>
      <c r="E88" t="s">
        <v>277</v>
      </c>
      <c r="F88">
        <v>6</v>
      </c>
      <c r="G88">
        <v>236317</v>
      </c>
      <c r="H88">
        <v>237150</v>
      </c>
      <c r="I88">
        <v>233400</v>
      </c>
      <c r="J88">
        <v>238400</v>
      </c>
      <c r="K88">
        <v>233400</v>
      </c>
      <c r="L88">
        <v>238400</v>
      </c>
    </row>
    <row r="89" spans="1:12" x14ac:dyDescent="0.35">
      <c r="A89">
        <v>2024</v>
      </c>
      <c r="B89">
        <v>8</v>
      </c>
      <c r="C89" t="s">
        <v>71</v>
      </c>
      <c r="D89" t="s">
        <v>299</v>
      </c>
      <c r="E89" t="s">
        <v>255</v>
      </c>
      <c r="F89">
        <v>9964</v>
      </c>
      <c r="G89">
        <v>385033</v>
      </c>
      <c r="H89">
        <v>380324</v>
      </c>
      <c r="I89">
        <v>297836</v>
      </c>
      <c r="J89">
        <v>598842</v>
      </c>
      <c r="K89">
        <v>325655</v>
      </c>
      <c r="L89">
        <v>426936</v>
      </c>
    </row>
    <row r="90" spans="1:12" x14ac:dyDescent="0.35">
      <c r="A90">
        <v>2024</v>
      </c>
      <c r="B90">
        <v>8</v>
      </c>
      <c r="C90" t="s">
        <v>71</v>
      </c>
      <c r="D90" t="s">
        <v>299</v>
      </c>
      <c r="E90" t="s">
        <v>257</v>
      </c>
      <c r="F90">
        <v>4890</v>
      </c>
      <c r="G90">
        <v>465960</v>
      </c>
      <c r="H90">
        <v>456604</v>
      </c>
      <c r="I90">
        <v>325286</v>
      </c>
      <c r="J90">
        <v>694955</v>
      </c>
      <c r="K90">
        <v>373474</v>
      </c>
      <c r="L90">
        <v>535903</v>
      </c>
    </row>
    <row r="91" spans="1:12" x14ac:dyDescent="0.35">
      <c r="A91">
        <v>2024</v>
      </c>
      <c r="B91">
        <v>8</v>
      </c>
      <c r="C91" t="s">
        <v>71</v>
      </c>
      <c r="D91" t="s">
        <v>299</v>
      </c>
      <c r="E91" t="s">
        <v>259</v>
      </c>
      <c r="F91">
        <v>1621</v>
      </c>
      <c r="G91">
        <v>616728</v>
      </c>
      <c r="H91">
        <v>623944</v>
      </c>
      <c r="I91">
        <v>382502</v>
      </c>
      <c r="J91">
        <v>720324</v>
      </c>
      <c r="K91">
        <v>575941</v>
      </c>
      <c r="L91">
        <v>672689</v>
      </c>
    </row>
    <row r="92" spans="1:12" x14ac:dyDescent="0.35">
      <c r="A92">
        <v>2024</v>
      </c>
      <c r="B92">
        <v>8</v>
      </c>
      <c r="C92" t="s">
        <v>71</v>
      </c>
      <c r="D92" t="s">
        <v>299</v>
      </c>
      <c r="E92" t="s">
        <v>261</v>
      </c>
      <c r="F92">
        <v>431</v>
      </c>
      <c r="G92">
        <v>667810</v>
      </c>
      <c r="H92">
        <v>673380</v>
      </c>
      <c r="I92">
        <v>452677</v>
      </c>
      <c r="J92">
        <v>728379</v>
      </c>
      <c r="K92">
        <v>661718</v>
      </c>
      <c r="L92">
        <v>685879</v>
      </c>
    </row>
    <row r="93" spans="1:12" x14ac:dyDescent="0.35">
      <c r="A93">
        <v>2024</v>
      </c>
      <c r="B93">
        <v>8</v>
      </c>
      <c r="C93" t="s">
        <v>71</v>
      </c>
      <c r="D93" t="s">
        <v>299</v>
      </c>
      <c r="E93" t="s">
        <v>263</v>
      </c>
      <c r="F93">
        <v>209</v>
      </c>
      <c r="G93">
        <v>709960</v>
      </c>
      <c r="H93">
        <v>706149</v>
      </c>
      <c r="I93">
        <v>630977</v>
      </c>
      <c r="J93">
        <v>780969</v>
      </c>
      <c r="K93">
        <v>695411</v>
      </c>
      <c r="L93">
        <v>721149</v>
      </c>
    </row>
    <row r="94" spans="1:12" x14ac:dyDescent="0.35">
      <c r="A94">
        <v>2024</v>
      </c>
      <c r="B94">
        <v>8</v>
      </c>
      <c r="C94" t="s">
        <v>71</v>
      </c>
      <c r="D94" t="s">
        <v>299</v>
      </c>
      <c r="E94" t="s">
        <v>265</v>
      </c>
      <c r="F94">
        <v>43</v>
      </c>
      <c r="G94">
        <v>279590</v>
      </c>
      <c r="H94">
        <v>277797</v>
      </c>
      <c r="I94">
        <v>231688</v>
      </c>
      <c r="J94">
        <v>335889</v>
      </c>
      <c r="K94">
        <v>254743</v>
      </c>
      <c r="L94">
        <v>308672</v>
      </c>
    </row>
    <row r="95" spans="1:12" x14ac:dyDescent="0.35">
      <c r="A95">
        <v>2024</v>
      </c>
      <c r="B95">
        <v>8</v>
      </c>
      <c r="C95" t="s">
        <v>71</v>
      </c>
      <c r="D95" t="s">
        <v>299</v>
      </c>
      <c r="E95" t="s">
        <v>267</v>
      </c>
      <c r="F95">
        <v>14995</v>
      </c>
      <c r="G95">
        <v>315101</v>
      </c>
      <c r="H95">
        <v>300519</v>
      </c>
      <c r="I95">
        <v>260064</v>
      </c>
      <c r="J95">
        <v>467889</v>
      </c>
      <c r="K95">
        <v>280752</v>
      </c>
      <c r="L95">
        <v>333019</v>
      </c>
    </row>
    <row r="96" spans="1:12" x14ac:dyDescent="0.35">
      <c r="A96">
        <v>2024</v>
      </c>
      <c r="B96">
        <v>8</v>
      </c>
      <c r="C96" t="s">
        <v>71</v>
      </c>
      <c r="D96" t="s">
        <v>299</v>
      </c>
      <c r="E96" t="s">
        <v>269</v>
      </c>
      <c r="F96">
        <v>8098</v>
      </c>
      <c r="G96">
        <v>226820</v>
      </c>
      <c r="H96">
        <v>224053</v>
      </c>
      <c r="I96">
        <v>202830</v>
      </c>
      <c r="J96">
        <v>274767</v>
      </c>
      <c r="K96">
        <v>211368</v>
      </c>
      <c r="L96">
        <v>238400</v>
      </c>
    </row>
    <row r="97" spans="1:12" x14ac:dyDescent="0.35">
      <c r="A97">
        <v>2024</v>
      </c>
      <c r="B97">
        <v>8</v>
      </c>
      <c r="C97" t="s">
        <v>71</v>
      </c>
      <c r="D97" t="s">
        <v>299</v>
      </c>
      <c r="E97" t="s">
        <v>271</v>
      </c>
      <c r="F97">
        <v>4603</v>
      </c>
      <c r="G97">
        <v>245979</v>
      </c>
      <c r="H97">
        <v>243265</v>
      </c>
      <c r="I97">
        <v>206942</v>
      </c>
      <c r="J97">
        <v>290298</v>
      </c>
      <c r="K97">
        <v>230210</v>
      </c>
      <c r="L97">
        <v>260765</v>
      </c>
    </row>
    <row r="98" spans="1:12" x14ac:dyDescent="0.35">
      <c r="A98">
        <v>2024</v>
      </c>
      <c r="B98">
        <v>8</v>
      </c>
      <c r="C98" t="s">
        <v>71</v>
      </c>
      <c r="D98" t="s">
        <v>299</v>
      </c>
      <c r="E98" t="s">
        <v>273</v>
      </c>
      <c r="F98">
        <v>6513</v>
      </c>
      <c r="G98">
        <v>260383</v>
      </c>
      <c r="H98">
        <v>259927</v>
      </c>
      <c r="I98">
        <v>210212</v>
      </c>
      <c r="J98">
        <v>321328</v>
      </c>
      <c r="K98">
        <v>241134</v>
      </c>
      <c r="L98">
        <v>277009</v>
      </c>
    </row>
    <row r="99" spans="1:12" x14ac:dyDescent="0.35">
      <c r="A99">
        <v>2024</v>
      </c>
      <c r="B99">
        <v>8</v>
      </c>
      <c r="C99" t="s">
        <v>71</v>
      </c>
      <c r="D99" t="s">
        <v>299</v>
      </c>
      <c r="E99" t="s">
        <v>275</v>
      </c>
      <c r="F99">
        <v>4568</v>
      </c>
      <c r="G99">
        <v>216081</v>
      </c>
      <c r="H99">
        <v>215260</v>
      </c>
      <c r="I99">
        <v>191418</v>
      </c>
      <c r="J99">
        <v>250950</v>
      </c>
      <c r="K99">
        <v>202895</v>
      </c>
      <c r="L99">
        <v>227895</v>
      </c>
    </row>
    <row r="100" spans="1:12" x14ac:dyDescent="0.35">
      <c r="A100">
        <v>2024</v>
      </c>
      <c r="B100">
        <v>8</v>
      </c>
      <c r="C100" t="s">
        <v>71</v>
      </c>
      <c r="D100" t="s">
        <v>299</v>
      </c>
      <c r="E100" t="s">
        <v>277</v>
      </c>
      <c r="F100">
        <v>6</v>
      </c>
      <c r="G100">
        <v>235067</v>
      </c>
      <c r="H100">
        <v>235900</v>
      </c>
      <c r="I100">
        <v>228400</v>
      </c>
      <c r="J100">
        <v>238400</v>
      </c>
      <c r="K100">
        <v>233400</v>
      </c>
      <c r="L100">
        <v>238400</v>
      </c>
    </row>
    <row r="101" spans="1:12" x14ac:dyDescent="0.35">
      <c r="A101">
        <v>2024</v>
      </c>
      <c r="B101">
        <v>9</v>
      </c>
      <c r="C101" t="s">
        <v>72</v>
      </c>
      <c r="D101" t="s">
        <v>299</v>
      </c>
      <c r="E101" t="s">
        <v>255</v>
      </c>
      <c r="F101">
        <v>10045</v>
      </c>
      <c r="G101">
        <v>382665</v>
      </c>
      <c r="H101">
        <v>375790</v>
      </c>
      <c r="I101">
        <v>297834</v>
      </c>
      <c r="J101">
        <v>598304</v>
      </c>
      <c r="K101">
        <v>325655</v>
      </c>
      <c r="L101">
        <v>424436</v>
      </c>
    </row>
    <row r="102" spans="1:12" x14ac:dyDescent="0.35">
      <c r="A102">
        <v>2024</v>
      </c>
      <c r="B102">
        <v>9</v>
      </c>
      <c r="C102" t="s">
        <v>72</v>
      </c>
      <c r="D102" t="s">
        <v>299</v>
      </c>
      <c r="E102" t="s">
        <v>257</v>
      </c>
      <c r="F102">
        <v>4951</v>
      </c>
      <c r="G102">
        <v>464037</v>
      </c>
      <c r="H102">
        <v>453046</v>
      </c>
      <c r="I102">
        <v>325286</v>
      </c>
      <c r="J102">
        <v>694955</v>
      </c>
      <c r="K102">
        <v>373474</v>
      </c>
      <c r="L102">
        <v>531604</v>
      </c>
    </row>
    <row r="103" spans="1:12" x14ac:dyDescent="0.35">
      <c r="A103">
        <v>2024</v>
      </c>
      <c r="B103">
        <v>9</v>
      </c>
      <c r="C103" t="s">
        <v>72</v>
      </c>
      <c r="D103" t="s">
        <v>299</v>
      </c>
      <c r="E103" t="s">
        <v>259</v>
      </c>
      <c r="F103">
        <v>1620</v>
      </c>
      <c r="G103">
        <v>617725</v>
      </c>
      <c r="H103">
        <v>625939</v>
      </c>
      <c r="I103">
        <v>382502</v>
      </c>
      <c r="J103">
        <v>720324</v>
      </c>
      <c r="K103">
        <v>576038</v>
      </c>
      <c r="L103">
        <v>672689</v>
      </c>
    </row>
    <row r="104" spans="1:12" x14ac:dyDescent="0.35">
      <c r="A104">
        <v>2024</v>
      </c>
      <c r="B104">
        <v>9</v>
      </c>
      <c r="C104" t="s">
        <v>72</v>
      </c>
      <c r="D104" t="s">
        <v>299</v>
      </c>
      <c r="E104" t="s">
        <v>261</v>
      </c>
      <c r="F104">
        <v>430</v>
      </c>
      <c r="G104">
        <v>667731</v>
      </c>
      <c r="H104">
        <v>674474</v>
      </c>
      <c r="I104">
        <v>452677</v>
      </c>
      <c r="J104">
        <v>728379</v>
      </c>
      <c r="K104">
        <v>661716</v>
      </c>
      <c r="L104">
        <v>685879</v>
      </c>
    </row>
    <row r="105" spans="1:12" x14ac:dyDescent="0.35">
      <c r="A105">
        <v>2024</v>
      </c>
      <c r="B105">
        <v>9</v>
      </c>
      <c r="C105" t="s">
        <v>72</v>
      </c>
      <c r="D105" t="s">
        <v>299</v>
      </c>
      <c r="E105" t="s">
        <v>263</v>
      </c>
      <c r="F105">
        <v>211</v>
      </c>
      <c r="G105">
        <v>708709</v>
      </c>
      <c r="H105">
        <v>706149</v>
      </c>
      <c r="I105">
        <v>630977</v>
      </c>
      <c r="J105">
        <v>771189</v>
      </c>
      <c r="K105">
        <v>695411</v>
      </c>
      <c r="L105">
        <v>721149</v>
      </c>
    </row>
    <row r="106" spans="1:12" x14ac:dyDescent="0.35">
      <c r="A106">
        <v>2024</v>
      </c>
      <c r="B106">
        <v>9</v>
      </c>
      <c r="C106" t="s">
        <v>72</v>
      </c>
      <c r="D106" t="s">
        <v>299</v>
      </c>
      <c r="E106" t="s">
        <v>265</v>
      </c>
      <c r="F106">
        <v>43</v>
      </c>
      <c r="G106">
        <v>280850</v>
      </c>
      <c r="H106">
        <v>277797</v>
      </c>
      <c r="I106">
        <v>231688</v>
      </c>
      <c r="J106">
        <v>341258</v>
      </c>
      <c r="K106">
        <v>254743</v>
      </c>
      <c r="L106">
        <v>309176</v>
      </c>
    </row>
    <row r="107" spans="1:12" x14ac:dyDescent="0.35">
      <c r="A107">
        <v>2024</v>
      </c>
      <c r="B107">
        <v>9</v>
      </c>
      <c r="C107" t="s">
        <v>72</v>
      </c>
      <c r="D107" t="s">
        <v>299</v>
      </c>
      <c r="E107" t="s">
        <v>267</v>
      </c>
      <c r="F107">
        <v>15212</v>
      </c>
      <c r="G107">
        <v>312980</v>
      </c>
      <c r="H107">
        <v>298486</v>
      </c>
      <c r="I107">
        <v>260064</v>
      </c>
      <c r="J107">
        <v>465963</v>
      </c>
      <c r="K107">
        <v>278486</v>
      </c>
      <c r="L107">
        <v>328252</v>
      </c>
    </row>
    <row r="108" spans="1:12" x14ac:dyDescent="0.35">
      <c r="A108">
        <v>2024</v>
      </c>
      <c r="B108">
        <v>9</v>
      </c>
      <c r="C108" t="s">
        <v>72</v>
      </c>
      <c r="D108" t="s">
        <v>299</v>
      </c>
      <c r="E108" t="s">
        <v>269</v>
      </c>
      <c r="F108">
        <v>8166</v>
      </c>
      <c r="G108">
        <v>226373</v>
      </c>
      <c r="H108">
        <v>223868</v>
      </c>
      <c r="I108">
        <v>203500</v>
      </c>
      <c r="J108">
        <v>274325</v>
      </c>
      <c r="K108">
        <v>211184</v>
      </c>
      <c r="L108">
        <v>238400</v>
      </c>
    </row>
    <row r="109" spans="1:12" x14ac:dyDescent="0.35">
      <c r="A109">
        <v>2024</v>
      </c>
      <c r="B109">
        <v>9</v>
      </c>
      <c r="C109" t="s">
        <v>72</v>
      </c>
      <c r="D109" t="s">
        <v>299</v>
      </c>
      <c r="E109" t="s">
        <v>271</v>
      </c>
      <c r="F109">
        <v>4639</v>
      </c>
      <c r="G109">
        <v>242054</v>
      </c>
      <c r="H109">
        <v>240161</v>
      </c>
      <c r="I109">
        <v>207526</v>
      </c>
      <c r="J109">
        <v>290297</v>
      </c>
      <c r="K109">
        <v>225210</v>
      </c>
      <c r="L109">
        <v>257661</v>
      </c>
    </row>
    <row r="110" spans="1:12" x14ac:dyDescent="0.35">
      <c r="A110">
        <v>2024</v>
      </c>
      <c r="B110">
        <v>9</v>
      </c>
      <c r="C110" t="s">
        <v>72</v>
      </c>
      <c r="D110" t="s">
        <v>299</v>
      </c>
      <c r="E110" t="s">
        <v>273</v>
      </c>
      <c r="F110">
        <v>6514</v>
      </c>
      <c r="G110">
        <v>260809</v>
      </c>
      <c r="H110">
        <v>259927</v>
      </c>
      <c r="I110">
        <v>210212</v>
      </c>
      <c r="J110">
        <v>320568</v>
      </c>
      <c r="K110">
        <v>241134</v>
      </c>
      <c r="L110">
        <v>277427</v>
      </c>
    </row>
    <row r="111" spans="1:12" x14ac:dyDescent="0.35">
      <c r="A111">
        <v>2024</v>
      </c>
      <c r="B111">
        <v>9</v>
      </c>
      <c r="C111" t="s">
        <v>72</v>
      </c>
      <c r="D111" t="s">
        <v>299</v>
      </c>
      <c r="E111" t="s">
        <v>275</v>
      </c>
      <c r="F111">
        <v>4646</v>
      </c>
      <c r="G111">
        <v>215664</v>
      </c>
      <c r="H111">
        <v>214102</v>
      </c>
      <c r="I111">
        <v>191418</v>
      </c>
      <c r="J111">
        <v>250950</v>
      </c>
      <c r="K111">
        <v>202760</v>
      </c>
      <c r="L111">
        <v>227895</v>
      </c>
    </row>
    <row r="112" spans="1:12" x14ac:dyDescent="0.35">
      <c r="A112">
        <v>2024</v>
      </c>
      <c r="B112">
        <v>9</v>
      </c>
      <c r="C112" t="s">
        <v>72</v>
      </c>
      <c r="D112" t="s">
        <v>299</v>
      </c>
      <c r="E112" t="s">
        <v>277</v>
      </c>
      <c r="F112">
        <v>6</v>
      </c>
      <c r="G112">
        <v>235067</v>
      </c>
      <c r="H112">
        <v>235900</v>
      </c>
      <c r="I112">
        <v>228400</v>
      </c>
      <c r="J112">
        <v>238400</v>
      </c>
      <c r="K112">
        <v>233400</v>
      </c>
      <c r="L112">
        <v>238400</v>
      </c>
    </row>
    <row r="113" spans="1:12" x14ac:dyDescent="0.35">
      <c r="A113">
        <v>2024</v>
      </c>
      <c r="B113">
        <v>10</v>
      </c>
      <c r="C113" t="s">
        <v>73</v>
      </c>
      <c r="D113" t="s">
        <v>299</v>
      </c>
      <c r="E113" t="s">
        <v>255</v>
      </c>
      <c r="F113">
        <v>10145</v>
      </c>
      <c r="G113">
        <v>382415</v>
      </c>
      <c r="H113">
        <v>375790</v>
      </c>
      <c r="I113">
        <v>297836</v>
      </c>
      <c r="J113">
        <v>598304</v>
      </c>
      <c r="K113">
        <v>325655</v>
      </c>
      <c r="L113">
        <v>424436</v>
      </c>
    </row>
    <row r="114" spans="1:12" x14ac:dyDescent="0.35">
      <c r="A114">
        <v>2024</v>
      </c>
      <c r="B114">
        <v>10</v>
      </c>
      <c r="C114" t="s">
        <v>73</v>
      </c>
      <c r="D114" t="s">
        <v>299</v>
      </c>
      <c r="E114" t="s">
        <v>257</v>
      </c>
      <c r="F114">
        <v>5003</v>
      </c>
      <c r="G114">
        <v>463688</v>
      </c>
      <c r="H114">
        <v>453044</v>
      </c>
      <c r="I114">
        <v>325286</v>
      </c>
      <c r="J114">
        <v>694955</v>
      </c>
      <c r="K114">
        <v>373474</v>
      </c>
      <c r="L114">
        <v>530903</v>
      </c>
    </row>
    <row r="115" spans="1:12" x14ac:dyDescent="0.35">
      <c r="A115">
        <v>2024</v>
      </c>
      <c r="B115">
        <v>10</v>
      </c>
      <c r="C115" t="s">
        <v>73</v>
      </c>
      <c r="D115" t="s">
        <v>299</v>
      </c>
      <c r="E115" t="s">
        <v>259</v>
      </c>
      <c r="F115">
        <v>1606</v>
      </c>
      <c r="G115">
        <v>616882</v>
      </c>
      <c r="H115">
        <v>623944</v>
      </c>
      <c r="I115">
        <v>382502</v>
      </c>
      <c r="J115">
        <v>720324</v>
      </c>
      <c r="K115">
        <v>576038</v>
      </c>
      <c r="L115">
        <v>672689</v>
      </c>
    </row>
    <row r="116" spans="1:12" x14ac:dyDescent="0.35">
      <c r="A116">
        <v>2024</v>
      </c>
      <c r="B116">
        <v>10</v>
      </c>
      <c r="C116" t="s">
        <v>73</v>
      </c>
      <c r="D116" t="s">
        <v>299</v>
      </c>
      <c r="E116" t="s">
        <v>261</v>
      </c>
      <c r="F116">
        <v>426</v>
      </c>
      <c r="G116">
        <v>667642</v>
      </c>
      <c r="H116">
        <v>674474</v>
      </c>
      <c r="I116">
        <v>503685</v>
      </c>
      <c r="J116">
        <v>728379</v>
      </c>
      <c r="K116">
        <v>657368</v>
      </c>
      <c r="L116">
        <v>685879</v>
      </c>
    </row>
    <row r="117" spans="1:12" x14ac:dyDescent="0.35">
      <c r="A117">
        <v>2024</v>
      </c>
      <c r="B117">
        <v>10</v>
      </c>
      <c r="C117" t="s">
        <v>73</v>
      </c>
      <c r="D117" t="s">
        <v>299</v>
      </c>
      <c r="E117" t="s">
        <v>263</v>
      </c>
      <c r="F117">
        <v>237</v>
      </c>
      <c r="G117">
        <v>706406</v>
      </c>
      <c r="H117">
        <v>706149</v>
      </c>
      <c r="I117">
        <v>623713</v>
      </c>
      <c r="J117">
        <v>782590</v>
      </c>
      <c r="K117">
        <v>695411</v>
      </c>
      <c r="L117">
        <v>720916</v>
      </c>
    </row>
    <row r="118" spans="1:12" x14ac:dyDescent="0.35">
      <c r="A118">
        <v>2024</v>
      </c>
      <c r="B118">
        <v>10</v>
      </c>
      <c r="C118" t="s">
        <v>73</v>
      </c>
      <c r="D118" t="s">
        <v>299</v>
      </c>
      <c r="E118" t="s">
        <v>265</v>
      </c>
      <c r="F118">
        <v>43</v>
      </c>
      <c r="G118">
        <v>281493</v>
      </c>
      <c r="H118">
        <v>281590</v>
      </c>
      <c r="I118">
        <v>231688</v>
      </c>
      <c r="J118">
        <v>341258</v>
      </c>
      <c r="K118">
        <v>254743</v>
      </c>
      <c r="L118">
        <v>309176</v>
      </c>
    </row>
    <row r="119" spans="1:12" x14ac:dyDescent="0.35">
      <c r="A119">
        <v>2024</v>
      </c>
      <c r="B119">
        <v>10</v>
      </c>
      <c r="C119" t="s">
        <v>73</v>
      </c>
      <c r="D119" t="s">
        <v>299</v>
      </c>
      <c r="E119" t="s">
        <v>267</v>
      </c>
      <c r="F119">
        <v>15286</v>
      </c>
      <c r="G119">
        <v>312753</v>
      </c>
      <c r="H119">
        <v>298486</v>
      </c>
      <c r="I119">
        <v>260064</v>
      </c>
      <c r="J119">
        <v>465963</v>
      </c>
      <c r="K119">
        <v>278486</v>
      </c>
      <c r="L119">
        <v>328019</v>
      </c>
    </row>
    <row r="120" spans="1:12" x14ac:dyDescent="0.35">
      <c r="A120">
        <v>2024</v>
      </c>
      <c r="B120">
        <v>10</v>
      </c>
      <c r="C120" t="s">
        <v>73</v>
      </c>
      <c r="D120" t="s">
        <v>299</v>
      </c>
      <c r="E120" t="s">
        <v>269</v>
      </c>
      <c r="F120">
        <v>8266</v>
      </c>
      <c r="G120">
        <v>226186</v>
      </c>
      <c r="H120">
        <v>223684</v>
      </c>
      <c r="I120">
        <v>203500</v>
      </c>
      <c r="J120">
        <v>274325</v>
      </c>
      <c r="K120">
        <v>211184</v>
      </c>
      <c r="L120">
        <v>238400</v>
      </c>
    </row>
    <row r="121" spans="1:12" x14ac:dyDescent="0.35">
      <c r="A121">
        <v>2024</v>
      </c>
      <c r="B121">
        <v>10</v>
      </c>
      <c r="C121" t="s">
        <v>73</v>
      </c>
      <c r="D121" t="s">
        <v>299</v>
      </c>
      <c r="E121" t="s">
        <v>271</v>
      </c>
      <c r="F121">
        <v>4690</v>
      </c>
      <c r="G121">
        <v>241823</v>
      </c>
      <c r="H121">
        <v>238265</v>
      </c>
      <c r="I121">
        <v>207526</v>
      </c>
      <c r="J121">
        <v>290297</v>
      </c>
      <c r="K121">
        <v>225210</v>
      </c>
      <c r="L121">
        <v>257661</v>
      </c>
    </row>
    <row r="122" spans="1:12" x14ac:dyDescent="0.35">
      <c r="A122">
        <v>2024</v>
      </c>
      <c r="B122">
        <v>10</v>
      </c>
      <c r="C122" t="s">
        <v>73</v>
      </c>
      <c r="D122" t="s">
        <v>299</v>
      </c>
      <c r="E122" t="s">
        <v>273</v>
      </c>
      <c r="F122">
        <v>6508</v>
      </c>
      <c r="G122">
        <v>260941</v>
      </c>
      <c r="H122">
        <v>260346</v>
      </c>
      <c r="I122">
        <v>210212</v>
      </c>
      <c r="J122">
        <v>320568</v>
      </c>
      <c r="K122">
        <v>241134</v>
      </c>
      <c r="L122">
        <v>277846</v>
      </c>
    </row>
    <row r="123" spans="1:12" x14ac:dyDescent="0.35">
      <c r="A123">
        <v>2024</v>
      </c>
      <c r="B123">
        <v>10</v>
      </c>
      <c r="C123" t="s">
        <v>73</v>
      </c>
      <c r="D123" t="s">
        <v>299</v>
      </c>
      <c r="E123" t="s">
        <v>275</v>
      </c>
      <c r="F123">
        <v>4592</v>
      </c>
      <c r="G123">
        <v>215647</v>
      </c>
      <c r="H123">
        <v>213918</v>
      </c>
      <c r="I123">
        <v>191418</v>
      </c>
      <c r="J123">
        <v>250950</v>
      </c>
      <c r="K123">
        <v>202760</v>
      </c>
      <c r="L123">
        <v>227760</v>
      </c>
    </row>
    <row r="124" spans="1:12" x14ac:dyDescent="0.35">
      <c r="A124">
        <v>2024</v>
      </c>
      <c r="B124">
        <v>10</v>
      </c>
      <c r="C124" t="s">
        <v>73</v>
      </c>
      <c r="D124" t="s">
        <v>299</v>
      </c>
      <c r="E124" t="s">
        <v>277</v>
      </c>
      <c r="F124">
        <v>6</v>
      </c>
      <c r="G124">
        <v>235067</v>
      </c>
      <c r="H124">
        <v>235900</v>
      </c>
      <c r="I124">
        <v>228400</v>
      </c>
      <c r="J124">
        <v>238400</v>
      </c>
      <c r="K124">
        <v>233400</v>
      </c>
      <c r="L124">
        <v>238400</v>
      </c>
    </row>
    <row r="125" spans="1:12" x14ac:dyDescent="0.35">
      <c r="A125">
        <v>2024</v>
      </c>
      <c r="B125">
        <v>11</v>
      </c>
      <c r="C125" t="s">
        <v>74</v>
      </c>
      <c r="D125" t="s">
        <v>299</v>
      </c>
      <c r="E125" t="s">
        <v>255</v>
      </c>
      <c r="F125">
        <v>10231</v>
      </c>
      <c r="G125">
        <v>382472</v>
      </c>
      <c r="H125">
        <v>375790</v>
      </c>
      <c r="I125">
        <v>297836</v>
      </c>
      <c r="J125">
        <v>598304</v>
      </c>
      <c r="K125">
        <v>325655</v>
      </c>
      <c r="L125">
        <v>424436</v>
      </c>
    </row>
    <row r="126" spans="1:12" x14ac:dyDescent="0.35">
      <c r="A126">
        <v>2024</v>
      </c>
      <c r="B126">
        <v>11</v>
      </c>
      <c r="C126" t="s">
        <v>74</v>
      </c>
      <c r="D126" t="s">
        <v>299</v>
      </c>
      <c r="E126" t="s">
        <v>257</v>
      </c>
      <c r="F126">
        <v>5014</v>
      </c>
      <c r="G126">
        <v>463990</v>
      </c>
      <c r="H126">
        <v>453044</v>
      </c>
      <c r="I126">
        <v>325286</v>
      </c>
      <c r="J126">
        <v>694955</v>
      </c>
      <c r="K126">
        <v>373474</v>
      </c>
      <c r="L126">
        <v>531604</v>
      </c>
    </row>
    <row r="127" spans="1:12" x14ac:dyDescent="0.35">
      <c r="A127">
        <v>2024</v>
      </c>
      <c r="B127">
        <v>11</v>
      </c>
      <c r="C127" t="s">
        <v>74</v>
      </c>
      <c r="D127" t="s">
        <v>299</v>
      </c>
      <c r="E127" t="s">
        <v>259</v>
      </c>
      <c r="F127">
        <v>1590</v>
      </c>
      <c r="G127">
        <v>615872</v>
      </c>
      <c r="H127">
        <v>623439</v>
      </c>
      <c r="I127">
        <v>382502</v>
      </c>
      <c r="J127">
        <v>720324</v>
      </c>
      <c r="K127">
        <v>575941</v>
      </c>
      <c r="L127">
        <v>670140</v>
      </c>
    </row>
    <row r="128" spans="1:12" x14ac:dyDescent="0.35">
      <c r="A128">
        <v>2024</v>
      </c>
      <c r="B128">
        <v>11</v>
      </c>
      <c r="C128" t="s">
        <v>74</v>
      </c>
      <c r="D128" t="s">
        <v>299</v>
      </c>
      <c r="E128" t="s">
        <v>261</v>
      </c>
      <c r="F128">
        <v>448</v>
      </c>
      <c r="G128">
        <v>667379</v>
      </c>
      <c r="H128">
        <v>673380</v>
      </c>
      <c r="I128">
        <v>514190</v>
      </c>
      <c r="J128">
        <v>726718</v>
      </c>
      <c r="K128">
        <v>656581</v>
      </c>
      <c r="L128">
        <v>685879</v>
      </c>
    </row>
    <row r="129" spans="1:12" x14ac:dyDescent="0.35">
      <c r="A129">
        <v>2024</v>
      </c>
      <c r="B129">
        <v>11</v>
      </c>
      <c r="C129" t="s">
        <v>74</v>
      </c>
      <c r="D129" t="s">
        <v>299</v>
      </c>
      <c r="E129" t="s">
        <v>263</v>
      </c>
      <c r="F129">
        <v>250</v>
      </c>
      <c r="G129">
        <v>705306</v>
      </c>
      <c r="H129">
        <v>706149</v>
      </c>
      <c r="I129">
        <v>623713</v>
      </c>
      <c r="J129">
        <v>771189</v>
      </c>
      <c r="K129">
        <v>695411</v>
      </c>
      <c r="L129">
        <v>720916</v>
      </c>
    </row>
    <row r="130" spans="1:12" x14ac:dyDescent="0.35">
      <c r="A130">
        <v>2024</v>
      </c>
      <c r="B130">
        <v>11</v>
      </c>
      <c r="C130" t="s">
        <v>74</v>
      </c>
      <c r="D130" t="s">
        <v>299</v>
      </c>
      <c r="E130" t="s">
        <v>265</v>
      </c>
      <c r="F130">
        <v>43</v>
      </c>
      <c r="G130">
        <v>281680</v>
      </c>
      <c r="H130">
        <v>281590</v>
      </c>
      <c r="I130">
        <v>231688</v>
      </c>
      <c r="J130">
        <v>341258</v>
      </c>
      <c r="K130">
        <v>257797</v>
      </c>
      <c r="L130">
        <v>309176</v>
      </c>
    </row>
    <row r="131" spans="1:12" x14ac:dyDescent="0.35">
      <c r="A131">
        <v>2024</v>
      </c>
      <c r="B131">
        <v>11</v>
      </c>
      <c r="C131" t="s">
        <v>74</v>
      </c>
      <c r="D131" t="s">
        <v>299</v>
      </c>
      <c r="E131" t="s">
        <v>267</v>
      </c>
      <c r="F131">
        <v>15309</v>
      </c>
      <c r="G131">
        <v>312717</v>
      </c>
      <c r="H131">
        <v>298486</v>
      </c>
      <c r="I131">
        <v>260064</v>
      </c>
      <c r="J131">
        <v>465963</v>
      </c>
      <c r="K131">
        <v>278486</v>
      </c>
      <c r="L131">
        <v>328019</v>
      </c>
    </row>
    <row r="132" spans="1:12" x14ac:dyDescent="0.35">
      <c r="A132">
        <v>2024</v>
      </c>
      <c r="B132">
        <v>11</v>
      </c>
      <c r="C132" t="s">
        <v>74</v>
      </c>
      <c r="D132" t="s">
        <v>299</v>
      </c>
      <c r="E132" t="s">
        <v>269</v>
      </c>
      <c r="F132">
        <v>8264</v>
      </c>
      <c r="G132">
        <v>226184</v>
      </c>
      <c r="H132">
        <v>223684</v>
      </c>
      <c r="I132">
        <v>203498</v>
      </c>
      <c r="J132">
        <v>274325</v>
      </c>
      <c r="K132">
        <v>211184</v>
      </c>
      <c r="L132">
        <v>238265</v>
      </c>
    </row>
    <row r="133" spans="1:12" x14ac:dyDescent="0.35">
      <c r="A133">
        <v>2024</v>
      </c>
      <c r="B133">
        <v>11</v>
      </c>
      <c r="C133" t="s">
        <v>74</v>
      </c>
      <c r="D133" t="s">
        <v>299</v>
      </c>
      <c r="E133" t="s">
        <v>271</v>
      </c>
      <c r="F133">
        <v>4691</v>
      </c>
      <c r="G133">
        <v>241822</v>
      </c>
      <c r="H133">
        <v>238265</v>
      </c>
      <c r="I133">
        <v>207526</v>
      </c>
      <c r="J133">
        <v>290297</v>
      </c>
      <c r="K133">
        <v>225210</v>
      </c>
      <c r="L133">
        <v>257661</v>
      </c>
    </row>
    <row r="134" spans="1:12" x14ac:dyDescent="0.35">
      <c r="A134">
        <v>2024</v>
      </c>
      <c r="B134">
        <v>11</v>
      </c>
      <c r="C134" t="s">
        <v>74</v>
      </c>
      <c r="D134" t="s">
        <v>299</v>
      </c>
      <c r="E134" t="s">
        <v>273</v>
      </c>
      <c r="F134">
        <v>6481</v>
      </c>
      <c r="G134">
        <v>260981</v>
      </c>
      <c r="H134">
        <v>261640</v>
      </c>
      <c r="I134">
        <v>210212</v>
      </c>
      <c r="J134">
        <v>320568</v>
      </c>
      <c r="K134">
        <v>241134</v>
      </c>
      <c r="L134">
        <v>277427</v>
      </c>
    </row>
    <row r="135" spans="1:12" x14ac:dyDescent="0.35">
      <c r="A135">
        <v>2024</v>
      </c>
      <c r="B135">
        <v>11</v>
      </c>
      <c r="C135" t="s">
        <v>74</v>
      </c>
      <c r="D135" t="s">
        <v>299</v>
      </c>
      <c r="E135" t="s">
        <v>275</v>
      </c>
      <c r="F135">
        <v>4579</v>
      </c>
      <c r="G135">
        <v>215791</v>
      </c>
      <c r="H135">
        <v>214287</v>
      </c>
      <c r="I135">
        <v>191418</v>
      </c>
      <c r="J135">
        <v>250950</v>
      </c>
      <c r="K135">
        <v>202895</v>
      </c>
      <c r="L135">
        <v>227760</v>
      </c>
    </row>
    <row r="136" spans="1:12" x14ac:dyDescent="0.35">
      <c r="A136">
        <v>2024</v>
      </c>
      <c r="B136">
        <v>11</v>
      </c>
      <c r="C136" t="s">
        <v>74</v>
      </c>
      <c r="D136" t="s">
        <v>299</v>
      </c>
      <c r="E136" t="s">
        <v>277</v>
      </c>
      <c r="F136">
        <v>6</v>
      </c>
      <c r="G136">
        <v>235067</v>
      </c>
      <c r="H136">
        <v>235900</v>
      </c>
      <c r="I136">
        <v>228400</v>
      </c>
      <c r="J136">
        <v>238400</v>
      </c>
      <c r="K136">
        <v>233400</v>
      </c>
      <c r="L136">
        <v>238400</v>
      </c>
    </row>
    <row r="137" spans="1:12" x14ac:dyDescent="0.35">
      <c r="A137">
        <v>2024</v>
      </c>
      <c r="B137">
        <v>12</v>
      </c>
      <c r="C137" t="s">
        <v>75</v>
      </c>
      <c r="D137" t="s">
        <v>299</v>
      </c>
      <c r="E137" t="s">
        <v>255</v>
      </c>
      <c r="F137">
        <v>10252</v>
      </c>
      <c r="G137">
        <v>382367</v>
      </c>
      <c r="H137">
        <v>375790</v>
      </c>
      <c r="I137">
        <v>297836</v>
      </c>
      <c r="J137">
        <v>598304</v>
      </c>
      <c r="K137">
        <v>325655</v>
      </c>
      <c r="L137">
        <v>424436</v>
      </c>
    </row>
    <row r="138" spans="1:12" x14ac:dyDescent="0.35">
      <c r="A138">
        <v>2024</v>
      </c>
      <c r="B138">
        <v>12</v>
      </c>
      <c r="C138" t="s">
        <v>75</v>
      </c>
      <c r="D138" t="s">
        <v>299</v>
      </c>
      <c r="E138" t="s">
        <v>257</v>
      </c>
      <c r="F138">
        <v>5016</v>
      </c>
      <c r="G138">
        <v>463597</v>
      </c>
      <c r="H138">
        <v>453044</v>
      </c>
      <c r="I138">
        <v>325286</v>
      </c>
      <c r="J138">
        <v>694955</v>
      </c>
      <c r="K138">
        <v>373474</v>
      </c>
      <c r="L138">
        <v>530903</v>
      </c>
    </row>
    <row r="139" spans="1:12" x14ac:dyDescent="0.35">
      <c r="A139">
        <v>2024</v>
      </c>
      <c r="B139">
        <v>12</v>
      </c>
      <c r="C139" t="s">
        <v>75</v>
      </c>
      <c r="D139" t="s">
        <v>299</v>
      </c>
      <c r="E139" t="s">
        <v>259</v>
      </c>
      <c r="F139">
        <v>1594</v>
      </c>
      <c r="G139">
        <v>615686</v>
      </c>
      <c r="H139">
        <v>623439</v>
      </c>
      <c r="I139">
        <v>382502</v>
      </c>
      <c r="J139">
        <v>720324</v>
      </c>
      <c r="K139">
        <v>575941</v>
      </c>
      <c r="L139">
        <v>670140</v>
      </c>
    </row>
    <row r="140" spans="1:12" x14ac:dyDescent="0.35">
      <c r="A140">
        <v>2024</v>
      </c>
      <c r="B140">
        <v>12</v>
      </c>
      <c r="C140" t="s">
        <v>75</v>
      </c>
      <c r="D140" t="s">
        <v>299</v>
      </c>
      <c r="E140" t="s">
        <v>261</v>
      </c>
      <c r="F140">
        <v>448</v>
      </c>
      <c r="G140">
        <v>667379</v>
      </c>
      <c r="H140">
        <v>673380</v>
      </c>
      <c r="I140">
        <v>514190</v>
      </c>
      <c r="J140">
        <v>726718</v>
      </c>
      <c r="K140">
        <v>656581</v>
      </c>
      <c r="L140">
        <v>685879</v>
      </c>
    </row>
    <row r="141" spans="1:12" x14ac:dyDescent="0.35">
      <c r="A141">
        <v>2024</v>
      </c>
      <c r="B141">
        <v>12</v>
      </c>
      <c r="C141" t="s">
        <v>75</v>
      </c>
      <c r="D141" t="s">
        <v>299</v>
      </c>
      <c r="E141" t="s">
        <v>263</v>
      </c>
      <c r="F141">
        <v>250</v>
      </c>
      <c r="G141">
        <v>705276</v>
      </c>
      <c r="H141">
        <v>706149</v>
      </c>
      <c r="I141">
        <v>623713</v>
      </c>
      <c r="J141">
        <v>771189</v>
      </c>
      <c r="K141">
        <v>695411</v>
      </c>
      <c r="L141">
        <v>720916</v>
      </c>
    </row>
    <row r="142" spans="1:12" x14ac:dyDescent="0.35">
      <c r="A142">
        <v>2024</v>
      </c>
      <c r="B142">
        <v>12</v>
      </c>
      <c r="C142" t="s">
        <v>75</v>
      </c>
      <c r="D142" t="s">
        <v>299</v>
      </c>
      <c r="E142" t="s">
        <v>265</v>
      </c>
      <c r="F142">
        <v>44</v>
      </c>
      <c r="G142">
        <v>280544</v>
      </c>
      <c r="H142">
        <v>280524</v>
      </c>
      <c r="I142">
        <v>231688</v>
      </c>
      <c r="J142">
        <v>341258</v>
      </c>
      <c r="K142">
        <v>254743</v>
      </c>
      <c r="L142">
        <v>308672</v>
      </c>
    </row>
    <row r="143" spans="1:12" x14ac:dyDescent="0.35">
      <c r="A143">
        <v>2024</v>
      </c>
      <c r="B143">
        <v>12</v>
      </c>
      <c r="C143" t="s">
        <v>75</v>
      </c>
      <c r="D143" t="s">
        <v>299</v>
      </c>
      <c r="E143" t="s">
        <v>267</v>
      </c>
      <c r="F143">
        <v>15307</v>
      </c>
      <c r="G143">
        <v>312688</v>
      </c>
      <c r="H143">
        <v>298486</v>
      </c>
      <c r="I143">
        <v>260064</v>
      </c>
      <c r="J143">
        <v>465963</v>
      </c>
      <c r="K143">
        <v>278486</v>
      </c>
      <c r="L143">
        <v>328019</v>
      </c>
    </row>
    <row r="144" spans="1:12" x14ac:dyDescent="0.35">
      <c r="A144">
        <v>2024</v>
      </c>
      <c r="B144">
        <v>12</v>
      </c>
      <c r="C144" t="s">
        <v>75</v>
      </c>
      <c r="D144" t="s">
        <v>299</v>
      </c>
      <c r="E144" t="s">
        <v>269</v>
      </c>
      <c r="F144">
        <v>8292</v>
      </c>
      <c r="G144">
        <v>226189</v>
      </c>
      <c r="H144">
        <v>223684</v>
      </c>
      <c r="I144">
        <v>203498</v>
      </c>
      <c r="J144">
        <v>274325</v>
      </c>
      <c r="K144">
        <v>211184</v>
      </c>
      <c r="L144">
        <v>238265</v>
      </c>
    </row>
    <row r="145" spans="1:12" x14ac:dyDescent="0.35">
      <c r="A145">
        <v>2024</v>
      </c>
      <c r="B145">
        <v>12</v>
      </c>
      <c r="C145" t="s">
        <v>75</v>
      </c>
      <c r="D145" t="s">
        <v>299</v>
      </c>
      <c r="E145" t="s">
        <v>271</v>
      </c>
      <c r="F145">
        <v>4688</v>
      </c>
      <c r="G145">
        <v>241824</v>
      </c>
      <c r="H145">
        <v>238265</v>
      </c>
      <c r="I145">
        <v>207526</v>
      </c>
      <c r="J145">
        <v>290297</v>
      </c>
      <c r="K145">
        <v>225210</v>
      </c>
      <c r="L145">
        <v>257661</v>
      </c>
    </row>
    <row r="146" spans="1:12" x14ac:dyDescent="0.35">
      <c r="A146">
        <v>2024</v>
      </c>
      <c r="B146">
        <v>12</v>
      </c>
      <c r="C146" t="s">
        <v>75</v>
      </c>
      <c r="D146" t="s">
        <v>299</v>
      </c>
      <c r="E146" t="s">
        <v>273</v>
      </c>
      <c r="F146">
        <v>6480</v>
      </c>
      <c r="G146">
        <v>261017</v>
      </c>
      <c r="H146">
        <v>261640</v>
      </c>
      <c r="I146">
        <v>210212</v>
      </c>
      <c r="J146">
        <v>320568</v>
      </c>
      <c r="K146">
        <v>241134</v>
      </c>
      <c r="L146">
        <v>277427</v>
      </c>
    </row>
    <row r="147" spans="1:12" x14ac:dyDescent="0.35">
      <c r="A147">
        <v>2024</v>
      </c>
      <c r="B147">
        <v>12</v>
      </c>
      <c r="C147" t="s">
        <v>75</v>
      </c>
      <c r="D147" t="s">
        <v>299</v>
      </c>
      <c r="E147" t="s">
        <v>275</v>
      </c>
      <c r="F147">
        <v>4586</v>
      </c>
      <c r="G147">
        <v>215784</v>
      </c>
      <c r="H147">
        <v>214287</v>
      </c>
      <c r="I147">
        <v>191418</v>
      </c>
      <c r="J147">
        <v>250950</v>
      </c>
      <c r="K147">
        <v>202895</v>
      </c>
      <c r="L147">
        <v>227661</v>
      </c>
    </row>
    <row r="148" spans="1:12" x14ac:dyDescent="0.35">
      <c r="A148">
        <v>2024</v>
      </c>
      <c r="B148">
        <v>12</v>
      </c>
      <c r="C148" t="s">
        <v>75</v>
      </c>
      <c r="D148" t="s">
        <v>299</v>
      </c>
      <c r="E148" t="s">
        <v>277</v>
      </c>
      <c r="F148">
        <v>6</v>
      </c>
      <c r="G148">
        <v>235067</v>
      </c>
      <c r="H148">
        <v>235900</v>
      </c>
      <c r="I148">
        <v>228400</v>
      </c>
      <c r="J148">
        <v>238400</v>
      </c>
      <c r="K148">
        <v>233400</v>
      </c>
      <c r="L148">
        <v>238400</v>
      </c>
    </row>
    <row r="149" spans="1:12" x14ac:dyDescent="0.35">
      <c r="A149">
        <v>2025</v>
      </c>
      <c r="B149">
        <v>1</v>
      </c>
      <c r="C149" t="s">
        <v>42</v>
      </c>
      <c r="D149" t="s">
        <v>299</v>
      </c>
      <c r="E149" t="s">
        <v>255</v>
      </c>
      <c r="F149">
        <v>10088</v>
      </c>
      <c r="G149">
        <v>384232</v>
      </c>
      <c r="H149">
        <v>382822</v>
      </c>
      <c r="I149">
        <v>297836</v>
      </c>
      <c r="J149">
        <v>598304</v>
      </c>
      <c r="K149">
        <v>328573</v>
      </c>
      <c r="L149">
        <v>425943</v>
      </c>
    </row>
    <row r="150" spans="1:12" x14ac:dyDescent="0.35">
      <c r="A150">
        <v>2025</v>
      </c>
      <c r="B150">
        <v>1</v>
      </c>
      <c r="C150" t="s">
        <v>42</v>
      </c>
      <c r="D150" t="s">
        <v>299</v>
      </c>
      <c r="E150" t="s">
        <v>257</v>
      </c>
      <c r="F150">
        <v>4975</v>
      </c>
      <c r="G150">
        <v>464812</v>
      </c>
      <c r="H150">
        <v>455544</v>
      </c>
      <c r="I150">
        <v>325286</v>
      </c>
      <c r="J150">
        <v>693477</v>
      </c>
      <c r="K150">
        <v>373476</v>
      </c>
      <c r="L150">
        <v>532144</v>
      </c>
    </row>
    <row r="151" spans="1:12" x14ac:dyDescent="0.35">
      <c r="A151">
        <v>2025</v>
      </c>
      <c r="B151">
        <v>1</v>
      </c>
      <c r="C151" t="s">
        <v>42</v>
      </c>
      <c r="D151" t="s">
        <v>299</v>
      </c>
      <c r="E151" t="s">
        <v>259</v>
      </c>
      <c r="F151">
        <v>1489</v>
      </c>
      <c r="G151">
        <v>618876</v>
      </c>
      <c r="H151">
        <v>628439</v>
      </c>
      <c r="I151">
        <v>382502</v>
      </c>
      <c r="J151">
        <v>722210</v>
      </c>
      <c r="K151">
        <v>576038</v>
      </c>
      <c r="L151">
        <v>672689</v>
      </c>
    </row>
    <row r="152" spans="1:12" x14ac:dyDescent="0.35">
      <c r="A152">
        <v>2025</v>
      </c>
      <c r="B152">
        <v>1</v>
      </c>
      <c r="C152" t="s">
        <v>42</v>
      </c>
      <c r="D152" t="s">
        <v>299</v>
      </c>
      <c r="E152" t="s">
        <v>261</v>
      </c>
      <c r="F152">
        <v>430</v>
      </c>
      <c r="G152">
        <v>664610</v>
      </c>
      <c r="H152">
        <v>669869</v>
      </c>
      <c r="I152">
        <v>516185</v>
      </c>
      <c r="J152">
        <v>730042</v>
      </c>
      <c r="K152">
        <v>644734</v>
      </c>
      <c r="L152">
        <v>685879</v>
      </c>
    </row>
    <row r="153" spans="1:12" x14ac:dyDescent="0.35">
      <c r="A153">
        <v>2025</v>
      </c>
      <c r="B153">
        <v>1</v>
      </c>
      <c r="C153" t="s">
        <v>42</v>
      </c>
      <c r="D153" t="s">
        <v>299</v>
      </c>
      <c r="E153" t="s">
        <v>263</v>
      </c>
      <c r="F153">
        <v>225</v>
      </c>
      <c r="G153">
        <v>715167</v>
      </c>
      <c r="H153">
        <v>710411</v>
      </c>
      <c r="I153">
        <v>651113</v>
      </c>
      <c r="J153">
        <v>786985</v>
      </c>
      <c r="K153">
        <v>695411</v>
      </c>
      <c r="L153">
        <v>735411</v>
      </c>
    </row>
    <row r="154" spans="1:12" x14ac:dyDescent="0.35">
      <c r="A154">
        <v>2025</v>
      </c>
      <c r="B154">
        <v>1</v>
      </c>
      <c r="C154" t="s">
        <v>42</v>
      </c>
      <c r="D154" t="s">
        <v>299</v>
      </c>
      <c r="E154" t="s">
        <v>265</v>
      </c>
      <c r="F154">
        <v>40</v>
      </c>
      <c r="G154">
        <v>277934</v>
      </c>
      <c r="H154">
        <v>278166</v>
      </c>
      <c r="I154">
        <v>231688</v>
      </c>
      <c r="J154">
        <v>341258</v>
      </c>
      <c r="K154">
        <v>254743</v>
      </c>
      <c r="L154">
        <v>306676</v>
      </c>
    </row>
    <row r="155" spans="1:12" x14ac:dyDescent="0.35">
      <c r="A155">
        <v>2025</v>
      </c>
      <c r="B155">
        <v>1</v>
      </c>
      <c r="C155" t="s">
        <v>42</v>
      </c>
      <c r="D155" t="s">
        <v>299</v>
      </c>
      <c r="E155" t="s">
        <v>267</v>
      </c>
      <c r="F155">
        <v>15210</v>
      </c>
      <c r="G155">
        <v>314460</v>
      </c>
      <c r="H155">
        <v>300752</v>
      </c>
      <c r="I155">
        <v>260064</v>
      </c>
      <c r="J155">
        <v>467262</v>
      </c>
      <c r="K155">
        <v>280986</v>
      </c>
      <c r="L155">
        <v>330856</v>
      </c>
    </row>
    <row r="156" spans="1:12" x14ac:dyDescent="0.35">
      <c r="A156">
        <v>2025</v>
      </c>
      <c r="B156">
        <v>1</v>
      </c>
      <c r="C156" t="s">
        <v>42</v>
      </c>
      <c r="D156" t="s">
        <v>299</v>
      </c>
      <c r="E156" t="s">
        <v>269</v>
      </c>
      <c r="F156">
        <v>8291</v>
      </c>
      <c r="G156">
        <v>226692</v>
      </c>
      <c r="H156">
        <v>223868</v>
      </c>
      <c r="I156">
        <v>203004</v>
      </c>
      <c r="J156">
        <v>274841</v>
      </c>
      <c r="K156">
        <v>211184</v>
      </c>
      <c r="L156">
        <v>238676</v>
      </c>
    </row>
    <row r="157" spans="1:12" x14ac:dyDescent="0.35">
      <c r="A157">
        <v>2025</v>
      </c>
      <c r="B157">
        <v>1</v>
      </c>
      <c r="C157" t="s">
        <v>42</v>
      </c>
      <c r="D157" t="s">
        <v>299</v>
      </c>
      <c r="E157" t="s">
        <v>271</v>
      </c>
      <c r="F157">
        <v>4558</v>
      </c>
      <c r="G157">
        <v>243401</v>
      </c>
      <c r="H157">
        <v>241051</v>
      </c>
      <c r="I157">
        <v>207526</v>
      </c>
      <c r="J157">
        <v>290297</v>
      </c>
      <c r="K157">
        <v>225765</v>
      </c>
      <c r="L157">
        <v>258551</v>
      </c>
    </row>
    <row r="158" spans="1:12" x14ac:dyDescent="0.35">
      <c r="A158">
        <v>2025</v>
      </c>
      <c r="B158">
        <v>1</v>
      </c>
      <c r="C158" t="s">
        <v>42</v>
      </c>
      <c r="D158" t="s">
        <v>299</v>
      </c>
      <c r="E158" t="s">
        <v>273</v>
      </c>
      <c r="F158">
        <v>6466</v>
      </c>
      <c r="G158">
        <v>262313</v>
      </c>
      <c r="H158">
        <v>261640</v>
      </c>
      <c r="I158">
        <v>210212</v>
      </c>
      <c r="J158">
        <v>320568</v>
      </c>
      <c r="K158">
        <v>241134</v>
      </c>
      <c r="L158">
        <v>281640</v>
      </c>
    </row>
    <row r="159" spans="1:12" x14ac:dyDescent="0.35">
      <c r="A159">
        <v>2025</v>
      </c>
      <c r="B159">
        <v>1</v>
      </c>
      <c r="C159" t="s">
        <v>42</v>
      </c>
      <c r="D159" t="s">
        <v>299</v>
      </c>
      <c r="E159" t="s">
        <v>275</v>
      </c>
      <c r="F159">
        <v>4497</v>
      </c>
      <c r="G159">
        <v>216014</v>
      </c>
      <c r="H159">
        <v>214422</v>
      </c>
      <c r="I159">
        <v>191418</v>
      </c>
      <c r="J159">
        <v>250950</v>
      </c>
      <c r="K159">
        <v>202895</v>
      </c>
      <c r="L159">
        <v>227895</v>
      </c>
    </row>
    <row r="160" spans="1:12" x14ac:dyDescent="0.35">
      <c r="A160">
        <v>2025</v>
      </c>
      <c r="B160">
        <v>1</v>
      </c>
      <c r="C160" t="s">
        <v>42</v>
      </c>
      <c r="D160" t="s">
        <v>299</v>
      </c>
      <c r="E160" t="s">
        <v>277</v>
      </c>
      <c r="F160">
        <v>5</v>
      </c>
      <c r="G160">
        <v>236400</v>
      </c>
      <c r="H160">
        <v>238400</v>
      </c>
      <c r="I160">
        <v>233400</v>
      </c>
      <c r="J160">
        <v>238400</v>
      </c>
      <c r="K160">
        <v>233400</v>
      </c>
      <c r="L160">
        <v>238400</v>
      </c>
    </row>
    <row r="161" spans="1:12" x14ac:dyDescent="0.35">
      <c r="A161">
        <v>2025</v>
      </c>
      <c r="B161">
        <v>2</v>
      </c>
      <c r="C161" t="s">
        <v>63</v>
      </c>
      <c r="D161" t="s">
        <v>299</v>
      </c>
      <c r="E161" t="s">
        <v>255</v>
      </c>
      <c r="F161">
        <v>10269</v>
      </c>
      <c r="G161">
        <v>387201</v>
      </c>
      <c r="H161">
        <v>382824</v>
      </c>
      <c r="I161">
        <v>297836</v>
      </c>
      <c r="J161">
        <v>599010</v>
      </c>
      <c r="K161">
        <v>328155</v>
      </c>
      <c r="L161">
        <v>433044</v>
      </c>
    </row>
    <row r="162" spans="1:12" x14ac:dyDescent="0.35">
      <c r="A162">
        <v>2025</v>
      </c>
      <c r="B162">
        <v>2</v>
      </c>
      <c r="C162" t="s">
        <v>63</v>
      </c>
      <c r="D162" t="s">
        <v>299</v>
      </c>
      <c r="E162" t="s">
        <v>257</v>
      </c>
      <c r="F162">
        <v>5016</v>
      </c>
      <c r="G162">
        <v>472585</v>
      </c>
      <c r="H162">
        <v>465544</v>
      </c>
      <c r="I162">
        <v>325286</v>
      </c>
      <c r="J162">
        <v>695250</v>
      </c>
      <c r="K162">
        <v>373474</v>
      </c>
      <c r="L162">
        <v>555804</v>
      </c>
    </row>
    <row r="163" spans="1:12" x14ac:dyDescent="0.35">
      <c r="A163">
        <v>2025</v>
      </c>
      <c r="B163">
        <v>2</v>
      </c>
      <c r="C163" t="s">
        <v>63</v>
      </c>
      <c r="D163" t="s">
        <v>299</v>
      </c>
      <c r="E163" t="s">
        <v>259</v>
      </c>
      <c r="F163">
        <v>1360</v>
      </c>
      <c r="G163">
        <v>628420</v>
      </c>
      <c r="H163">
        <v>637648</v>
      </c>
      <c r="I163">
        <v>382502</v>
      </c>
      <c r="J163">
        <v>720426</v>
      </c>
      <c r="K163">
        <v>595939</v>
      </c>
      <c r="L163">
        <v>675140</v>
      </c>
    </row>
    <row r="164" spans="1:12" x14ac:dyDescent="0.35">
      <c r="A164">
        <v>2025</v>
      </c>
      <c r="B164">
        <v>2</v>
      </c>
      <c r="C164" t="s">
        <v>63</v>
      </c>
      <c r="D164" t="s">
        <v>299</v>
      </c>
      <c r="E164" t="s">
        <v>261</v>
      </c>
      <c r="F164">
        <v>565</v>
      </c>
      <c r="G164">
        <v>667019</v>
      </c>
      <c r="H164">
        <v>673379</v>
      </c>
      <c r="I164">
        <v>491050</v>
      </c>
      <c r="J164">
        <v>729069</v>
      </c>
      <c r="K164">
        <v>645813</v>
      </c>
      <c r="L164">
        <v>688836</v>
      </c>
    </row>
    <row r="165" spans="1:12" x14ac:dyDescent="0.35">
      <c r="A165">
        <v>2025</v>
      </c>
      <c r="B165">
        <v>2</v>
      </c>
      <c r="C165" t="s">
        <v>63</v>
      </c>
      <c r="D165" t="s">
        <v>299</v>
      </c>
      <c r="E165" t="s">
        <v>263</v>
      </c>
      <c r="F165">
        <v>266</v>
      </c>
      <c r="G165">
        <v>711788</v>
      </c>
      <c r="H165">
        <v>706150</v>
      </c>
      <c r="I165">
        <v>623713</v>
      </c>
      <c r="J165">
        <v>787145</v>
      </c>
      <c r="K165">
        <v>695411</v>
      </c>
      <c r="L165">
        <v>722911</v>
      </c>
    </row>
    <row r="166" spans="1:12" x14ac:dyDescent="0.35">
      <c r="A166">
        <v>2025</v>
      </c>
      <c r="B166">
        <v>2</v>
      </c>
      <c r="C166" t="s">
        <v>63</v>
      </c>
      <c r="D166" t="s">
        <v>299</v>
      </c>
      <c r="E166" t="s">
        <v>265</v>
      </c>
      <c r="F166">
        <v>43</v>
      </c>
      <c r="G166">
        <v>275480</v>
      </c>
      <c r="H166">
        <v>274324</v>
      </c>
      <c r="I166">
        <v>231688</v>
      </c>
      <c r="J166">
        <v>349199</v>
      </c>
      <c r="K166">
        <v>249743</v>
      </c>
      <c r="L166">
        <v>306676</v>
      </c>
    </row>
    <row r="167" spans="1:12" x14ac:dyDescent="0.35">
      <c r="A167">
        <v>2025</v>
      </c>
      <c r="B167">
        <v>2</v>
      </c>
      <c r="C167" t="s">
        <v>63</v>
      </c>
      <c r="D167" t="s">
        <v>299</v>
      </c>
      <c r="E167" t="s">
        <v>267</v>
      </c>
      <c r="F167">
        <v>15667</v>
      </c>
      <c r="G167">
        <v>314954</v>
      </c>
      <c r="H167">
        <v>300986</v>
      </c>
      <c r="I167">
        <v>260064</v>
      </c>
      <c r="J167">
        <v>467072</v>
      </c>
      <c r="K167">
        <v>280986</v>
      </c>
      <c r="L167">
        <v>333942</v>
      </c>
    </row>
    <row r="168" spans="1:12" x14ac:dyDescent="0.35">
      <c r="A168">
        <v>2025</v>
      </c>
      <c r="B168">
        <v>2</v>
      </c>
      <c r="C168" t="s">
        <v>63</v>
      </c>
      <c r="D168" t="s">
        <v>299</v>
      </c>
      <c r="E168" t="s">
        <v>269</v>
      </c>
      <c r="F168">
        <v>8524</v>
      </c>
      <c r="G168">
        <v>226369</v>
      </c>
      <c r="H168">
        <v>223868</v>
      </c>
      <c r="I168">
        <v>202916</v>
      </c>
      <c r="J168">
        <v>274895</v>
      </c>
      <c r="K168">
        <v>211184</v>
      </c>
      <c r="L168">
        <v>238450</v>
      </c>
    </row>
    <row r="169" spans="1:12" x14ac:dyDescent="0.35">
      <c r="A169">
        <v>2025</v>
      </c>
      <c r="B169">
        <v>2</v>
      </c>
      <c r="C169" t="s">
        <v>63</v>
      </c>
      <c r="D169" t="s">
        <v>299</v>
      </c>
      <c r="E169" t="s">
        <v>271</v>
      </c>
      <c r="F169">
        <v>4576</v>
      </c>
      <c r="G169">
        <v>244018</v>
      </c>
      <c r="H169">
        <v>242663</v>
      </c>
      <c r="I169">
        <v>207526</v>
      </c>
      <c r="J169">
        <v>290297</v>
      </c>
      <c r="K169">
        <v>227275</v>
      </c>
      <c r="L169">
        <v>260297</v>
      </c>
    </row>
    <row r="170" spans="1:12" x14ac:dyDescent="0.35">
      <c r="A170">
        <v>2025</v>
      </c>
      <c r="B170">
        <v>2</v>
      </c>
      <c r="C170" t="s">
        <v>63</v>
      </c>
      <c r="D170" t="s">
        <v>299</v>
      </c>
      <c r="E170" t="s">
        <v>273</v>
      </c>
      <c r="F170">
        <v>6410</v>
      </c>
      <c r="G170">
        <v>262929</v>
      </c>
      <c r="H170">
        <v>262846</v>
      </c>
      <c r="I170">
        <v>210212</v>
      </c>
      <c r="J170">
        <v>320568</v>
      </c>
      <c r="K170">
        <v>241922</v>
      </c>
      <c r="L170">
        <v>281640</v>
      </c>
    </row>
    <row r="171" spans="1:12" x14ac:dyDescent="0.35">
      <c r="A171">
        <v>2025</v>
      </c>
      <c r="B171">
        <v>2</v>
      </c>
      <c r="C171" t="s">
        <v>63</v>
      </c>
      <c r="D171" t="s">
        <v>299</v>
      </c>
      <c r="E171" t="s">
        <v>275</v>
      </c>
      <c r="F171">
        <v>4529</v>
      </c>
      <c r="G171">
        <v>215763</v>
      </c>
      <c r="H171">
        <v>214287</v>
      </c>
      <c r="I171">
        <v>191418</v>
      </c>
      <c r="J171">
        <v>250950</v>
      </c>
      <c r="K171">
        <v>202895</v>
      </c>
      <c r="L171">
        <v>227760</v>
      </c>
    </row>
    <row r="172" spans="1:12" x14ac:dyDescent="0.35">
      <c r="A172">
        <v>2025</v>
      </c>
      <c r="B172">
        <v>2</v>
      </c>
      <c r="C172" t="s">
        <v>63</v>
      </c>
      <c r="D172" t="s">
        <v>299</v>
      </c>
      <c r="E172" t="s">
        <v>277</v>
      </c>
      <c r="F172">
        <v>5</v>
      </c>
      <c r="G172">
        <v>236400</v>
      </c>
      <c r="H172">
        <v>238400</v>
      </c>
      <c r="I172">
        <v>233400</v>
      </c>
      <c r="J172">
        <v>238400</v>
      </c>
      <c r="K172">
        <v>233400</v>
      </c>
      <c r="L172">
        <v>238400</v>
      </c>
    </row>
    <row r="173" spans="1:12" x14ac:dyDescent="0.35">
      <c r="A173">
        <v>2025</v>
      </c>
      <c r="B173">
        <v>3</v>
      </c>
      <c r="C173" t="s">
        <v>66</v>
      </c>
      <c r="D173" t="s">
        <v>299</v>
      </c>
      <c r="E173" t="s">
        <v>255</v>
      </c>
      <c r="F173">
        <v>10443</v>
      </c>
      <c r="G173">
        <v>383827</v>
      </c>
      <c r="H173">
        <v>377822</v>
      </c>
      <c r="I173">
        <v>297836</v>
      </c>
      <c r="J173">
        <v>598070</v>
      </c>
      <c r="K173">
        <v>325655</v>
      </c>
      <c r="L173">
        <v>429485</v>
      </c>
    </row>
    <row r="174" spans="1:12" x14ac:dyDescent="0.35">
      <c r="A174">
        <v>2025</v>
      </c>
      <c r="B174">
        <v>3</v>
      </c>
      <c r="C174" t="s">
        <v>66</v>
      </c>
      <c r="D174" t="s">
        <v>299</v>
      </c>
      <c r="E174" t="s">
        <v>257</v>
      </c>
      <c r="F174">
        <v>5121</v>
      </c>
      <c r="G174">
        <v>465497</v>
      </c>
      <c r="H174">
        <v>458044</v>
      </c>
      <c r="I174">
        <v>325286</v>
      </c>
      <c r="J174">
        <v>693477</v>
      </c>
      <c r="K174">
        <v>370286</v>
      </c>
      <c r="L174">
        <v>535903</v>
      </c>
    </row>
    <row r="175" spans="1:12" x14ac:dyDescent="0.35">
      <c r="A175">
        <v>2025</v>
      </c>
      <c r="B175">
        <v>3</v>
      </c>
      <c r="C175" t="s">
        <v>66</v>
      </c>
      <c r="D175" t="s">
        <v>299</v>
      </c>
      <c r="E175" t="s">
        <v>259</v>
      </c>
      <c r="F175">
        <v>1332</v>
      </c>
      <c r="G175">
        <v>620904</v>
      </c>
      <c r="H175">
        <v>628944</v>
      </c>
      <c r="I175">
        <v>382502</v>
      </c>
      <c r="J175">
        <v>720324</v>
      </c>
      <c r="K175">
        <v>583538</v>
      </c>
      <c r="L175">
        <v>672689</v>
      </c>
    </row>
    <row r="176" spans="1:12" x14ac:dyDescent="0.35">
      <c r="A176">
        <v>2025</v>
      </c>
      <c r="B176">
        <v>3</v>
      </c>
      <c r="C176" t="s">
        <v>66</v>
      </c>
      <c r="D176" t="s">
        <v>299</v>
      </c>
      <c r="E176" t="s">
        <v>261</v>
      </c>
      <c r="F176">
        <v>639</v>
      </c>
      <c r="G176">
        <v>661975</v>
      </c>
      <c r="H176">
        <v>665879</v>
      </c>
      <c r="I176">
        <v>491050</v>
      </c>
      <c r="J176">
        <v>725879</v>
      </c>
      <c r="K176">
        <v>641582</v>
      </c>
      <c r="L176">
        <v>685879</v>
      </c>
    </row>
    <row r="177" spans="1:12" x14ac:dyDescent="0.35">
      <c r="A177">
        <v>2025</v>
      </c>
      <c r="B177">
        <v>3</v>
      </c>
      <c r="C177" t="s">
        <v>66</v>
      </c>
      <c r="D177" t="s">
        <v>299</v>
      </c>
      <c r="E177" t="s">
        <v>263</v>
      </c>
      <c r="F177">
        <v>276</v>
      </c>
      <c r="G177">
        <v>704737</v>
      </c>
      <c r="H177">
        <v>706149</v>
      </c>
      <c r="I177">
        <v>623713</v>
      </c>
      <c r="J177">
        <v>779974</v>
      </c>
      <c r="K177">
        <v>692590</v>
      </c>
      <c r="L177">
        <v>720916</v>
      </c>
    </row>
    <row r="178" spans="1:12" x14ac:dyDescent="0.35">
      <c r="A178">
        <v>2025</v>
      </c>
      <c r="B178">
        <v>3</v>
      </c>
      <c r="C178" t="s">
        <v>66</v>
      </c>
      <c r="D178" t="s">
        <v>299</v>
      </c>
      <c r="E178" t="s">
        <v>265</v>
      </c>
      <c r="F178">
        <v>43</v>
      </c>
      <c r="G178">
        <v>275379</v>
      </c>
      <c r="H178">
        <v>274324</v>
      </c>
      <c r="I178">
        <v>231688</v>
      </c>
      <c r="J178">
        <v>344176</v>
      </c>
      <c r="K178">
        <v>249743</v>
      </c>
      <c r="L178">
        <v>306676</v>
      </c>
    </row>
    <row r="179" spans="1:12" x14ac:dyDescent="0.35">
      <c r="A179">
        <v>2025</v>
      </c>
      <c r="B179">
        <v>3</v>
      </c>
      <c r="C179" t="s">
        <v>66</v>
      </c>
      <c r="D179" t="s">
        <v>299</v>
      </c>
      <c r="E179" t="s">
        <v>267</v>
      </c>
      <c r="F179">
        <v>16094</v>
      </c>
      <c r="G179">
        <v>312826</v>
      </c>
      <c r="H179">
        <v>298486</v>
      </c>
      <c r="I179">
        <v>260063</v>
      </c>
      <c r="J179">
        <v>467812</v>
      </c>
      <c r="K179">
        <v>278486</v>
      </c>
      <c r="L179">
        <v>328252</v>
      </c>
    </row>
    <row r="180" spans="1:12" x14ac:dyDescent="0.35">
      <c r="A180">
        <v>2025</v>
      </c>
      <c r="B180">
        <v>3</v>
      </c>
      <c r="C180" t="s">
        <v>66</v>
      </c>
      <c r="D180" t="s">
        <v>299</v>
      </c>
      <c r="E180" t="s">
        <v>269</v>
      </c>
      <c r="F180">
        <v>8728</v>
      </c>
      <c r="G180">
        <v>225955</v>
      </c>
      <c r="H180">
        <v>223500</v>
      </c>
      <c r="I180">
        <v>203006</v>
      </c>
      <c r="J180">
        <v>274324</v>
      </c>
      <c r="K180">
        <v>211000</v>
      </c>
      <c r="L180">
        <v>238400</v>
      </c>
    </row>
    <row r="181" spans="1:12" x14ac:dyDescent="0.35">
      <c r="A181">
        <v>2025</v>
      </c>
      <c r="B181">
        <v>3</v>
      </c>
      <c r="C181" t="s">
        <v>66</v>
      </c>
      <c r="D181" t="s">
        <v>299</v>
      </c>
      <c r="E181" t="s">
        <v>271</v>
      </c>
      <c r="F181">
        <v>4615</v>
      </c>
      <c r="G181">
        <v>244189</v>
      </c>
      <c r="H181">
        <v>242640</v>
      </c>
      <c r="I181">
        <v>207526</v>
      </c>
      <c r="J181">
        <v>290297</v>
      </c>
      <c r="K181">
        <v>225765</v>
      </c>
      <c r="L181">
        <v>259509</v>
      </c>
    </row>
    <row r="182" spans="1:12" x14ac:dyDescent="0.35">
      <c r="A182">
        <v>2025</v>
      </c>
      <c r="B182">
        <v>3</v>
      </c>
      <c r="C182" t="s">
        <v>66</v>
      </c>
      <c r="D182" t="s">
        <v>299</v>
      </c>
      <c r="E182" t="s">
        <v>273</v>
      </c>
      <c r="F182">
        <v>6429</v>
      </c>
      <c r="G182">
        <v>262340</v>
      </c>
      <c r="H182">
        <v>261640</v>
      </c>
      <c r="I182">
        <v>210212</v>
      </c>
      <c r="J182">
        <v>321240</v>
      </c>
      <c r="K182">
        <v>241134</v>
      </c>
      <c r="L182">
        <v>281640</v>
      </c>
    </row>
    <row r="183" spans="1:12" x14ac:dyDescent="0.35">
      <c r="A183">
        <v>2025</v>
      </c>
      <c r="B183">
        <v>3</v>
      </c>
      <c r="C183" t="s">
        <v>66</v>
      </c>
      <c r="D183" t="s">
        <v>299</v>
      </c>
      <c r="E183" t="s">
        <v>275</v>
      </c>
      <c r="F183">
        <v>4539</v>
      </c>
      <c r="G183">
        <v>215632</v>
      </c>
      <c r="H183">
        <v>214287</v>
      </c>
      <c r="I183">
        <v>191418</v>
      </c>
      <c r="J183">
        <v>250950</v>
      </c>
      <c r="K183">
        <v>202895</v>
      </c>
      <c r="L183">
        <v>227526</v>
      </c>
    </row>
    <row r="184" spans="1:12" x14ac:dyDescent="0.35">
      <c r="A184">
        <v>2025</v>
      </c>
      <c r="B184">
        <v>3</v>
      </c>
      <c r="C184" t="s">
        <v>66</v>
      </c>
      <c r="D184" t="s">
        <v>299</v>
      </c>
      <c r="E184" t="s">
        <v>277</v>
      </c>
      <c r="F184">
        <v>5</v>
      </c>
      <c r="G184">
        <v>236400</v>
      </c>
      <c r="H184">
        <v>238400</v>
      </c>
      <c r="I184">
        <v>233400</v>
      </c>
      <c r="J184">
        <v>238400</v>
      </c>
      <c r="K184">
        <v>233400</v>
      </c>
      <c r="L184">
        <v>238400</v>
      </c>
    </row>
    <row r="185" spans="1:12" x14ac:dyDescent="0.35">
      <c r="A185">
        <v>2025</v>
      </c>
      <c r="B185">
        <v>4</v>
      </c>
      <c r="C185" t="s">
        <v>67</v>
      </c>
      <c r="D185" t="s">
        <v>299</v>
      </c>
      <c r="E185" t="s">
        <v>255</v>
      </c>
      <c r="F185">
        <v>10260</v>
      </c>
      <c r="G185">
        <v>387182</v>
      </c>
      <c r="H185">
        <v>382824</v>
      </c>
      <c r="I185">
        <v>297836</v>
      </c>
      <c r="J185">
        <v>599010</v>
      </c>
      <c r="K185">
        <v>328155</v>
      </c>
      <c r="L185">
        <v>433044</v>
      </c>
    </row>
    <row r="186" spans="1:12" x14ac:dyDescent="0.35">
      <c r="A186">
        <v>2025</v>
      </c>
      <c r="B186">
        <v>4</v>
      </c>
      <c r="C186" t="s">
        <v>67</v>
      </c>
      <c r="D186" t="s">
        <v>299</v>
      </c>
      <c r="E186" t="s">
        <v>257</v>
      </c>
      <c r="F186">
        <v>5000</v>
      </c>
      <c r="G186">
        <v>472078</v>
      </c>
      <c r="H186">
        <v>465292</v>
      </c>
      <c r="I186">
        <v>325286</v>
      </c>
      <c r="J186">
        <v>695250</v>
      </c>
      <c r="K186">
        <v>373474</v>
      </c>
      <c r="L186">
        <v>555804</v>
      </c>
    </row>
    <row r="187" spans="1:12" x14ac:dyDescent="0.35">
      <c r="A187">
        <v>2025</v>
      </c>
      <c r="B187">
        <v>4</v>
      </c>
      <c r="C187" t="s">
        <v>67</v>
      </c>
      <c r="D187" t="s">
        <v>299</v>
      </c>
      <c r="E187" t="s">
        <v>259</v>
      </c>
      <c r="F187">
        <v>1358</v>
      </c>
      <c r="G187">
        <v>628602</v>
      </c>
      <c r="H187">
        <v>637648</v>
      </c>
      <c r="I187">
        <v>382502</v>
      </c>
      <c r="J187">
        <v>720426</v>
      </c>
      <c r="K187">
        <v>595939</v>
      </c>
      <c r="L187">
        <v>675142</v>
      </c>
    </row>
    <row r="188" spans="1:12" x14ac:dyDescent="0.35">
      <c r="A188">
        <v>2025</v>
      </c>
      <c r="B188">
        <v>4</v>
      </c>
      <c r="C188" t="s">
        <v>67</v>
      </c>
      <c r="D188" t="s">
        <v>299</v>
      </c>
      <c r="E188" t="s">
        <v>261</v>
      </c>
      <c r="F188">
        <v>565</v>
      </c>
      <c r="G188">
        <v>667019</v>
      </c>
      <c r="H188">
        <v>673379</v>
      </c>
      <c r="I188">
        <v>491050</v>
      </c>
      <c r="J188">
        <v>729069</v>
      </c>
      <c r="K188">
        <v>645813</v>
      </c>
      <c r="L188">
        <v>688836</v>
      </c>
    </row>
    <row r="189" spans="1:12" x14ac:dyDescent="0.35">
      <c r="A189">
        <v>2025</v>
      </c>
      <c r="B189">
        <v>4</v>
      </c>
      <c r="C189" t="s">
        <v>67</v>
      </c>
      <c r="D189" t="s">
        <v>299</v>
      </c>
      <c r="E189" t="s">
        <v>263</v>
      </c>
      <c r="F189">
        <v>266</v>
      </c>
      <c r="G189">
        <v>711788</v>
      </c>
      <c r="H189">
        <v>706150</v>
      </c>
      <c r="I189">
        <v>623713</v>
      </c>
      <c r="J189">
        <v>787145</v>
      </c>
      <c r="K189">
        <v>695411</v>
      </c>
      <c r="L189">
        <v>722911</v>
      </c>
    </row>
    <row r="190" spans="1:12" x14ac:dyDescent="0.35">
      <c r="A190">
        <v>2025</v>
      </c>
      <c r="B190">
        <v>4</v>
      </c>
      <c r="C190" t="s">
        <v>67</v>
      </c>
      <c r="D190" t="s">
        <v>299</v>
      </c>
      <c r="E190" t="s">
        <v>265</v>
      </c>
      <c r="F190">
        <v>43</v>
      </c>
      <c r="G190">
        <v>275480</v>
      </c>
      <c r="H190">
        <v>274324</v>
      </c>
      <c r="I190">
        <v>231688</v>
      </c>
      <c r="J190">
        <v>349199</v>
      </c>
      <c r="K190">
        <v>249743</v>
      </c>
      <c r="L190">
        <v>306676</v>
      </c>
    </row>
    <row r="191" spans="1:12" x14ac:dyDescent="0.35">
      <c r="A191">
        <v>2025</v>
      </c>
      <c r="B191">
        <v>4</v>
      </c>
      <c r="C191" t="s">
        <v>67</v>
      </c>
      <c r="D191" t="s">
        <v>299</v>
      </c>
      <c r="E191" t="s">
        <v>267</v>
      </c>
      <c r="F191">
        <v>15665</v>
      </c>
      <c r="G191">
        <v>314933</v>
      </c>
      <c r="H191">
        <v>300986</v>
      </c>
      <c r="I191">
        <v>260064</v>
      </c>
      <c r="J191">
        <v>467072</v>
      </c>
      <c r="K191">
        <v>280986</v>
      </c>
      <c r="L191">
        <v>333488</v>
      </c>
    </row>
    <row r="192" spans="1:12" x14ac:dyDescent="0.35">
      <c r="A192">
        <v>2025</v>
      </c>
      <c r="B192">
        <v>4</v>
      </c>
      <c r="C192" t="s">
        <v>67</v>
      </c>
      <c r="D192" t="s">
        <v>299</v>
      </c>
      <c r="E192" t="s">
        <v>269</v>
      </c>
      <c r="F192">
        <v>8523</v>
      </c>
      <c r="G192">
        <v>226368</v>
      </c>
      <c r="H192">
        <v>223868</v>
      </c>
      <c r="I192">
        <v>202916</v>
      </c>
      <c r="J192">
        <v>274895</v>
      </c>
      <c r="K192">
        <v>211184</v>
      </c>
      <c r="L192">
        <v>238450</v>
      </c>
    </row>
    <row r="193" spans="1:12" x14ac:dyDescent="0.35">
      <c r="A193">
        <v>2025</v>
      </c>
      <c r="B193">
        <v>4</v>
      </c>
      <c r="C193" t="s">
        <v>67</v>
      </c>
      <c r="D193" t="s">
        <v>299</v>
      </c>
      <c r="E193" t="s">
        <v>271</v>
      </c>
      <c r="F193">
        <v>4571</v>
      </c>
      <c r="G193">
        <v>243997</v>
      </c>
      <c r="H193">
        <v>242663</v>
      </c>
      <c r="I193">
        <v>207526</v>
      </c>
      <c r="J193">
        <v>290297</v>
      </c>
      <c r="K193">
        <v>227058</v>
      </c>
      <c r="L193">
        <v>260295</v>
      </c>
    </row>
    <row r="194" spans="1:12" x14ac:dyDescent="0.35">
      <c r="A194">
        <v>2025</v>
      </c>
      <c r="B194">
        <v>4</v>
      </c>
      <c r="C194" t="s">
        <v>67</v>
      </c>
      <c r="D194" t="s">
        <v>299</v>
      </c>
      <c r="E194" t="s">
        <v>273</v>
      </c>
      <c r="F194">
        <v>6410</v>
      </c>
      <c r="G194">
        <v>262929</v>
      </c>
      <c r="H194">
        <v>262846</v>
      </c>
      <c r="I194">
        <v>210212</v>
      </c>
      <c r="J194">
        <v>320568</v>
      </c>
      <c r="K194">
        <v>241922</v>
      </c>
      <c r="L194">
        <v>281640</v>
      </c>
    </row>
    <row r="195" spans="1:12" x14ac:dyDescent="0.35">
      <c r="A195">
        <v>2025</v>
      </c>
      <c r="B195">
        <v>4</v>
      </c>
      <c r="C195" t="s">
        <v>67</v>
      </c>
      <c r="D195" t="s">
        <v>299</v>
      </c>
      <c r="E195" t="s">
        <v>275</v>
      </c>
      <c r="F195">
        <v>4529</v>
      </c>
      <c r="G195">
        <v>215769</v>
      </c>
      <c r="H195">
        <v>214287</v>
      </c>
      <c r="I195">
        <v>191418</v>
      </c>
      <c r="J195">
        <v>250950</v>
      </c>
      <c r="K195">
        <v>202895</v>
      </c>
      <c r="L195">
        <v>227895</v>
      </c>
    </row>
    <row r="196" spans="1:12" x14ac:dyDescent="0.35">
      <c r="A196">
        <v>2025</v>
      </c>
      <c r="B196">
        <v>4</v>
      </c>
      <c r="C196" t="s">
        <v>67</v>
      </c>
      <c r="D196" t="s">
        <v>299</v>
      </c>
      <c r="E196" t="s">
        <v>277</v>
      </c>
      <c r="F196">
        <v>5</v>
      </c>
      <c r="G196">
        <v>236400</v>
      </c>
      <c r="H196">
        <v>238400</v>
      </c>
      <c r="I196">
        <v>233400</v>
      </c>
      <c r="J196">
        <v>238400</v>
      </c>
      <c r="K196">
        <v>233400</v>
      </c>
      <c r="L196">
        <v>238400</v>
      </c>
    </row>
    <row r="197" spans="1:12" x14ac:dyDescent="0.35">
      <c r="A197">
        <v>2025</v>
      </c>
      <c r="B197">
        <v>5</v>
      </c>
      <c r="C197" t="s">
        <v>68</v>
      </c>
      <c r="D197" t="s">
        <v>299</v>
      </c>
      <c r="E197" t="s">
        <v>255</v>
      </c>
      <c r="F197">
        <v>10653</v>
      </c>
      <c r="G197">
        <v>383393</v>
      </c>
      <c r="H197">
        <v>375790</v>
      </c>
      <c r="I197">
        <v>297836</v>
      </c>
      <c r="J197">
        <v>598070</v>
      </c>
      <c r="K197">
        <v>325655</v>
      </c>
      <c r="L197">
        <v>429436</v>
      </c>
    </row>
    <row r="198" spans="1:12" x14ac:dyDescent="0.35">
      <c r="A198">
        <v>2025</v>
      </c>
      <c r="B198">
        <v>5</v>
      </c>
      <c r="C198" t="s">
        <v>68</v>
      </c>
      <c r="D198" t="s">
        <v>299</v>
      </c>
      <c r="E198" t="s">
        <v>257</v>
      </c>
      <c r="F198">
        <v>5212</v>
      </c>
      <c r="G198">
        <v>463301</v>
      </c>
      <c r="H198">
        <v>458044</v>
      </c>
      <c r="I198">
        <v>325286</v>
      </c>
      <c r="J198">
        <v>693477</v>
      </c>
      <c r="K198">
        <v>365974</v>
      </c>
      <c r="L198">
        <v>535804</v>
      </c>
    </row>
    <row r="199" spans="1:12" x14ac:dyDescent="0.35">
      <c r="A199">
        <v>2025</v>
      </c>
      <c r="B199">
        <v>5</v>
      </c>
      <c r="C199" t="s">
        <v>68</v>
      </c>
      <c r="D199" t="s">
        <v>299</v>
      </c>
      <c r="E199" t="s">
        <v>259</v>
      </c>
      <c r="F199">
        <v>1306</v>
      </c>
      <c r="G199">
        <v>618642</v>
      </c>
      <c r="H199">
        <v>625939</v>
      </c>
      <c r="I199">
        <v>382502</v>
      </c>
      <c r="J199">
        <v>720324</v>
      </c>
      <c r="K199">
        <v>583439</v>
      </c>
      <c r="L199">
        <v>672689</v>
      </c>
    </row>
    <row r="200" spans="1:12" x14ac:dyDescent="0.35">
      <c r="A200">
        <v>2025</v>
      </c>
      <c r="B200">
        <v>5</v>
      </c>
      <c r="C200" t="s">
        <v>68</v>
      </c>
      <c r="D200" t="s">
        <v>299</v>
      </c>
      <c r="E200" t="s">
        <v>261</v>
      </c>
      <c r="F200">
        <v>691</v>
      </c>
      <c r="G200">
        <v>659147</v>
      </c>
      <c r="H200">
        <v>664868</v>
      </c>
      <c r="I200">
        <v>491050</v>
      </c>
      <c r="J200">
        <v>728379</v>
      </c>
      <c r="K200">
        <v>637233</v>
      </c>
      <c r="L200">
        <v>684351</v>
      </c>
    </row>
    <row r="201" spans="1:12" x14ac:dyDescent="0.35">
      <c r="A201">
        <v>2025</v>
      </c>
      <c r="B201">
        <v>5</v>
      </c>
      <c r="C201" t="s">
        <v>68</v>
      </c>
      <c r="D201" t="s">
        <v>299</v>
      </c>
      <c r="E201" t="s">
        <v>263</v>
      </c>
      <c r="F201">
        <v>290</v>
      </c>
      <c r="G201">
        <v>703276</v>
      </c>
      <c r="H201">
        <v>703262</v>
      </c>
      <c r="I201">
        <v>623713</v>
      </c>
      <c r="J201">
        <v>779750</v>
      </c>
      <c r="K201">
        <v>692590</v>
      </c>
      <c r="L201">
        <v>720090</v>
      </c>
    </row>
    <row r="202" spans="1:12" x14ac:dyDescent="0.35">
      <c r="A202">
        <v>2025</v>
      </c>
      <c r="B202">
        <v>5</v>
      </c>
      <c r="C202" t="s">
        <v>68</v>
      </c>
      <c r="D202" t="s">
        <v>299</v>
      </c>
      <c r="E202" t="s">
        <v>265</v>
      </c>
      <c r="F202">
        <v>44</v>
      </c>
      <c r="G202">
        <v>275386</v>
      </c>
      <c r="H202">
        <v>276707</v>
      </c>
      <c r="I202">
        <v>231688</v>
      </c>
      <c r="J202">
        <v>344176</v>
      </c>
      <c r="K202">
        <v>249743</v>
      </c>
      <c r="L202">
        <v>291172</v>
      </c>
    </row>
    <row r="203" spans="1:12" x14ac:dyDescent="0.35">
      <c r="A203">
        <v>2025</v>
      </c>
      <c r="B203">
        <v>5</v>
      </c>
      <c r="C203" t="s">
        <v>68</v>
      </c>
      <c r="D203" t="s">
        <v>299</v>
      </c>
      <c r="E203" t="s">
        <v>267</v>
      </c>
      <c r="F203">
        <v>16533</v>
      </c>
      <c r="G203">
        <v>312426</v>
      </c>
      <c r="H203">
        <v>300519</v>
      </c>
      <c r="I203">
        <v>260063</v>
      </c>
      <c r="J203">
        <v>466517</v>
      </c>
      <c r="K203">
        <v>278486</v>
      </c>
      <c r="L203">
        <v>328488</v>
      </c>
    </row>
    <row r="204" spans="1:12" x14ac:dyDescent="0.35">
      <c r="A204">
        <v>2025</v>
      </c>
      <c r="B204">
        <v>5</v>
      </c>
      <c r="C204" t="s">
        <v>68</v>
      </c>
      <c r="D204" t="s">
        <v>299</v>
      </c>
      <c r="E204" t="s">
        <v>269</v>
      </c>
      <c r="F204">
        <v>8916</v>
      </c>
      <c r="G204">
        <v>225682</v>
      </c>
      <c r="H204">
        <v>221553</v>
      </c>
      <c r="I204">
        <v>202975</v>
      </c>
      <c r="J204">
        <v>274324</v>
      </c>
      <c r="K204">
        <v>211000</v>
      </c>
      <c r="L204">
        <v>238400</v>
      </c>
    </row>
    <row r="205" spans="1:12" x14ac:dyDescent="0.35">
      <c r="A205">
        <v>2025</v>
      </c>
      <c r="B205">
        <v>5</v>
      </c>
      <c r="C205" t="s">
        <v>68</v>
      </c>
      <c r="D205" t="s">
        <v>299</v>
      </c>
      <c r="E205" t="s">
        <v>271</v>
      </c>
      <c r="F205">
        <v>4624</v>
      </c>
      <c r="G205">
        <v>243725</v>
      </c>
      <c r="H205">
        <v>240765</v>
      </c>
      <c r="I205">
        <v>207526</v>
      </c>
      <c r="J205">
        <v>290297</v>
      </c>
      <c r="K205">
        <v>225765</v>
      </c>
      <c r="L205">
        <v>259509</v>
      </c>
    </row>
    <row r="206" spans="1:12" x14ac:dyDescent="0.35">
      <c r="A206">
        <v>2025</v>
      </c>
      <c r="B206">
        <v>5</v>
      </c>
      <c r="C206" t="s">
        <v>68</v>
      </c>
      <c r="D206" t="s">
        <v>299</v>
      </c>
      <c r="E206" t="s">
        <v>273</v>
      </c>
      <c r="F206">
        <v>6431</v>
      </c>
      <c r="G206">
        <v>262900</v>
      </c>
      <c r="H206">
        <v>262846</v>
      </c>
      <c r="I206">
        <v>211922</v>
      </c>
      <c r="J206">
        <v>320568</v>
      </c>
      <c r="K206">
        <v>241922</v>
      </c>
      <c r="L206">
        <v>281640</v>
      </c>
    </row>
    <row r="207" spans="1:12" x14ac:dyDescent="0.35">
      <c r="A207">
        <v>2025</v>
      </c>
      <c r="B207">
        <v>5</v>
      </c>
      <c r="C207" t="s">
        <v>68</v>
      </c>
      <c r="D207" t="s">
        <v>299</v>
      </c>
      <c r="E207" t="s">
        <v>275</v>
      </c>
      <c r="F207">
        <v>4579</v>
      </c>
      <c r="G207">
        <v>215640</v>
      </c>
      <c r="H207">
        <v>214422</v>
      </c>
      <c r="I207">
        <v>191418</v>
      </c>
      <c r="J207">
        <v>250950</v>
      </c>
      <c r="K207">
        <v>202895</v>
      </c>
      <c r="L207">
        <v>227526</v>
      </c>
    </row>
    <row r="208" spans="1:12" x14ac:dyDescent="0.35">
      <c r="A208">
        <v>2025</v>
      </c>
      <c r="B208">
        <v>5</v>
      </c>
      <c r="C208" t="s">
        <v>68</v>
      </c>
      <c r="D208" t="s">
        <v>299</v>
      </c>
      <c r="E208" t="s">
        <v>277</v>
      </c>
      <c r="F208">
        <v>5</v>
      </c>
      <c r="G208">
        <v>235400</v>
      </c>
      <c r="H208">
        <v>233400</v>
      </c>
      <c r="I208">
        <v>233400</v>
      </c>
      <c r="J208">
        <v>238400</v>
      </c>
      <c r="K208">
        <v>233400</v>
      </c>
      <c r="L208">
        <v>238400</v>
      </c>
    </row>
    <row r="209" spans="1:12" x14ac:dyDescent="0.35">
      <c r="A209">
        <v>2025</v>
      </c>
      <c r="B209">
        <v>6</v>
      </c>
      <c r="C209" t="s">
        <v>69</v>
      </c>
      <c r="D209" t="s">
        <v>299</v>
      </c>
      <c r="E209" t="s">
        <v>255</v>
      </c>
      <c r="F209">
        <v>10689</v>
      </c>
      <c r="G209">
        <v>383387</v>
      </c>
      <c r="H209">
        <v>375790</v>
      </c>
      <c r="I209">
        <v>297836</v>
      </c>
      <c r="J209">
        <v>598070</v>
      </c>
      <c r="K209">
        <v>325655</v>
      </c>
      <c r="L209">
        <v>429485</v>
      </c>
    </row>
    <row r="210" spans="1:12" x14ac:dyDescent="0.35">
      <c r="A210">
        <v>2025</v>
      </c>
      <c r="B210">
        <v>6</v>
      </c>
      <c r="C210" t="s">
        <v>69</v>
      </c>
      <c r="D210" t="s">
        <v>299</v>
      </c>
      <c r="E210" t="s">
        <v>257</v>
      </c>
      <c r="F210">
        <v>5230</v>
      </c>
      <c r="G210">
        <v>463330</v>
      </c>
      <c r="H210">
        <v>458044</v>
      </c>
      <c r="I210">
        <v>325286</v>
      </c>
      <c r="J210">
        <v>693477</v>
      </c>
      <c r="K210">
        <v>368052</v>
      </c>
      <c r="L210">
        <v>535804</v>
      </c>
    </row>
    <row r="211" spans="1:12" x14ac:dyDescent="0.35">
      <c r="A211">
        <v>2025</v>
      </c>
      <c r="B211">
        <v>6</v>
      </c>
      <c r="C211" t="s">
        <v>69</v>
      </c>
      <c r="D211" t="s">
        <v>299</v>
      </c>
      <c r="E211" t="s">
        <v>259</v>
      </c>
      <c r="F211">
        <v>1276</v>
      </c>
      <c r="G211">
        <v>618961</v>
      </c>
      <c r="H211">
        <v>625939</v>
      </c>
      <c r="I211">
        <v>382502</v>
      </c>
      <c r="J211">
        <v>720699</v>
      </c>
      <c r="K211">
        <v>583439</v>
      </c>
      <c r="L211">
        <v>672689</v>
      </c>
    </row>
    <row r="212" spans="1:12" x14ac:dyDescent="0.35">
      <c r="A212">
        <v>2025</v>
      </c>
      <c r="B212">
        <v>6</v>
      </c>
      <c r="C212" t="s">
        <v>69</v>
      </c>
      <c r="D212" t="s">
        <v>299</v>
      </c>
      <c r="E212" t="s">
        <v>261</v>
      </c>
      <c r="F212">
        <v>733</v>
      </c>
      <c r="G212">
        <v>658295</v>
      </c>
      <c r="H212">
        <v>664081</v>
      </c>
      <c r="I212">
        <v>491050</v>
      </c>
      <c r="J212">
        <v>730180</v>
      </c>
      <c r="K212">
        <v>637233</v>
      </c>
      <c r="L212">
        <v>681853</v>
      </c>
    </row>
    <row r="213" spans="1:12" x14ac:dyDescent="0.35">
      <c r="A213">
        <v>2025</v>
      </c>
      <c r="B213">
        <v>6</v>
      </c>
      <c r="C213" t="s">
        <v>69</v>
      </c>
      <c r="D213" t="s">
        <v>299</v>
      </c>
      <c r="E213" t="s">
        <v>263</v>
      </c>
      <c r="F213">
        <v>294</v>
      </c>
      <c r="G213">
        <v>702291</v>
      </c>
      <c r="H213">
        <v>702750</v>
      </c>
      <c r="I213">
        <v>623713</v>
      </c>
      <c r="J213">
        <v>786461</v>
      </c>
      <c r="K213">
        <v>692590</v>
      </c>
      <c r="L213">
        <v>717911</v>
      </c>
    </row>
    <row r="214" spans="1:12" x14ac:dyDescent="0.35">
      <c r="A214">
        <v>2025</v>
      </c>
      <c r="B214">
        <v>6</v>
      </c>
      <c r="C214" t="s">
        <v>69</v>
      </c>
      <c r="D214" t="s">
        <v>299</v>
      </c>
      <c r="E214" t="s">
        <v>265</v>
      </c>
      <c r="F214">
        <v>153</v>
      </c>
      <c r="G214">
        <v>302756</v>
      </c>
      <c r="H214">
        <v>311621</v>
      </c>
      <c r="I214">
        <v>231688</v>
      </c>
      <c r="J214">
        <v>344176</v>
      </c>
      <c r="K214">
        <v>291621</v>
      </c>
      <c r="L214">
        <v>319121</v>
      </c>
    </row>
    <row r="215" spans="1:12" x14ac:dyDescent="0.35">
      <c r="A215">
        <v>2025</v>
      </c>
      <c r="B215">
        <v>6</v>
      </c>
      <c r="C215" t="s">
        <v>69</v>
      </c>
      <c r="D215" t="s">
        <v>299</v>
      </c>
      <c r="E215" t="s">
        <v>267</v>
      </c>
      <c r="F215">
        <v>16751</v>
      </c>
      <c r="G215">
        <v>313136</v>
      </c>
      <c r="H215">
        <v>300752</v>
      </c>
      <c r="I215">
        <v>260063</v>
      </c>
      <c r="J215">
        <v>466517</v>
      </c>
      <c r="K215">
        <v>280064</v>
      </c>
      <c r="L215">
        <v>328942</v>
      </c>
    </row>
    <row r="216" spans="1:12" x14ac:dyDescent="0.35">
      <c r="A216">
        <v>2025</v>
      </c>
      <c r="B216">
        <v>6</v>
      </c>
      <c r="C216" t="s">
        <v>69</v>
      </c>
      <c r="D216" t="s">
        <v>299</v>
      </c>
      <c r="E216" t="s">
        <v>269</v>
      </c>
      <c r="F216">
        <v>8870</v>
      </c>
      <c r="G216">
        <v>225355</v>
      </c>
      <c r="H216">
        <v>221368</v>
      </c>
      <c r="I216">
        <v>203090</v>
      </c>
      <c r="J216">
        <v>274324</v>
      </c>
      <c r="K216">
        <v>210950</v>
      </c>
      <c r="L216">
        <v>238216</v>
      </c>
    </row>
    <row r="217" spans="1:12" x14ac:dyDescent="0.35">
      <c r="A217">
        <v>2025</v>
      </c>
      <c r="B217">
        <v>6</v>
      </c>
      <c r="C217" t="s">
        <v>69</v>
      </c>
      <c r="D217" t="s">
        <v>299</v>
      </c>
      <c r="E217" t="s">
        <v>271</v>
      </c>
      <c r="F217">
        <v>4608</v>
      </c>
      <c r="G217">
        <v>243796</v>
      </c>
      <c r="H217">
        <v>240765</v>
      </c>
      <c r="I217">
        <v>207526</v>
      </c>
      <c r="J217">
        <v>290297</v>
      </c>
      <c r="K217">
        <v>225765</v>
      </c>
      <c r="L217">
        <v>259509</v>
      </c>
    </row>
    <row r="218" spans="1:12" x14ac:dyDescent="0.35">
      <c r="A218">
        <v>2025</v>
      </c>
      <c r="B218">
        <v>6</v>
      </c>
      <c r="C218" t="s">
        <v>69</v>
      </c>
      <c r="D218" t="s">
        <v>299</v>
      </c>
      <c r="E218" t="s">
        <v>273</v>
      </c>
      <c r="F218">
        <v>6318</v>
      </c>
      <c r="G218">
        <v>263090</v>
      </c>
      <c r="H218">
        <v>263634</v>
      </c>
      <c r="I218">
        <v>211922</v>
      </c>
      <c r="J218">
        <v>321422</v>
      </c>
      <c r="K218">
        <v>241922</v>
      </c>
      <c r="L218">
        <v>281640</v>
      </c>
    </row>
    <row r="219" spans="1:12" x14ac:dyDescent="0.35">
      <c r="A219">
        <v>2025</v>
      </c>
      <c r="B219">
        <v>6</v>
      </c>
      <c r="C219" t="s">
        <v>69</v>
      </c>
      <c r="D219" t="s">
        <v>299</v>
      </c>
      <c r="E219" t="s">
        <v>275</v>
      </c>
      <c r="F219">
        <v>4581</v>
      </c>
      <c r="G219">
        <v>215691</v>
      </c>
      <c r="H219">
        <v>214422</v>
      </c>
      <c r="I219">
        <v>191418</v>
      </c>
      <c r="J219">
        <v>250950</v>
      </c>
      <c r="K219">
        <v>202895</v>
      </c>
      <c r="L219">
        <v>227661</v>
      </c>
    </row>
    <row r="220" spans="1:12" x14ac:dyDescent="0.35">
      <c r="A220">
        <v>2025</v>
      </c>
      <c r="B220">
        <v>6</v>
      </c>
      <c r="C220" t="s">
        <v>69</v>
      </c>
      <c r="D220" t="s">
        <v>299</v>
      </c>
      <c r="E220" t="s">
        <v>277</v>
      </c>
      <c r="F220">
        <v>5</v>
      </c>
      <c r="G220">
        <v>235400</v>
      </c>
      <c r="H220">
        <v>233400</v>
      </c>
      <c r="I220">
        <v>233400</v>
      </c>
      <c r="J220">
        <v>238400</v>
      </c>
      <c r="K220">
        <v>233400</v>
      </c>
      <c r="L220">
        <v>238400</v>
      </c>
    </row>
    <row r="221" spans="1:12" x14ac:dyDescent="0.35">
      <c r="A221">
        <v>2025</v>
      </c>
      <c r="B221">
        <v>7</v>
      </c>
      <c r="C221" t="s">
        <v>70</v>
      </c>
      <c r="D221" t="s">
        <v>299</v>
      </c>
      <c r="E221" t="s">
        <v>255</v>
      </c>
      <c r="F221">
        <v>10756</v>
      </c>
      <c r="G221">
        <v>384028</v>
      </c>
      <c r="H221">
        <v>375790</v>
      </c>
      <c r="I221">
        <v>297836</v>
      </c>
      <c r="J221">
        <v>598070</v>
      </c>
      <c r="K221">
        <v>326073</v>
      </c>
      <c r="L221">
        <v>429485</v>
      </c>
    </row>
    <row r="222" spans="1:12" x14ac:dyDescent="0.35">
      <c r="A222">
        <v>2025</v>
      </c>
      <c r="B222">
        <v>7</v>
      </c>
      <c r="C222" t="s">
        <v>70</v>
      </c>
      <c r="D222" t="s">
        <v>299</v>
      </c>
      <c r="E222" t="s">
        <v>257</v>
      </c>
      <c r="F222">
        <v>5232</v>
      </c>
      <c r="G222">
        <v>463844</v>
      </c>
      <c r="H222">
        <v>458044</v>
      </c>
      <c r="I222">
        <v>325286</v>
      </c>
      <c r="J222">
        <v>693477</v>
      </c>
      <c r="K222">
        <v>368474</v>
      </c>
      <c r="L222">
        <v>535903</v>
      </c>
    </row>
    <row r="223" spans="1:12" x14ac:dyDescent="0.35">
      <c r="A223">
        <v>2025</v>
      </c>
      <c r="B223">
        <v>7</v>
      </c>
      <c r="C223" t="s">
        <v>70</v>
      </c>
      <c r="D223" t="s">
        <v>299</v>
      </c>
      <c r="E223" t="s">
        <v>259</v>
      </c>
      <c r="F223">
        <v>1259</v>
      </c>
      <c r="G223">
        <v>618900</v>
      </c>
      <c r="H223">
        <v>625939</v>
      </c>
      <c r="I223">
        <v>382502</v>
      </c>
      <c r="J223">
        <v>720324</v>
      </c>
      <c r="K223">
        <v>583439</v>
      </c>
      <c r="L223">
        <v>672689</v>
      </c>
    </row>
    <row r="224" spans="1:12" x14ac:dyDescent="0.35">
      <c r="A224">
        <v>2025</v>
      </c>
      <c r="B224">
        <v>7</v>
      </c>
      <c r="C224" t="s">
        <v>70</v>
      </c>
      <c r="D224" t="s">
        <v>299</v>
      </c>
      <c r="E224" t="s">
        <v>261</v>
      </c>
      <c r="F224">
        <v>757</v>
      </c>
      <c r="G224">
        <v>656907</v>
      </c>
      <c r="H224">
        <v>661851</v>
      </c>
      <c r="I224">
        <v>476050</v>
      </c>
      <c r="J224">
        <v>728379</v>
      </c>
      <c r="K224">
        <v>636581</v>
      </c>
      <c r="L224">
        <v>681851</v>
      </c>
    </row>
    <row r="225" spans="1:12" x14ac:dyDescent="0.35">
      <c r="A225">
        <v>2025</v>
      </c>
      <c r="B225">
        <v>7</v>
      </c>
      <c r="C225" t="s">
        <v>70</v>
      </c>
      <c r="D225" t="s">
        <v>299</v>
      </c>
      <c r="E225" t="s">
        <v>263</v>
      </c>
      <c r="F225">
        <v>306</v>
      </c>
      <c r="G225">
        <v>701311</v>
      </c>
      <c r="H225">
        <v>700092</v>
      </c>
      <c r="I225">
        <v>623713</v>
      </c>
      <c r="J225">
        <v>771189</v>
      </c>
      <c r="K225">
        <v>687592</v>
      </c>
      <c r="L225">
        <v>715411</v>
      </c>
    </row>
    <row r="226" spans="1:12" x14ac:dyDescent="0.35">
      <c r="A226">
        <v>2025</v>
      </c>
      <c r="B226">
        <v>7</v>
      </c>
      <c r="C226" t="s">
        <v>70</v>
      </c>
      <c r="D226" t="s">
        <v>299</v>
      </c>
      <c r="E226" t="s">
        <v>265</v>
      </c>
      <c r="F226">
        <v>152</v>
      </c>
      <c r="G226">
        <v>300982</v>
      </c>
      <c r="H226">
        <v>306648</v>
      </c>
      <c r="I226">
        <v>231688</v>
      </c>
      <c r="J226">
        <v>344176</v>
      </c>
      <c r="K226">
        <v>291172</v>
      </c>
      <c r="L226">
        <v>319121</v>
      </c>
    </row>
    <row r="227" spans="1:12" x14ac:dyDescent="0.35">
      <c r="A227">
        <v>2025</v>
      </c>
      <c r="B227">
        <v>7</v>
      </c>
      <c r="C227" t="s">
        <v>70</v>
      </c>
      <c r="D227" t="s">
        <v>299</v>
      </c>
      <c r="E227" t="s">
        <v>267</v>
      </c>
      <c r="F227">
        <v>16815</v>
      </c>
      <c r="G227">
        <v>313357</v>
      </c>
      <c r="H227">
        <v>300752</v>
      </c>
      <c r="I227">
        <v>260063</v>
      </c>
      <c r="J227">
        <v>466517</v>
      </c>
      <c r="K227">
        <v>280752</v>
      </c>
      <c r="L227">
        <v>330052</v>
      </c>
    </row>
    <row r="228" spans="1:12" x14ac:dyDescent="0.35">
      <c r="A228">
        <v>2025</v>
      </c>
      <c r="B228">
        <v>7</v>
      </c>
      <c r="C228" t="s">
        <v>70</v>
      </c>
      <c r="D228" t="s">
        <v>299</v>
      </c>
      <c r="E228" t="s">
        <v>269</v>
      </c>
      <c r="F228">
        <v>8888</v>
      </c>
      <c r="G228">
        <v>225322</v>
      </c>
      <c r="H228">
        <v>221368</v>
      </c>
      <c r="I228">
        <v>202885</v>
      </c>
      <c r="J228">
        <v>274324</v>
      </c>
      <c r="K228">
        <v>211000</v>
      </c>
      <c r="L228">
        <v>238216</v>
      </c>
    </row>
    <row r="229" spans="1:12" x14ac:dyDescent="0.35">
      <c r="A229">
        <v>2025</v>
      </c>
      <c r="B229">
        <v>7</v>
      </c>
      <c r="C229" t="s">
        <v>70</v>
      </c>
      <c r="D229" t="s">
        <v>299</v>
      </c>
      <c r="E229" t="s">
        <v>271</v>
      </c>
      <c r="F229">
        <v>4591</v>
      </c>
      <c r="G229">
        <v>243841</v>
      </c>
      <c r="H229">
        <v>240765</v>
      </c>
      <c r="I229">
        <v>207526</v>
      </c>
      <c r="J229">
        <v>290297</v>
      </c>
      <c r="K229">
        <v>225765</v>
      </c>
      <c r="L229">
        <v>259509</v>
      </c>
    </row>
    <row r="230" spans="1:12" x14ac:dyDescent="0.35">
      <c r="A230">
        <v>2025</v>
      </c>
      <c r="B230">
        <v>7</v>
      </c>
      <c r="C230" t="s">
        <v>70</v>
      </c>
      <c r="D230" t="s">
        <v>299</v>
      </c>
      <c r="E230" t="s">
        <v>273</v>
      </c>
      <c r="F230">
        <v>6320</v>
      </c>
      <c r="G230">
        <v>265005</v>
      </c>
      <c r="H230">
        <v>266640</v>
      </c>
      <c r="I230">
        <v>211922</v>
      </c>
      <c r="J230">
        <v>320568</v>
      </c>
      <c r="K230">
        <v>241922</v>
      </c>
      <c r="L230">
        <v>284140</v>
      </c>
    </row>
    <row r="231" spans="1:12" x14ac:dyDescent="0.35">
      <c r="A231">
        <v>2025</v>
      </c>
      <c r="B231">
        <v>7</v>
      </c>
      <c r="C231" t="s">
        <v>70</v>
      </c>
      <c r="D231" t="s">
        <v>299</v>
      </c>
      <c r="E231" t="s">
        <v>275</v>
      </c>
      <c r="F231">
        <v>4592</v>
      </c>
      <c r="G231">
        <v>215659</v>
      </c>
      <c r="H231">
        <v>214422</v>
      </c>
      <c r="I231">
        <v>191418</v>
      </c>
      <c r="J231">
        <v>250950</v>
      </c>
      <c r="K231">
        <v>202895</v>
      </c>
      <c r="L231">
        <v>227341</v>
      </c>
    </row>
    <row r="232" spans="1:12" x14ac:dyDescent="0.35">
      <c r="A232">
        <v>2025</v>
      </c>
      <c r="B232">
        <v>7</v>
      </c>
      <c r="C232" t="s">
        <v>70</v>
      </c>
      <c r="D232" t="s">
        <v>299</v>
      </c>
      <c r="E232" t="s">
        <v>277</v>
      </c>
      <c r="F232">
        <v>5</v>
      </c>
      <c r="G232">
        <v>235400</v>
      </c>
      <c r="H232">
        <v>233400</v>
      </c>
      <c r="I232">
        <v>233400</v>
      </c>
      <c r="J232">
        <v>238400</v>
      </c>
      <c r="K232">
        <v>233400</v>
      </c>
      <c r="L232">
        <v>238400</v>
      </c>
    </row>
    <row r="233" spans="1:12" x14ac:dyDescent="0.35">
      <c r="A233">
        <v>2025</v>
      </c>
      <c r="B233">
        <v>8</v>
      </c>
      <c r="C233" t="s">
        <v>71</v>
      </c>
      <c r="D233" t="s">
        <v>299</v>
      </c>
      <c r="E233" t="s">
        <v>255</v>
      </c>
      <c r="F233">
        <v>10881</v>
      </c>
      <c r="G233">
        <v>384437</v>
      </c>
      <c r="H233">
        <v>375790</v>
      </c>
      <c r="I233">
        <v>297836</v>
      </c>
      <c r="J233">
        <v>598070</v>
      </c>
      <c r="K233">
        <v>328155</v>
      </c>
      <c r="L233">
        <v>429485</v>
      </c>
    </row>
    <row r="234" spans="1:12" x14ac:dyDescent="0.35">
      <c r="A234">
        <v>2025</v>
      </c>
      <c r="B234">
        <v>8</v>
      </c>
      <c r="C234" t="s">
        <v>71</v>
      </c>
      <c r="D234" t="s">
        <v>299</v>
      </c>
      <c r="E234" t="s">
        <v>257</v>
      </c>
      <c r="F234">
        <v>5240</v>
      </c>
      <c r="G234">
        <v>463895</v>
      </c>
      <c r="H234">
        <v>458044</v>
      </c>
      <c r="I234">
        <v>325286</v>
      </c>
      <c r="J234">
        <v>693477</v>
      </c>
      <c r="K234">
        <v>368474</v>
      </c>
      <c r="L234">
        <v>535903</v>
      </c>
    </row>
    <row r="235" spans="1:12" x14ac:dyDescent="0.35">
      <c r="A235">
        <v>2025</v>
      </c>
      <c r="B235">
        <v>8</v>
      </c>
      <c r="C235" t="s">
        <v>71</v>
      </c>
      <c r="D235" t="s">
        <v>299</v>
      </c>
      <c r="E235" t="s">
        <v>259</v>
      </c>
      <c r="F235">
        <v>1252</v>
      </c>
      <c r="G235">
        <v>619326</v>
      </c>
      <c r="H235">
        <v>625939</v>
      </c>
      <c r="I235">
        <v>382502</v>
      </c>
      <c r="J235">
        <v>720324</v>
      </c>
      <c r="K235">
        <v>578538</v>
      </c>
      <c r="L235">
        <v>672824</v>
      </c>
    </row>
    <row r="236" spans="1:12" x14ac:dyDescent="0.35">
      <c r="A236">
        <v>2025</v>
      </c>
      <c r="B236">
        <v>8</v>
      </c>
      <c r="C236" t="s">
        <v>71</v>
      </c>
      <c r="D236" t="s">
        <v>299</v>
      </c>
      <c r="E236" t="s">
        <v>261</v>
      </c>
      <c r="F236">
        <v>771</v>
      </c>
      <c r="G236">
        <v>658214</v>
      </c>
      <c r="H236">
        <v>662368</v>
      </c>
      <c r="I236">
        <v>491050</v>
      </c>
      <c r="J236">
        <v>728379</v>
      </c>
      <c r="K236">
        <v>637233</v>
      </c>
      <c r="L236">
        <v>681853</v>
      </c>
    </row>
    <row r="237" spans="1:12" x14ac:dyDescent="0.35">
      <c r="A237">
        <v>2025</v>
      </c>
      <c r="B237">
        <v>8</v>
      </c>
      <c r="C237" t="s">
        <v>71</v>
      </c>
      <c r="D237" t="s">
        <v>299</v>
      </c>
      <c r="E237" t="s">
        <v>263</v>
      </c>
      <c r="F237">
        <v>305</v>
      </c>
      <c r="G237">
        <v>702244</v>
      </c>
      <c r="H237">
        <v>702590</v>
      </c>
      <c r="I237">
        <v>623713</v>
      </c>
      <c r="J237">
        <v>772496</v>
      </c>
      <c r="K237">
        <v>692590</v>
      </c>
      <c r="L237">
        <v>715411</v>
      </c>
    </row>
    <row r="238" spans="1:12" x14ac:dyDescent="0.35">
      <c r="A238">
        <v>2025</v>
      </c>
      <c r="B238">
        <v>8</v>
      </c>
      <c r="C238" t="s">
        <v>71</v>
      </c>
      <c r="D238" t="s">
        <v>299</v>
      </c>
      <c r="E238" t="s">
        <v>265</v>
      </c>
      <c r="F238">
        <v>161</v>
      </c>
      <c r="G238">
        <v>311312</v>
      </c>
      <c r="H238">
        <v>321155</v>
      </c>
      <c r="I238">
        <v>231688</v>
      </c>
      <c r="J238">
        <v>353655</v>
      </c>
      <c r="K238">
        <v>289090</v>
      </c>
      <c r="L238">
        <v>336155</v>
      </c>
    </row>
    <row r="239" spans="1:12" x14ac:dyDescent="0.35">
      <c r="A239">
        <v>2025</v>
      </c>
      <c r="B239">
        <v>8</v>
      </c>
      <c r="C239" t="s">
        <v>71</v>
      </c>
      <c r="D239" t="s">
        <v>299</v>
      </c>
      <c r="E239" t="s">
        <v>267</v>
      </c>
      <c r="F239">
        <v>16810</v>
      </c>
      <c r="G239">
        <v>312969</v>
      </c>
      <c r="H239">
        <v>300752</v>
      </c>
      <c r="I239">
        <v>260063</v>
      </c>
      <c r="J239">
        <v>467587</v>
      </c>
      <c r="K239">
        <v>282564</v>
      </c>
      <c r="L239">
        <v>328019</v>
      </c>
    </row>
    <row r="240" spans="1:12" x14ac:dyDescent="0.35">
      <c r="A240">
        <v>2025</v>
      </c>
      <c r="B240">
        <v>8</v>
      </c>
      <c r="C240" t="s">
        <v>71</v>
      </c>
      <c r="D240" t="s">
        <v>299</v>
      </c>
      <c r="E240" t="s">
        <v>269</v>
      </c>
      <c r="F240">
        <v>8947</v>
      </c>
      <c r="G240">
        <v>225326</v>
      </c>
      <c r="H240">
        <v>221368</v>
      </c>
      <c r="I240">
        <v>203090</v>
      </c>
      <c r="J240">
        <v>274324</v>
      </c>
      <c r="K240">
        <v>211000</v>
      </c>
      <c r="L240">
        <v>238216</v>
      </c>
    </row>
    <row r="241" spans="1:12" x14ac:dyDescent="0.35">
      <c r="A241">
        <v>2025</v>
      </c>
      <c r="B241">
        <v>8</v>
      </c>
      <c r="C241" t="s">
        <v>71</v>
      </c>
      <c r="D241" t="s">
        <v>299</v>
      </c>
      <c r="E241" t="s">
        <v>271</v>
      </c>
      <c r="F241">
        <v>4591</v>
      </c>
      <c r="G241">
        <v>244136</v>
      </c>
      <c r="H241">
        <v>242526</v>
      </c>
      <c r="I241">
        <v>207526</v>
      </c>
      <c r="J241">
        <v>290297</v>
      </c>
      <c r="K241">
        <v>225765</v>
      </c>
      <c r="L241">
        <v>260161</v>
      </c>
    </row>
    <row r="242" spans="1:12" x14ac:dyDescent="0.35">
      <c r="A242">
        <v>2025</v>
      </c>
      <c r="B242">
        <v>8</v>
      </c>
      <c r="C242" t="s">
        <v>71</v>
      </c>
      <c r="D242" t="s">
        <v>299</v>
      </c>
      <c r="E242" t="s">
        <v>273</v>
      </c>
      <c r="F242">
        <v>6279</v>
      </c>
      <c r="G242">
        <v>264707</v>
      </c>
      <c r="H242">
        <v>266640</v>
      </c>
      <c r="I242">
        <v>211922</v>
      </c>
      <c r="J242">
        <v>320568</v>
      </c>
      <c r="K242">
        <v>241922</v>
      </c>
      <c r="L242">
        <v>284140</v>
      </c>
    </row>
    <row r="243" spans="1:12" x14ac:dyDescent="0.35">
      <c r="A243">
        <v>2025</v>
      </c>
      <c r="B243">
        <v>8</v>
      </c>
      <c r="C243" t="s">
        <v>71</v>
      </c>
      <c r="D243" t="s">
        <v>299</v>
      </c>
      <c r="E243" t="s">
        <v>275</v>
      </c>
      <c r="F243">
        <v>4603</v>
      </c>
      <c r="G243">
        <v>215661</v>
      </c>
      <c r="H243">
        <v>214841</v>
      </c>
      <c r="I243">
        <v>191418</v>
      </c>
      <c r="J243">
        <v>250950</v>
      </c>
      <c r="K243">
        <v>202895</v>
      </c>
      <c r="L243">
        <v>227526</v>
      </c>
    </row>
    <row r="244" spans="1:12" x14ac:dyDescent="0.35">
      <c r="A244">
        <v>2025</v>
      </c>
      <c r="B244">
        <v>8</v>
      </c>
      <c r="C244" t="s">
        <v>71</v>
      </c>
      <c r="D244" t="s">
        <v>299</v>
      </c>
      <c r="E244" t="s">
        <v>277</v>
      </c>
      <c r="F244">
        <v>5</v>
      </c>
      <c r="G244">
        <v>235400</v>
      </c>
      <c r="H244">
        <v>233400</v>
      </c>
      <c r="I244">
        <v>233400</v>
      </c>
      <c r="J244">
        <v>238400</v>
      </c>
      <c r="K244">
        <v>233400</v>
      </c>
      <c r="L244">
        <v>238400</v>
      </c>
    </row>
    <row r="245" spans="1:12" x14ac:dyDescent="0.35">
      <c r="A245">
        <v>2025</v>
      </c>
      <c r="B245">
        <v>9</v>
      </c>
      <c r="C245" t="s">
        <v>72</v>
      </c>
      <c r="D245" t="s">
        <v>299</v>
      </c>
      <c r="E245" t="s">
        <v>255</v>
      </c>
      <c r="F245">
        <v>10938</v>
      </c>
      <c r="G245">
        <v>384037</v>
      </c>
      <c r="H245">
        <v>375790</v>
      </c>
      <c r="I245">
        <v>297836</v>
      </c>
      <c r="J245">
        <v>598551</v>
      </c>
      <c r="K245">
        <v>328155</v>
      </c>
      <c r="L245">
        <v>429485</v>
      </c>
    </row>
    <row r="246" spans="1:12" x14ac:dyDescent="0.35">
      <c r="A246">
        <v>2025</v>
      </c>
      <c r="B246">
        <v>9</v>
      </c>
      <c r="C246" t="s">
        <v>72</v>
      </c>
      <c r="D246" t="s">
        <v>299</v>
      </c>
      <c r="E246" t="s">
        <v>257</v>
      </c>
      <c r="F246">
        <v>5233</v>
      </c>
      <c r="G246">
        <v>464083</v>
      </c>
      <c r="H246">
        <v>458044</v>
      </c>
      <c r="I246">
        <v>325286</v>
      </c>
      <c r="J246">
        <v>693477</v>
      </c>
      <c r="K246">
        <v>368474</v>
      </c>
      <c r="L246">
        <v>535903</v>
      </c>
    </row>
    <row r="247" spans="1:12" x14ac:dyDescent="0.35">
      <c r="A247">
        <v>2025</v>
      </c>
      <c r="B247">
        <v>9</v>
      </c>
      <c r="C247" t="s">
        <v>72</v>
      </c>
      <c r="D247" t="s">
        <v>299</v>
      </c>
      <c r="E247" t="s">
        <v>259</v>
      </c>
      <c r="F247">
        <v>1257</v>
      </c>
      <c r="G247">
        <v>619570</v>
      </c>
      <c r="H247">
        <v>625939</v>
      </c>
      <c r="I247">
        <v>397268</v>
      </c>
      <c r="J247">
        <v>721834</v>
      </c>
      <c r="K247">
        <v>583439</v>
      </c>
      <c r="L247">
        <v>672689</v>
      </c>
    </row>
    <row r="248" spans="1:12" x14ac:dyDescent="0.35">
      <c r="A248">
        <v>2025</v>
      </c>
      <c r="B248">
        <v>9</v>
      </c>
      <c r="C248" t="s">
        <v>72</v>
      </c>
      <c r="D248" t="s">
        <v>299</v>
      </c>
      <c r="E248" t="s">
        <v>261</v>
      </c>
      <c r="F248">
        <v>773</v>
      </c>
      <c r="G248">
        <v>657979</v>
      </c>
      <c r="H248">
        <v>661853</v>
      </c>
      <c r="I248">
        <v>491050</v>
      </c>
      <c r="J248">
        <v>726853</v>
      </c>
      <c r="K248">
        <v>637233</v>
      </c>
      <c r="L248">
        <v>681851</v>
      </c>
    </row>
    <row r="249" spans="1:12" x14ac:dyDescent="0.35">
      <c r="A249">
        <v>2025</v>
      </c>
      <c r="B249">
        <v>9</v>
      </c>
      <c r="C249" t="s">
        <v>72</v>
      </c>
      <c r="D249" t="s">
        <v>299</v>
      </c>
      <c r="E249" t="s">
        <v>263</v>
      </c>
      <c r="F249">
        <v>309</v>
      </c>
      <c r="G249">
        <v>701643</v>
      </c>
      <c r="H249">
        <v>700092</v>
      </c>
      <c r="I249">
        <v>616213</v>
      </c>
      <c r="J249">
        <v>771189</v>
      </c>
      <c r="K249">
        <v>690693</v>
      </c>
      <c r="L249">
        <v>715411</v>
      </c>
    </row>
    <row r="250" spans="1:12" x14ac:dyDescent="0.35">
      <c r="A250">
        <v>2025</v>
      </c>
      <c r="B250">
        <v>9</v>
      </c>
      <c r="C250" t="s">
        <v>72</v>
      </c>
      <c r="D250" t="s">
        <v>299</v>
      </c>
      <c r="E250" t="s">
        <v>265</v>
      </c>
      <c r="F250">
        <v>161</v>
      </c>
      <c r="G250">
        <v>275119</v>
      </c>
      <c r="H250">
        <v>275297</v>
      </c>
      <c r="I250">
        <v>231688</v>
      </c>
      <c r="J250">
        <v>344176</v>
      </c>
      <c r="K250">
        <v>261688</v>
      </c>
      <c r="L250">
        <v>287797</v>
      </c>
    </row>
    <row r="251" spans="1:12" x14ac:dyDescent="0.35">
      <c r="A251">
        <v>2025</v>
      </c>
      <c r="B251">
        <v>9</v>
      </c>
      <c r="C251" t="s">
        <v>72</v>
      </c>
      <c r="D251" t="s">
        <v>299</v>
      </c>
      <c r="E251" t="s">
        <v>267</v>
      </c>
      <c r="F251">
        <v>16835</v>
      </c>
      <c r="G251">
        <v>312670</v>
      </c>
      <c r="H251">
        <v>300752</v>
      </c>
      <c r="I251">
        <v>260063</v>
      </c>
      <c r="J251">
        <v>466517</v>
      </c>
      <c r="K251">
        <v>283486</v>
      </c>
      <c r="L251">
        <v>328019</v>
      </c>
    </row>
    <row r="252" spans="1:12" x14ac:dyDescent="0.35">
      <c r="A252">
        <v>2025</v>
      </c>
      <c r="B252">
        <v>9</v>
      </c>
      <c r="C252" t="s">
        <v>72</v>
      </c>
      <c r="D252" t="s">
        <v>299</v>
      </c>
      <c r="E252" t="s">
        <v>269</v>
      </c>
      <c r="F252">
        <v>9000</v>
      </c>
      <c r="G252">
        <v>225415</v>
      </c>
      <c r="H252">
        <v>221553</v>
      </c>
      <c r="I252">
        <v>203498</v>
      </c>
      <c r="J252">
        <v>274324</v>
      </c>
      <c r="K252">
        <v>211000</v>
      </c>
      <c r="L252">
        <v>238216</v>
      </c>
    </row>
    <row r="253" spans="1:12" x14ac:dyDescent="0.35">
      <c r="A253">
        <v>2025</v>
      </c>
      <c r="B253">
        <v>9</v>
      </c>
      <c r="C253" t="s">
        <v>72</v>
      </c>
      <c r="D253" t="s">
        <v>299</v>
      </c>
      <c r="E253" t="s">
        <v>271</v>
      </c>
      <c r="F253">
        <v>4594</v>
      </c>
      <c r="G253">
        <v>244086</v>
      </c>
      <c r="H253">
        <v>242661</v>
      </c>
      <c r="I253">
        <v>207526</v>
      </c>
      <c r="J253">
        <v>290297</v>
      </c>
      <c r="K253">
        <v>225765</v>
      </c>
      <c r="L253">
        <v>260161</v>
      </c>
    </row>
    <row r="254" spans="1:12" x14ac:dyDescent="0.35">
      <c r="A254">
        <v>2025</v>
      </c>
      <c r="B254">
        <v>9</v>
      </c>
      <c r="C254" t="s">
        <v>72</v>
      </c>
      <c r="D254" t="s">
        <v>299</v>
      </c>
      <c r="E254" t="s">
        <v>273</v>
      </c>
      <c r="F254">
        <v>6258</v>
      </c>
      <c r="G254">
        <v>264753</v>
      </c>
      <c r="H254">
        <v>266640</v>
      </c>
      <c r="I254">
        <v>210210</v>
      </c>
      <c r="J254">
        <v>320568</v>
      </c>
      <c r="K254">
        <v>241922</v>
      </c>
      <c r="L254">
        <v>284140</v>
      </c>
    </row>
    <row r="255" spans="1:12" x14ac:dyDescent="0.35">
      <c r="A255">
        <v>2025</v>
      </c>
      <c r="B255">
        <v>9</v>
      </c>
      <c r="C255" t="s">
        <v>72</v>
      </c>
      <c r="D255" t="s">
        <v>299</v>
      </c>
      <c r="E255" t="s">
        <v>275</v>
      </c>
      <c r="F255">
        <v>4647</v>
      </c>
      <c r="G255">
        <v>215544</v>
      </c>
      <c r="H255">
        <v>214422</v>
      </c>
      <c r="I255">
        <v>191418</v>
      </c>
      <c r="J255">
        <v>250950</v>
      </c>
      <c r="K255">
        <v>202895</v>
      </c>
      <c r="L255">
        <v>227341</v>
      </c>
    </row>
    <row r="256" spans="1:12" x14ac:dyDescent="0.35">
      <c r="A256">
        <v>2025</v>
      </c>
      <c r="B256">
        <v>9</v>
      </c>
      <c r="C256" t="s">
        <v>72</v>
      </c>
      <c r="D256" t="s">
        <v>299</v>
      </c>
      <c r="E256" t="s">
        <v>277</v>
      </c>
      <c r="F256">
        <v>5</v>
      </c>
      <c r="G256">
        <v>235400</v>
      </c>
      <c r="H256">
        <v>233400</v>
      </c>
      <c r="I256">
        <v>233400</v>
      </c>
      <c r="J256">
        <v>238400</v>
      </c>
      <c r="K256">
        <v>233400</v>
      </c>
      <c r="L256">
        <v>238400</v>
      </c>
    </row>
    <row r="257" spans="1:12" x14ac:dyDescent="0.35">
      <c r="A257">
        <v>2025</v>
      </c>
      <c r="B257">
        <v>10</v>
      </c>
      <c r="C257" t="s">
        <v>73</v>
      </c>
      <c r="D257" t="s">
        <v>299</v>
      </c>
      <c r="E257" t="s">
        <v>255</v>
      </c>
      <c r="F257">
        <v>10972</v>
      </c>
      <c r="G257">
        <v>383616</v>
      </c>
      <c r="H257">
        <v>375790</v>
      </c>
      <c r="I257">
        <v>297836</v>
      </c>
      <c r="J257">
        <v>598070</v>
      </c>
      <c r="K257">
        <v>328155</v>
      </c>
      <c r="L257">
        <v>429485</v>
      </c>
    </row>
    <row r="258" spans="1:12" x14ac:dyDescent="0.35">
      <c r="A258">
        <v>2025</v>
      </c>
      <c r="B258">
        <v>10</v>
      </c>
      <c r="C258" t="s">
        <v>73</v>
      </c>
      <c r="D258" t="s">
        <v>299</v>
      </c>
      <c r="E258" t="s">
        <v>257</v>
      </c>
      <c r="F258">
        <v>5205</v>
      </c>
      <c r="G258">
        <v>464567</v>
      </c>
      <c r="H258">
        <v>458044</v>
      </c>
      <c r="I258">
        <v>325286</v>
      </c>
      <c r="J258">
        <v>693477</v>
      </c>
      <c r="K258">
        <v>370286</v>
      </c>
      <c r="L258">
        <v>535903</v>
      </c>
    </row>
    <row r="259" spans="1:12" x14ac:dyDescent="0.35">
      <c r="A259">
        <v>2025</v>
      </c>
      <c r="B259">
        <v>10</v>
      </c>
      <c r="C259" t="s">
        <v>73</v>
      </c>
      <c r="D259" t="s">
        <v>299</v>
      </c>
      <c r="E259" t="s">
        <v>259</v>
      </c>
      <c r="F259">
        <v>1257</v>
      </c>
      <c r="G259">
        <v>619536</v>
      </c>
      <c r="H259">
        <v>625939</v>
      </c>
      <c r="I259">
        <v>422774</v>
      </c>
      <c r="J259">
        <v>720324</v>
      </c>
      <c r="K259">
        <v>583439</v>
      </c>
      <c r="L259">
        <v>672689</v>
      </c>
    </row>
    <row r="260" spans="1:12" x14ac:dyDescent="0.35">
      <c r="A260">
        <v>2025</v>
      </c>
      <c r="B260">
        <v>10</v>
      </c>
      <c r="C260" t="s">
        <v>73</v>
      </c>
      <c r="D260" t="s">
        <v>299</v>
      </c>
      <c r="E260" t="s">
        <v>261</v>
      </c>
      <c r="F260">
        <v>778</v>
      </c>
      <c r="G260">
        <v>659296</v>
      </c>
      <c r="H260">
        <v>662368</v>
      </c>
      <c r="I260">
        <v>491050</v>
      </c>
      <c r="J260">
        <v>726853</v>
      </c>
      <c r="K260">
        <v>637368</v>
      </c>
      <c r="L260">
        <v>681851</v>
      </c>
    </row>
    <row r="261" spans="1:12" x14ac:dyDescent="0.35">
      <c r="A261">
        <v>2025</v>
      </c>
      <c r="B261">
        <v>10</v>
      </c>
      <c r="C261" t="s">
        <v>73</v>
      </c>
      <c r="D261" t="s">
        <v>299</v>
      </c>
      <c r="E261" t="s">
        <v>263</v>
      </c>
      <c r="F261">
        <v>310</v>
      </c>
      <c r="G261">
        <v>701515</v>
      </c>
      <c r="H261">
        <v>700092</v>
      </c>
      <c r="I261">
        <v>616213</v>
      </c>
      <c r="J261">
        <v>771189</v>
      </c>
      <c r="K261">
        <v>687592</v>
      </c>
      <c r="L261">
        <v>715411</v>
      </c>
    </row>
    <row r="262" spans="1:12" x14ac:dyDescent="0.35">
      <c r="A262">
        <v>2025</v>
      </c>
      <c r="B262">
        <v>10</v>
      </c>
      <c r="C262" t="s">
        <v>73</v>
      </c>
      <c r="D262" t="s">
        <v>299</v>
      </c>
      <c r="E262" t="s">
        <v>265</v>
      </c>
      <c r="F262">
        <v>157</v>
      </c>
      <c r="G262">
        <v>274870</v>
      </c>
      <c r="H262">
        <v>275297</v>
      </c>
      <c r="I262">
        <v>231688</v>
      </c>
      <c r="J262">
        <v>344176</v>
      </c>
      <c r="K262">
        <v>261688</v>
      </c>
      <c r="L262">
        <v>287797</v>
      </c>
    </row>
    <row r="263" spans="1:12" x14ac:dyDescent="0.35">
      <c r="A263">
        <v>2025</v>
      </c>
      <c r="B263">
        <v>10</v>
      </c>
      <c r="C263" t="s">
        <v>73</v>
      </c>
      <c r="D263" t="s">
        <v>299</v>
      </c>
      <c r="E263" t="s">
        <v>267</v>
      </c>
      <c r="F263">
        <v>16885</v>
      </c>
      <c r="G263">
        <v>312814</v>
      </c>
      <c r="H263">
        <v>300752</v>
      </c>
      <c r="I263">
        <v>260063</v>
      </c>
      <c r="J263">
        <v>466517</v>
      </c>
      <c r="K263">
        <v>283486</v>
      </c>
      <c r="L263">
        <v>328019</v>
      </c>
    </row>
    <row r="264" spans="1:12" x14ac:dyDescent="0.35">
      <c r="A264">
        <v>2025</v>
      </c>
      <c r="B264">
        <v>10</v>
      </c>
      <c r="C264" t="s">
        <v>73</v>
      </c>
      <c r="D264" t="s">
        <v>299</v>
      </c>
      <c r="E264" t="s">
        <v>269</v>
      </c>
      <c r="F264">
        <v>9022</v>
      </c>
      <c r="G264">
        <v>225425</v>
      </c>
      <c r="H264">
        <v>221553</v>
      </c>
      <c r="I264">
        <v>203498</v>
      </c>
      <c r="J264">
        <v>274324</v>
      </c>
      <c r="K264">
        <v>211000</v>
      </c>
      <c r="L264">
        <v>237797</v>
      </c>
    </row>
    <row r="265" spans="1:12" x14ac:dyDescent="0.35">
      <c r="A265">
        <v>2025</v>
      </c>
      <c r="B265">
        <v>10</v>
      </c>
      <c r="C265" t="s">
        <v>73</v>
      </c>
      <c r="D265" t="s">
        <v>299</v>
      </c>
      <c r="E265" t="s">
        <v>271</v>
      </c>
      <c r="F265">
        <v>4576</v>
      </c>
      <c r="G265">
        <v>244044</v>
      </c>
      <c r="H265">
        <v>242661</v>
      </c>
      <c r="I265">
        <v>207526</v>
      </c>
      <c r="J265">
        <v>290297</v>
      </c>
      <c r="K265">
        <v>225765</v>
      </c>
      <c r="L265">
        <v>260161</v>
      </c>
    </row>
    <row r="266" spans="1:12" x14ac:dyDescent="0.35">
      <c r="A266">
        <v>2025</v>
      </c>
      <c r="B266">
        <v>10</v>
      </c>
      <c r="C266" t="s">
        <v>73</v>
      </c>
      <c r="D266" t="s">
        <v>299</v>
      </c>
      <c r="E266" t="s">
        <v>273</v>
      </c>
      <c r="F266">
        <v>6239</v>
      </c>
      <c r="G266">
        <v>264906</v>
      </c>
      <c r="H266">
        <v>266640</v>
      </c>
      <c r="I266">
        <v>210210</v>
      </c>
      <c r="J266">
        <v>320568</v>
      </c>
      <c r="K266">
        <v>241922</v>
      </c>
      <c r="L266">
        <v>284140</v>
      </c>
    </row>
    <row r="267" spans="1:12" x14ac:dyDescent="0.35">
      <c r="A267">
        <v>2025</v>
      </c>
      <c r="B267">
        <v>10</v>
      </c>
      <c r="C267" t="s">
        <v>73</v>
      </c>
      <c r="D267" t="s">
        <v>299</v>
      </c>
      <c r="E267" t="s">
        <v>275</v>
      </c>
      <c r="F267">
        <v>4670</v>
      </c>
      <c r="G267">
        <v>215477</v>
      </c>
      <c r="H267">
        <v>214422</v>
      </c>
      <c r="I267">
        <v>191418</v>
      </c>
      <c r="J267">
        <v>250950</v>
      </c>
      <c r="K267">
        <v>202760</v>
      </c>
      <c r="L267">
        <v>226922</v>
      </c>
    </row>
    <row r="268" spans="1:12" x14ac:dyDescent="0.35">
      <c r="A268">
        <v>2025</v>
      </c>
      <c r="B268">
        <v>10</v>
      </c>
      <c r="C268" t="s">
        <v>73</v>
      </c>
      <c r="D268" t="s">
        <v>299</v>
      </c>
      <c r="E268" t="s">
        <v>277</v>
      </c>
      <c r="F268">
        <v>5</v>
      </c>
      <c r="G268">
        <v>235400</v>
      </c>
      <c r="H268">
        <v>233400</v>
      </c>
      <c r="I268">
        <v>233400</v>
      </c>
      <c r="J268">
        <v>238400</v>
      </c>
      <c r="K268">
        <v>233400</v>
      </c>
      <c r="L268">
        <v>238400</v>
      </c>
    </row>
    <row r="269" spans="1:12" x14ac:dyDescent="0.35">
      <c r="A269">
        <v>2025</v>
      </c>
      <c r="B269">
        <v>11</v>
      </c>
      <c r="C269" t="s">
        <v>74</v>
      </c>
      <c r="D269" t="s">
        <v>299</v>
      </c>
      <c r="E269" t="s">
        <v>255</v>
      </c>
      <c r="F269">
        <v>11023</v>
      </c>
      <c r="G269">
        <v>383747</v>
      </c>
      <c r="H269">
        <v>375324</v>
      </c>
      <c r="I269">
        <v>297836</v>
      </c>
      <c r="J269">
        <v>598070</v>
      </c>
      <c r="K269">
        <v>328573</v>
      </c>
      <c r="L269">
        <v>429485</v>
      </c>
    </row>
    <row r="270" spans="1:12" x14ac:dyDescent="0.35">
      <c r="A270">
        <v>2025</v>
      </c>
      <c r="B270">
        <v>11</v>
      </c>
      <c r="C270" t="s">
        <v>74</v>
      </c>
      <c r="D270" t="s">
        <v>299</v>
      </c>
      <c r="E270" t="s">
        <v>257</v>
      </c>
      <c r="F270">
        <v>5224</v>
      </c>
      <c r="G270">
        <v>465095</v>
      </c>
      <c r="H270">
        <v>458044</v>
      </c>
      <c r="I270">
        <v>325286</v>
      </c>
      <c r="J270">
        <v>693477</v>
      </c>
      <c r="K270">
        <v>372366</v>
      </c>
      <c r="L270">
        <v>538403</v>
      </c>
    </row>
    <row r="271" spans="1:12" x14ac:dyDescent="0.35">
      <c r="A271">
        <v>2025</v>
      </c>
      <c r="B271">
        <v>11</v>
      </c>
      <c r="C271" t="s">
        <v>74</v>
      </c>
      <c r="D271" t="s">
        <v>299</v>
      </c>
      <c r="E271" t="s">
        <v>259</v>
      </c>
      <c r="F271">
        <v>1246</v>
      </c>
      <c r="G271">
        <v>620600</v>
      </c>
      <c r="H271">
        <v>625939</v>
      </c>
      <c r="I271">
        <v>422774</v>
      </c>
      <c r="J271">
        <v>720324</v>
      </c>
      <c r="K271">
        <v>583439</v>
      </c>
      <c r="L271">
        <v>672824</v>
      </c>
    </row>
    <row r="272" spans="1:12" x14ac:dyDescent="0.35">
      <c r="A272">
        <v>2025</v>
      </c>
      <c r="B272">
        <v>11</v>
      </c>
      <c r="C272" t="s">
        <v>74</v>
      </c>
      <c r="D272" t="s">
        <v>299</v>
      </c>
      <c r="E272" t="s">
        <v>261</v>
      </c>
      <c r="F272">
        <v>789</v>
      </c>
      <c r="G272">
        <v>659883</v>
      </c>
      <c r="H272">
        <v>664081</v>
      </c>
      <c r="I272">
        <v>491050</v>
      </c>
      <c r="J272">
        <v>726853</v>
      </c>
      <c r="K272">
        <v>641581</v>
      </c>
      <c r="L272">
        <v>681853</v>
      </c>
    </row>
    <row r="273" spans="1:12" x14ac:dyDescent="0.35">
      <c r="A273">
        <v>2025</v>
      </c>
      <c r="B273">
        <v>11</v>
      </c>
      <c r="C273" t="s">
        <v>74</v>
      </c>
      <c r="D273" t="s">
        <v>299</v>
      </c>
      <c r="E273" t="s">
        <v>263</v>
      </c>
      <c r="F273">
        <v>312</v>
      </c>
      <c r="G273">
        <v>701519</v>
      </c>
      <c r="H273">
        <v>700092</v>
      </c>
      <c r="I273">
        <v>616213</v>
      </c>
      <c r="J273">
        <v>771189</v>
      </c>
      <c r="K273">
        <v>687592</v>
      </c>
      <c r="L273">
        <v>715092</v>
      </c>
    </row>
    <row r="274" spans="1:12" x14ac:dyDescent="0.35">
      <c r="A274">
        <v>2025</v>
      </c>
      <c r="B274">
        <v>11</v>
      </c>
      <c r="C274" t="s">
        <v>74</v>
      </c>
      <c r="D274" t="s">
        <v>299</v>
      </c>
      <c r="E274" t="s">
        <v>265</v>
      </c>
      <c r="F274">
        <v>157</v>
      </c>
      <c r="G274">
        <v>274943</v>
      </c>
      <c r="H274">
        <v>275297</v>
      </c>
      <c r="I274">
        <v>231688</v>
      </c>
      <c r="J274">
        <v>344176</v>
      </c>
      <c r="K274">
        <v>261688</v>
      </c>
      <c r="L274">
        <v>287797</v>
      </c>
    </row>
    <row r="275" spans="1:12" x14ac:dyDescent="0.35">
      <c r="A275">
        <v>2025</v>
      </c>
      <c r="B275">
        <v>11</v>
      </c>
      <c r="C275" t="s">
        <v>74</v>
      </c>
      <c r="D275" t="s">
        <v>299</v>
      </c>
      <c r="E275" t="s">
        <v>267</v>
      </c>
      <c r="F275">
        <v>16925</v>
      </c>
      <c r="G275">
        <v>312832</v>
      </c>
      <c r="H275">
        <v>300752</v>
      </c>
      <c r="I275">
        <v>260063</v>
      </c>
      <c r="J275">
        <v>466517</v>
      </c>
      <c r="K275">
        <v>283486</v>
      </c>
      <c r="L275">
        <v>326442</v>
      </c>
    </row>
    <row r="276" spans="1:12" x14ac:dyDescent="0.35">
      <c r="A276">
        <v>2025</v>
      </c>
      <c r="B276">
        <v>11</v>
      </c>
      <c r="C276" t="s">
        <v>74</v>
      </c>
      <c r="D276" t="s">
        <v>299</v>
      </c>
      <c r="E276" t="s">
        <v>269</v>
      </c>
      <c r="F276">
        <v>9055</v>
      </c>
      <c r="G276">
        <v>225459</v>
      </c>
      <c r="H276">
        <v>221553</v>
      </c>
      <c r="I276">
        <v>203498</v>
      </c>
      <c r="J276">
        <v>274324</v>
      </c>
      <c r="K276">
        <v>211000</v>
      </c>
      <c r="L276">
        <v>238216</v>
      </c>
    </row>
    <row r="277" spans="1:12" x14ac:dyDescent="0.35">
      <c r="A277">
        <v>2025</v>
      </c>
      <c r="B277">
        <v>11</v>
      </c>
      <c r="C277" t="s">
        <v>74</v>
      </c>
      <c r="D277" t="s">
        <v>299</v>
      </c>
      <c r="E277" t="s">
        <v>271</v>
      </c>
      <c r="F277">
        <v>4552</v>
      </c>
      <c r="G277">
        <v>244055</v>
      </c>
      <c r="H277">
        <v>242661</v>
      </c>
      <c r="I277">
        <v>207526</v>
      </c>
      <c r="J277">
        <v>290297</v>
      </c>
      <c r="K277">
        <v>227526</v>
      </c>
      <c r="L277">
        <v>260161</v>
      </c>
    </row>
    <row r="278" spans="1:12" x14ac:dyDescent="0.35">
      <c r="A278">
        <v>2025</v>
      </c>
      <c r="B278">
        <v>11</v>
      </c>
      <c r="C278" t="s">
        <v>74</v>
      </c>
      <c r="D278" t="s">
        <v>299</v>
      </c>
      <c r="E278" t="s">
        <v>273</v>
      </c>
      <c r="F278">
        <v>6219</v>
      </c>
      <c r="G278">
        <v>264893</v>
      </c>
      <c r="H278">
        <v>266640</v>
      </c>
      <c r="I278">
        <v>210210</v>
      </c>
      <c r="J278">
        <v>320568</v>
      </c>
      <c r="K278">
        <v>241922</v>
      </c>
      <c r="L278">
        <v>284140</v>
      </c>
    </row>
    <row r="279" spans="1:12" x14ac:dyDescent="0.35">
      <c r="A279">
        <v>2025</v>
      </c>
      <c r="B279">
        <v>11</v>
      </c>
      <c r="C279" t="s">
        <v>74</v>
      </c>
      <c r="D279" t="s">
        <v>299</v>
      </c>
      <c r="E279" t="s">
        <v>275</v>
      </c>
      <c r="F279">
        <v>4674</v>
      </c>
      <c r="G279">
        <v>215534</v>
      </c>
      <c r="H279">
        <v>215143</v>
      </c>
      <c r="I279">
        <v>191418</v>
      </c>
      <c r="J279">
        <v>250950</v>
      </c>
      <c r="K279">
        <v>202760</v>
      </c>
      <c r="L279">
        <v>226922</v>
      </c>
    </row>
    <row r="280" spans="1:12" x14ac:dyDescent="0.35">
      <c r="A280">
        <v>2025</v>
      </c>
      <c r="B280">
        <v>11</v>
      </c>
      <c r="C280" t="s">
        <v>74</v>
      </c>
      <c r="D280" t="s">
        <v>299</v>
      </c>
      <c r="E280" t="s">
        <v>277</v>
      </c>
      <c r="F280">
        <v>5</v>
      </c>
      <c r="G280">
        <v>235400</v>
      </c>
      <c r="H280">
        <v>233400</v>
      </c>
      <c r="I280">
        <v>233400</v>
      </c>
      <c r="J280">
        <v>238400</v>
      </c>
      <c r="K280">
        <v>233400</v>
      </c>
      <c r="L280">
        <v>238400</v>
      </c>
    </row>
    <row r="281" spans="1:12" x14ac:dyDescent="0.35">
      <c r="A281">
        <v>2025</v>
      </c>
      <c r="B281">
        <v>12</v>
      </c>
      <c r="C281" t="s">
        <v>75</v>
      </c>
      <c r="D281" t="s">
        <v>299</v>
      </c>
      <c r="E281" t="s">
        <v>255</v>
      </c>
      <c r="F281">
        <v>11039</v>
      </c>
      <c r="G281">
        <v>383732</v>
      </c>
      <c r="H281">
        <v>375322</v>
      </c>
      <c r="I281">
        <v>297834</v>
      </c>
      <c r="J281">
        <v>598070</v>
      </c>
      <c r="K281">
        <v>328573</v>
      </c>
      <c r="L281">
        <v>429485</v>
      </c>
    </row>
    <row r="282" spans="1:12" x14ac:dyDescent="0.35">
      <c r="A282">
        <v>2025</v>
      </c>
      <c r="B282">
        <v>12</v>
      </c>
      <c r="C282" t="s">
        <v>75</v>
      </c>
      <c r="D282" t="s">
        <v>299</v>
      </c>
      <c r="E282" t="s">
        <v>257</v>
      </c>
      <c r="F282">
        <v>5253</v>
      </c>
      <c r="G282">
        <v>465341</v>
      </c>
      <c r="H282">
        <v>458044</v>
      </c>
      <c r="I282">
        <v>325286</v>
      </c>
      <c r="J282">
        <v>693479</v>
      </c>
      <c r="K282">
        <v>372822</v>
      </c>
      <c r="L282">
        <v>535903</v>
      </c>
    </row>
    <row r="283" spans="1:12" x14ac:dyDescent="0.35">
      <c r="A283">
        <v>2025</v>
      </c>
      <c r="B283">
        <v>12</v>
      </c>
      <c r="C283" t="s">
        <v>75</v>
      </c>
      <c r="D283" t="s">
        <v>299</v>
      </c>
      <c r="E283" t="s">
        <v>259</v>
      </c>
      <c r="F283">
        <v>1243</v>
      </c>
      <c r="G283">
        <v>622116</v>
      </c>
      <c r="H283">
        <v>625941</v>
      </c>
      <c r="I283">
        <v>422774</v>
      </c>
      <c r="J283">
        <v>720324</v>
      </c>
      <c r="K283">
        <v>583538</v>
      </c>
      <c r="L283">
        <v>672824</v>
      </c>
    </row>
    <row r="284" spans="1:12" x14ac:dyDescent="0.35">
      <c r="A284">
        <v>2025</v>
      </c>
      <c r="B284">
        <v>12</v>
      </c>
      <c r="C284" t="s">
        <v>75</v>
      </c>
      <c r="D284" t="s">
        <v>299</v>
      </c>
      <c r="E284" t="s">
        <v>261</v>
      </c>
      <c r="F284">
        <v>807</v>
      </c>
      <c r="G284">
        <v>659585</v>
      </c>
      <c r="H284">
        <v>664082</v>
      </c>
      <c r="I284">
        <v>483550</v>
      </c>
      <c r="J284">
        <v>726853</v>
      </c>
      <c r="K284">
        <v>641581</v>
      </c>
      <c r="L284">
        <v>681853</v>
      </c>
    </row>
    <row r="285" spans="1:12" x14ac:dyDescent="0.35">
      <c r="A285">
        <v>2025</v>
      </c>
      <c r="B285">
        <v>12</v>
      </c>
      <c r="C285" t="s">
        <v>75</v>
      </c>
      <c r="D285" t="s">
        <v>299</v>
      </c>
      <c r="E285" t="s">
        <v>263</v>
      </c>
      <c r="F285">
        <v>313</v>
      </c>
      <c r="G285">
        <v>701781</v>
      </c>
      <c r="H285">
        <v>702590</v>
      </c>
      <c r="I285">
        <v>616213</v>
      </c>
      <c r="J285">
        <v>771189</v>
      </c>
      <c r="K285">
        <v>690693</v>
      </c>
      <c r="L285">
        <v>715092</v>
      </c>
    </row>
    <row r="286" spans="1:12" x14ac:dyDescent="0.35">
      <c r="A286">
        <v>2025</v>
      </c>
      <c r="B286">
        <v>12</v>
      </c>
      <c r="C286" t="s">
        <v>75</v>
      </c>
      <c r="D286" t="s">
        <v>299</v>
      </c>
      <c r="E286" t="s">
        <v>265</v>
      </c>
      <c r="F286">
        <v>158</v>
      </c>
      <c r="G286">
        <v>274954</v>
      </c>
      <c r="H286">
        <v>274810</v>
      </c>
      <c r="I286">
        <v>231688</v>
      </c>
      <c r="J286">
        <v>344176</v>
      </c>
      <c r="K286">
        <v>261688</v>
      </c>
      <c r="L286">
        <v>287797</v>
      </c>
    </row>
    <row r="287" spans="1:12" x14ac:dyDescent="0.35">
      <c r="A287">
        <v>2025</v>
      </c>
      <c r="B287">
        <v>12</v>
      </c>
      <c r="C287" t="s">
        <v>75</v>
      </c>
      <c r="D287" t="s">
        <v>299</v>
      </c>
      <c r="E287" t="s">
        <v>267</v>
      </c>
      <c r="F287">
        <v>16886</v>
      </c>
      <c r="G287">
        <v>312931</v>
      </c>
      <c r="H287">
        <v>300752</v>
      </c>
      <c r="I287">
        <v>260063</v>
      </c>
      <c r="J287">
        <v>466517</v>
      </c>
      <c r="K287">
        <v>283486</v>
      </c>
      <c r="L287">
        <v>328019</v>
      </c>
    </row>
    <row r="288" spans="1:12" x14ac:dyDescent="0.35">
      <c r="A288">
        <v>2025</v>
      </c>
      <c r="B288">
        <v>12</v>
      </c>
      <c r="C288" t="s">
        <v>75</v>
      </c>
      <c r="D288" t="s">
        <v>299</v>
      </c>
      <c r="E288" t="s">
        <v>269</v>
      </c>
      <c r="F288">
        <v>9065</v>
      </c>
      <c r="G288">
        <v>225535</v>
      </c>
      <c r="H288">
        <v>221553</v>
      </c>
      <c r="I288">
        <v>203498</v>
      </c>
      <c r="J288">
        <v>274324</v>
      </c>
      <c r="K288">
        <v>211000</v>
      </c>
      <c r="L288">
        <v>238216</v>
      </c>
    </row>
    <row r="289" spans="1:12" x14ac:dyDescent="0.35">
      <c r="A289">
        <v>2025</v>
      </c>
      <c r="B289">
        <v>12</v>
      </c>
      <c r="C289" t="s">
        <v>75</v>
      </c>
      <c r="D289" t="s">
        <v>299</v>
      </c>
      <c r="E289" t="s">
        <v>271</v>
      </c>
      <c r="F289">
        <v>4537</v>
      </c>
      <c r="G289">
        <v>244241</v>
      </c>
      <c r="H289">
        <v>242661</v>
      </c>
      <c r="I289">
        <v>207526</v>
      </c>
      <c r="J289">
        <v>290297</v>
      </c>
      <c r="K289">
        <v>227710</v>
      </c>
      <c r="L289">
        <v>260161</v>
      </c>
    </row>
    <row r="290" spans="1:12" x14ac:dyDescent="0.35">
      <c r="A290">
        <v>2025</v>
      </c>
      <c r="B290">
        <v>12</v>
      </c>
      <c r="C290" t="s">
        <v>75</v>
      </c>
      <c r="D290" t="s">
        <v>299</v>
      </c>
      <c r="E290" t="s">
        <v>273</v>
      </c>
      <c r="F290">
        <v>6212</v>
      </c>
      <c r="G290">
        <v>264952</v>
      </c>
      <c r="H290">
        <v>266640</v>
      </c>
      <c r="I290">
        <v>210210</v>
      </c>
      <c r="J290">
        <v>320568</v>
      </c>
      <c r="K290">
        <v>241922</v>
      </c>
      <c r="L290">
        <v>284140</v>
      </c>
    </row>
    <row r="291" spans="1:12" x14ac:dyDescent="0.35">
      <c r="A291">
        <v>2025</v>
      </c>
      <c r="B291">
        <v>12</v>
      </c>
      <c r="C291" t="s">
        <v>75</v>
      </c>
      <c r="D291" t="s">
        <v>299</v>
      </c>
      <c r="E291" t="s">
        <v>275</v>
      </c>
      <c r="F291">
        <v>4643</v>
      </c>
      <c r="G291">
        <v>215663</v>
      </c>
      <c r="H291">
        <v>215260</v>
      </c>
      <c r="I291">
        <v>191418</v>
      </c>
      <c r="J291">
        <v>250950</v>
      </c>
      <c r="K291">
        <v>202895</v>
      </c>
      <c r="L291">
        <v>227526</v>
      </c>
    </row>
    <row r="292" spans="1:12" x14ac:dyDescent="0.35">
      <c r="A292">
        <v>2025</v>
      </c>
      <c r="B292">
        <v>12</v>
      </c>
      <c r="C292" t="s">
        <v>75</v>
      </c>
      <c r="D292" t="s">
        <v>299</v>
      </c>
      <c r="E292" t="s">
        <v>277</v>
      </c>
      <c r="F292">
        <v>5</v>
      </c>
      <c r="G292">
        <v>235400</v>
      </c>
      <c r="H292">
        <v>233400</v>
      </c>
      <c r="I292">
        <v>233400</v>
      </c>
      <c r="J292">
        <v>238400</v>
      </c>
      <c r="K292">
        <v>233400</v>
      </c>
      <c r="L292">
        <v>238400</v>
      </c>
    </row>
  </sheetData>
  <mergeCells count="1">
    <mergeCell ref="A1:L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00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301</v>
      </c>
      <c r="E5" t="s">
        <v>257</v>
      </c>
      <c r="F5">
        <v>60</v>
      </c>
      <c r="G5">
        <v>545038</v>
      </c>
      <c r="H5">
        <v>548538</v>
      </c>
      <c r="I5">
        <v>477947</v>
      </c>
      <c r="J5">
        <v>625289</v>
      </c>
      <c r="K5">
        <v>541038</v>
      </c>
      <c r="L5">
        <v>563538</v>
      </c>
    </row>
    <row r="6" spans="1:12" x14ac:dyDescent="0.35">
      <c r="A6">
        <v>2024</v>
      </c>
      <c r="B6">
        <v>1</v>
      </c>
      <c r="C6" t="s">
        <v>42</v>
      </c>
      <c r="D6" t="s">
        <v>301</v>
      </c>
      <c r="E6" t="s">
        <v>259</v>
      </c>
      <c r="F6">
        <v>109</v>
      </c>
      <c r="G6">
        <v>774969</v>
      </c>
      <c r="H6">
        <v>789476</v>
      </c>
      <c r="I6">
        <v>671976</v>
      </c>
      <c r="J6">
        <v>819476</v>
      </c>
      <c r="K6">
        <v>774476</v>
      </c>
      <c r="L6">
        <v>796976</v>
      </c>
    </row>
    <row r="7" spans="1:12" x14ac:dyDescent="0.35">
      <c r="A7">
        <v>2024</v>
      </c>
      <c r="B7">
        <v>1</v>
      </c>
      <c r="C7" t="s">
        <v>42</v>
      </c>
      <c r="D7" t="s">
        <v>301</v>
      </c>
      <c r="E7" t="s">
        <v>261</v>
      </c>
      <c r="F7">
        <v>12</v>
      </c>
      <c r="G7">
        <v>885470</v>
      </c>
      <c r="H7">
        <v>891842</v>
      </c>
      <c r="I7">
        <v>827616</v>
      </c>
      <c r="J7">
        <v>921584</v>
      </c>
      <c r="K7">
        <v>867101</v>
      </c>
      <c r="L7">
        <v>909084</v>
      </c>
    </row>
    <row r="8" spans="1:12" x14ac:dyDescent="0.35">
      <c r="A8">
        <v>2024</v>
      </c>
      <c r="B8">
        <v>1</v>
      </c>
      <c r="C8" t="s">
        <v>42</v>
      </c>
      <c r="D8" t="s">
        <v>301</v>
      </c>
      <c r="E8" t="s">
        <v>263</v>
      </c>
      <c r="F8">
        <v>41</v>
      </c>
      <c r="G8">
        <v>1002422</v>
      </c>
      <c r="H8">
        <v>1016239</v>
      </c>
      <c r="I8">
        <v>939723</v>
      </c>
      <c r="J8">
        <v>1036706</v>
      </c>
      <c r="K8">
        <v>986707</v>
      </c>
      <c r="L8">
        <v>1016240</v>
      </c>
    </row>
    <row r="9" spans="1:12" x14ac:dyDescent="0.35">
      <c r="A9">
        <v>2024</v>
      </c>
      <c r="B9">
        <v>2</v>
      </c>
      <c r="C9" t="s">
        <v>63</v>
      </c>
      <c r="D9" t="s">
        <v>301</v>
      </c>
      <c r="E9" t="s">
        <v>257</v>
      </c>
      <c r="F9">
        <v>65</v>
      </c>
      <c r="G9">
        <v>571455</v>
      </c>
      <c r="H9">
        <v>602789</v>
      </c>
      <c r="I9">
        <v>477947</v>
      </c>
      <c r="J9">
        <v>646011</v>
      </c>
      <c r="K9">
        <v>505447</v>
      </c>
      <c r="L9">
        <v>622145</v>
      </c>
    </row>
    <row r="10" spans="1:12" x14ac:dyDescent="0.35">
      <c r="A10">
        <v>2024</v>
      </c>
      <c r="B10">
        <v>2</v>
      </c>
      <c r="C10" t="s">
        <v>63</v>
      </c>
      <c r="D10" t="s">
        <v>301</v>
      </c>
      <c r="E10" t="s">
        <v>259</v>
      </c>
      <c r="F10">
        <v>104</v>
      </c>
      <c r="G10">
        <v>778195</v>
      </c>
      <c r="H10">
        <v>789476</v>
      </c>
      <c r="I10">
        <v>671976</v>
      </c>
      <c r="J10">
        <v>819476</v>
      </c>
      <c r="K10">
        <v>774476</v>
      </c>
      <c r="L10">
        <v>796976</v>
      </c>
    </row>
    <row r="11" spans="1:12" x14ac:dyDescent="0.35">
      <c r="A11">
        <v>2024</v>
      </c>
      <c r="B11">
        <v>2</v>
      </c>
      <c r="C11" t="s">
        <v>63</v>
      </c>
      <c r="D11" t="s">
        <v>301</v>
      </c>
      <c r="E11" t="s">
        <v>261</v>
      </c>
      <c r="F11">
        <v>11</v>
      </c>
      <c r="G11">
        <v>890048</v>
      </c>
      <c r="H11">
        <v>901584</v>
      </c>
      <c r="I11">
        <v>835117</v>
      </c>
      <c r="J11">
        <v>921584</v>
      </c>
      <c r="K11">
        <v>867101</v>
      </c>
      <c r="L11">
        <v>914084</v>
      </c>
    </row>
    <row r="12" spans="1:12" x14ac:dyDescent="0.35">
      <c r="A12">
        <v>2024</v>
      </c>
      <c r="B12">
        <v>2</v>
      </c>
      <c r="C12" t="s">
        <v>63</v>
      </c>
      <c r="D12" t="s">
        <v>301</v>
      </c>
      <c r="E12" t="s">
        <v>263</v>
      </c>
      <c r="F12">
        <v>40</v>
      </c>
      <c r="G12">
        <v>1005281</v>
      </c>
      <c r="H12">
        <v>1016239</v>
      </c>
      <c r="I12">
        <v>952073</v>
      </c>
      <c r="J12">
        <v>1036706</v>
      </c>
      <c r="K12">
        <v>986708</v>
      </c>
      <c r="L12">
        <v>1016240</v>
      </c>
    </row>
    <row r="13" spans="1:12" x14ac:dyDescent="0.35">
      <c r="A13">
        <v>2024</v>
      </c>
      <c r="B13">
        <v>3</v>
      </c>
      <c r="C13" t="s">
        <v>66</v>
      </c>
      <c r="D13" t="s">
        <v>301</v>
      </c>
      <c r="E13" t="s">
        <v>257</v>
      </c>
      <c r="F13">
        <v>66</v>
      </c>
      <c r="G13">
        <v>541856</v>
      </c>
      <c r="H13">
        <v>544789</v>
      </c>
      <c r="I13">
        <v>477947</v>
      </c>
      <c r="J13">
        <v>625289</v>
      </c>
      <c r="K13">
        <v>505447</v>
      </c>
      <c r="L13">
        <v>563538</v>
      </c>
    </row>
    <row r="14" spans="1:12" x14ac:dyDescent="0.35">
      <c r="A14">
        <v>2024</v>
      </c>
      <c r="B14">
        <v>3</v>
      </c>
      <c r="C14" t="s">
        <v>66</v>
      </c>
      <c r="D14" t="s">
        <v>301</v>
      </c>
      <c r="E14" t="s">
        <v>259</v>
      </c>
      <c r="F14">
        <v>108</v>
      </c>
      <c r="G14">
        <v>777877</v>
      </c>
      <c r="H14">
        <v>789476</v>
      </c>
      <c r="I14">
        <v>681853</v>
      </c>
      <c r="J14">
        <v>819476</v>
      </c>
      <c r="K14">
        <v>774476</v>
      </c>
      <c r="L14">
        <v>796976</v>
      </c>
    </row>
    <row r="15" spans="1:12" x14ac:dyDescent="0.35">
      <c r="A15">
        <v>2024</v>
      </c>
      <c r="B15">
        <v>3</v>
      </c>
      <c r="C15" t="s">
        <v>66</v>
      </c>
      <c r="D15" t="s">
        <v>301</v>
      </c>
      <c r="E15" t="s">
        <v>261</v>
      </c>
      <c r="F15">
        <v>10</v>
      </c>
      <c r="G15">
        <v>890842</v>
      </c>
      <c r="H15">
        <v>905333</v>
      </c>
      <c r="I15">
        <v>835117</v>
      </c>
      <c r="J15">
        <v>921584</v>
      </c>
      <c r="K15">
        <v>867101</v>
      </c>
      <c r="L15">
        <v>914084</v>
      </c>
    </row>
    <row r="16" spans="1:12" x14ac:dyDescent="0.35">
      <c r="A16">
        <v>2024</v>
      </c>
      <c r="B16">
        <v>3</v>
      </c>
      <c r="C16" t="s">
        <v>66</v>
      </c>
      <c r="D16" t="s">
        <v>301</v>
      </c>
      <c r="E16" t="s">
        <v>263</v>
      </c>
      <c r="F16">
        <v>42</v>
      </c>
      <c r="G16">
        <v>1001406</v>
      </c>
      <c r="H16">
        <v>1016239</v>
      </c>
      <c r="I16">
        <v>939723</v>
      </c>
      <c r="J16">
        <v>1036706</v>
      </c>
      <c r="K16">
        <v>986706</v>
      </c>
      <c r="L16">
        <v>1016240</v>
      </c>
    </row>
    <row r="17" spans="1:12" x14ac:dyDescent="0.35">
      <c r="A17">
        <v>2024</v>
      </c>
      <c r="B17">
        <v>4</v>
      </c>
      <c r="C17" t="s">
        <v>67</v>
      </c>
      <c r="D17" t="s">
        <v>301</v>
      </c>
      <c r="E17" t="s">
        <v>257</v>
      </c>
      <c r="F17">
        <v>67</v>
      </c>
      <c r="G17">
        <v>541014</v>
      </c>
      <c r="H17">
        <v>548538</v>
      </c>
      <c r="I17">
        <v>477947</v>
      </c>
      <c r="J17">
        <v>625289</v>
      </c>
      <c r="K17">
        <v>505447</v>
      </c>
      <c r="L17">
        <v>563538</v>
      </c>
    </row>
    <row r="18" spans="1:12" x14ac:dyDescent="0.35">
      <c r="A18">
        <v>2024</v>
      </c>
      <c r="B18">
        <v>4</v>
      </c>
      <c r="C18" t="s">
        <v>67</v>
      </c>
      <c r="D18" t="s">
        <v>301</v>
      </c>
      <c r="E18" t="s">
        <v>259</v>
      </c>
      <c r="F18">
        <v>112</v>
      </c>
      <c r="G18">
        <v>777415</v>
      </c>
      <c r="H18">
        <v>789476</v>
      </c>
      <c r="I18">
        <v>681853</v>
      </c>
      <c r="J18">
        <v>819476</v>
      </c>
      <c r="K18">
        <v>774476</v>
      </c>
      <c r="L18">
        <v>796976</v>
      </c>
    </row>
    <row r="19" spans="1:12" x14ac:dyDescent="0.35">
      <c r="A19">
        <v>2024</v>
      </c>
      <c r="B19">
        <v>4</v>
      </c>
      <c r="C19" t="s">
        <v>67</v>
      </c>
      <c r="D19" t="s">
        <v>301</v>
      </c>
      <c r="E19" t="s">
        <v>261</v>
      </c>
      <c r="F19">
        <v>12</v>
      </c>
      <c r="G19">
        <v>884220</v>
      </c>
      <c r="H19">
        <v>888092</v>
      </c>
      <c r="I19">
        <v>827617</v>
      </c>
      <c r="J19">
        <v>921584</v>
      </c>
      <c r="K19">
        <v>867101</v>
      </c>
      <c r="L19">
        <v>909084</v>
      </c>
    </row>
    <row r="20" spans="1:12" x14ac:dyDescent="0.35">
      <c r="A20">
        <v>2024</v>
      </c>
      <c r="B20">
        <v>4</v>
      </c>
      <c r="C20" t="s">
        <v>67</v>
      </c>
      <c r="D20" t="s">
        <v>301</v>
      </c>
      <c r="E20" t="s">
        <v>263</v>
      </c>
      <c r="F20">
        <v>42</v>
      </c>
      <c r="G20">
        <v>1001406</v>
      </c>
      <c r="H20">
        <v>1016239</v>
      </c>
      <c r="I20">
        <v>939723</v>
      </c>
      <c r="J20">
        <v>1036706</v>
      </c>
      <c r="K20">
        <v>986706</v>
      </c>
      <c r="L20">
        <v>1016240</v>
      </c>
    </row>
    <row r="21" spans="1:12" x14ac:dyDescent="0.35">
      <c r="A21">
        <v>2024</v>
      </c>
      <c r="B21">
        <v>5</v>
      </c>
      <c r="C21" t="s">
        <v>68</v>
      </c>
      <c r="D21" t="s">
        <v>301</v>
      </c>
      <c r="E21" t="s">
        <v>257</v>
      </c>
      <c r="F21">
        <v>66</v>
      </c>
      <c r="G21">
        <v>536975</v>
      </c>
      <c r="H21">
        <v>541040</v>
      </c>
      <c r="I21">
        <v>477947</v>
      </c>
      <c r="J21">
        <v>625288</v>
      </c>
      <c r="K21">
        <v>500447</v>
      </c>
      <c r="L21">
        <v>556038</v>
      </c>
    </row>
    <row r="22" spans="1:12" x14ac:dyDescent="0.35">
      <c r="A22">
        <v>2024</v>
      </c>
      <c r="B22">
        <v>5</v>
      </c>
      <c r="C22" t="s">
        <v>68</v>
      </c>
      <c r="D22" t="s">
        <v>301</v>
      </c>
      <c r="E22" t="s">
        <v>259</v>
      </c>
      <c r="F22">
        <v>103</v>
      </c>
      <c r="G22">
        <v>775607</v>
      </c>
      <c r="H22">
        <v>781977</v>
      </c>
      <c r="I22">
        <v>681853</v>
      </c>
      <c r="J22">
        <v>819476</v>
      </c>
      <c r="K22">
        <v>774476</v>
      </c>
      <c r="L22">
        <v>796976</v>
      </c>
    </row>
    <row r="23" spans="1:12" x14ac:dyDescent="0.35">
      <c r="A23">
        <v>2024</v>
      </c>
      <c r="B23">
        <v>5</v>
      </c>
      <c r="C23" t="s">
        <v>68</v>
      </c>
      <c r="D23" t="s">
        <v>301</v>
      </c>
      <c r="E23" t="s">
        <v>261</v>
      </c>
      <c r="F23">
        <v>15</v>
      </c>
      <c r="G23">
        <v>870968</v>
      </c>
      <c r="H23">
        <v>867101</v>
      </c>
      <c r="I23">
        <v>827617</v>
      </c>
      <c r="J23">
        <v>921584</v>
      </c>
      <c r="K23">
        <v>850117</v>
      </c>
      <c r="L23">
        <v>909082</v>
      </c>
    </row>
    <row r="24" spans="1:12" x14ac:dyDescent="0.35">
      <c r="A24">
        <v>2024</v>
      </c>
      <c r="B24">
        <v>5</v>
      </c>
      <c r="C24" t="s">
        <v>68</v>
      </c>
      <c r="D24" t="s">
        <v>301</v>
      </c>
      <c r="E24" t="s">
        <v>263</v>
      </c>
      <c r="F24">
        <v>37</v>
      </c>
      <c r="G24">
        <v>1002713</v>
      </c>
      <c r="H24">
        <v>1016239</v>
      </c>
      <c r="I24">
        <v>939723</v>
      </c>
      <c r="J24">
        <v>1036706</v>
      </c>
      <c r="K24">
        <v>986707</v>
      </c>
      <c r="L24">
        <v>1016240</v>
      </c>
    </row>
    <row r="25" spans="1:12" x14ac:dyDescent="0.35">
      <c r="A25">
        <v>2024</v>
      </c>
      <c r="B25">
        <v>6</v>
      </c>
      <c r="C25" t="s">
        <v>69</v>
      </c>
      <c r="D25" t="s">
        <v>301</v>
      </c>
      <c r="E25" t="s">
        <v>257</v>
      </c>
      <c r="F25">
        <v>65</v>
      </c>
      <c r="G25">
        <v>536913</v>
      </c>
      <c r="H25">
        <v>541040</v>
      </c>
      <c r="I25">
        <v>477947</v>
      </c>
      <c r="J25">
        <v>625288</v>
      </c>
      <c r="K25">
        <v>500447</v>
      </c>
      <c r="L25">
        <v>556038</v>
      </c>
    </row>
    <row r="26" spans="1:12" x14ac:dyDescent="0.35">
      <c r="A26">
        <v>2024</v>
      </c>
      <c r="B26">
        <v>6</v>
      </c>
      <c r="C26" t="s">
        <v>69</v>
      </c>
      <c r="D26" t="s">
        <v>301</v>
      </c>
      <c r="E26" t="s">
        <v>259</v>
      </c>
      <c r="F26">
        <v>105</v>
      </c>
      <c r="G26">
        <v>773893</v>
      </c>
      <c r="H26">
        <v>781977</v>
      </c>
      <c r="I26">
        <v>681853</v>
      </c>
      <c r="J26">
        <v>819477</v>
      </c>
      <c r="K26">
        <v>774476</v>
      </c>
      <c r="L26">
        <v>796976</v>
      </c>
    </row>
    <row r="27" spans="1:12" x14ac:dyDescent="0.35">
      <c r="A27">
        <v>2024</v>
      </c>
      <c r="B27">
        <v>6</v>
      </c>
      <c r="C27" t="s">
        <v>69</v>
      </c>
      <c r="D27" t="s">
        <v>301</v>
      </c>
      <c r="E27" t="s">
        <v>261</v>
      </c>
      <c r="F27">
        <v>19</v>
      </c>
      <c r="G27">
        <v>861447</v>
      </c>
      <c r="H27">
        <v>850117</v>
      </c>
      <c r="I27">
        <v>820117</v>
      </c>
      <c r="J27">
        <v>921584</v>
      </c>
      <c r="K27">
        <v>835117</v>
      </c>
      <c r="L27">
        <v>901584</v>
      </c>
    </row>
    <row r="28" spans="1:12" x14ac:dyDescent="0.35">
      <c r="A28">
        <v>2024</v>
      </c>
      <c r="B28">
        <v>6</v>
      </c>
      <c r="C28" t="s">
        <v>69</v>
      </c>
      <c r="D28" t="s">
        <v>301</v>
      </c>
      <c r="E28" t="s">
        <v>263</v>
      </c>
      <c r="F28">
        <v>38</v>
      </c>
      <c r="G28">
        <v>997029</v>
      </c>
      <c r="H28">
        <v>1006708</v>
      </c>
      <c r="I28">
        <v>939723</v>
      </c>
      <c r="J28">
        <v>1036706</v>
      </c>
      <c r="K28">
        <v>959725</v>
      </c>
      <c r="L28">
        <v>1016240</v>
      </c>
    </row>
    <row r="29" spans="1:12" x14ac:dyDescent="0.35">
      <c r="A29">
        <v>2024</v>
      </c>
      <c r="B29">
        <v>7</v>
      </c>
      <c r="C29" t="s">
        <v>70</v>
      </c>
      <c r="D29" t="s">
        <v>301</v>
      </c>
      <c r="E29" t="s">
        <v>257</v>
      </c>
      <c r="F29">
        <v>65</v>
      </c>
      <c r="G29">
        <v>536913</v>
      </c>
      <c r="H29">
        <v>541040</v>
      </c>
      <c r="I29">
        <v>477947</v>
      </c>
      <c r="J29">
        <v>625288</v>
      </c>
      <c r="K29">
        <v>500447</v>
      </c>
      <c r="L29">
        <v>556038</v>
      </c>
    </row>
    <row r="30" spans="1:12" x14ac:dyDescent="0.35">
      <c r="A30">
        <v>2024</v>
      </c>
      <c r="B30">
        <v>7</v>
      </c>
      <c r="C30" t="s">
        <v>70</v>
      </c>
      <c r="D30" t="s">
        <v>301</v>
      </c>
      <c r="E30" t="s">
        <v>259</v>
      </c>
      <c r="F30">
        <v>105</v>
      </c>
      <c r="G30">
        <v>773822</v>
      </c>
      <c r="H30">
        <v>781977</v>
      </c>
      <c r="I30">
        <v>681853</v>
      </c>
      <c r="J30">
        <v>819477</v>
      </c>
      <c r="K30">
        <v>774476</v>
      </c>
      <c r="L30">
        <v>796976</v>
      </c>
    </row>
    <row r="31" spans="1:12" x14ac:dyDescent="0.35">
      <c r="A31">
        <v>2024</v>
      </c>
      <c r="B31">
        <v>7</v>
      </c>
      <c r="C31" t="s">
        <v>70</v>
      </c>
      <c r="D31" t="s">
        <v>301</v>
      </c>
      <c r="E31" t="s">
        <v>261</v>
      </c>
      <c r="F31">
        <v>19</v>
      </c>
      <c r="G31">
        <v>861447</v>
      </c>
      <c r="H31">
        <v>850117</v>
      </c>
      <c r="I31">
        <v>820117</v>
      </c>
      <c r="J31">
        <v>921584</v>
      </c>
      <c r="K31">
        <v>835117</v>
      </c>
      <c r="L31">
        <v>901584</v>
      </c>
    </row>
    <row r="32" spans="1:12" x14ac:dyDescent="0.35">
      <c r="A32">
        <v>2024</v>
      </c>
      <c r="B32">
        <v>7</v>
      </c>
      <c r="C32" t="s">
        <v>70</v>
      </c>
      <c r="D32" t="s">
        <v>301</v>
      </c>
      <c r="E32" t="s">
        <v>263</v>
      </c>
      <c r="F32">
        <v>36</v>
      </c>
      <c r="G32">
        <v>996782</v>
      </c>
      <c r="H32">
        <v>1006708</v>
      </c>
      <c r="I32">
        <v>939723</v>
      </c>
      <c r="J32">
        <v>1036706</v>
      </c>
      <c r="K32">
        <v>959725</v>
      </c>
      <c r="L32">
        <v>1016240</v>
      </c>
    </row>
    <row r="33" spans="1:12" x14ac:dyDescent="0.35">
      <c r="A33">
        <v>2024</v>
      </c>
      <c r="B33">
        <v>8</v>
      </c>
      <c r="C33" t="s">
        <v>71</v>
      </c>
      <c r="D33" t="s">
        <v>301</v>
      </c>
      <c r="E33" t="s">
        <v>257</v>
      </c>
      <c r="F33">
        <v>62</v>
      </c>
      <c r="G33">
        <v>543873</v>
      </c>
      <c r="H33">
        <v>548538</v>
      </c>
      <c r="I33">
        <v>477947</v>
      </c>
      <c r="J33">
        <v>632789</v>
      </c>
      <c r="K33">
        <v>492947</v>
      </c>
      <c r="L33">
        <v>571038</v>
      </c>
    </row>
    <row r="34" spans="1:12" x14ac:dyDescent="0.35">
      <c r="A34">
        <v>2024</v>
      </c>
      <c r="B34">
        <v>8</v>
      </c>
      <c r="C34" t="s">
        <v>71</v>
      </c>
      <c r="D34" t="s">
        <v>301</v>
      </c>
      <c r="E34" t="s">
        <v>259</v>
      </c>
      <c r="F34">
        <v>103</v>
      </c>
      <c r="G34">
        <v>775025</v>
      </c>
      <c r="H34">
        <v>781977</v>
      </c>
      <c r="I34">
        <v>681853</v>
      </c>
      <c r="J34">
        <v>819477</v>
      </c>
      <c r="K34">
        <v>774476</v>
      </c>
      <c r="L34">
        <v>796976</v>
      </c>
    </row>
    <row r="35" spans="1:12" x14ac:dyDescent="0.35">
      <c r="A35">
        <v>2024</v>
      </c>
      <c r="B35">
        <v>8</v>
      </c>
      <c r="C35" t="s">
        <v>71</v>
      </c>
      <c r="D35" t="s">
        <v>301</v>
      </c>
      <c r="E35" t="s">
        <v>261</v>
      </c>
      <c r="F35">
        <v>20</v>
      </c>
      <c r="G35">
        <v>866178</v>
      </c>
      <c r="H35">
        <v>858609</v>
      </c>
      <c r="I35">
        <v>820117</v>
      </c>
      <c r="J35">
        <v>921584</v>
      </c>
      <c r="K35">
        <v>835117</v>
      </c>
      <c r="L35">
        <v>909082</v>
      </c>
    </row>
    <row r="36" spans="1:12" x14ac:dyDescent="0.35">
      <c r="A36">
        <v>2024</v>
      </c>
      <c r="B36">
        <v>8</v>
      </c>
      <c r="C36" t="s">
        <v>71</v>
      </c>
      <c r="D36" t="s">
        <v>301</v>
      </c>
      <c r="E36" t="s">
        <v>263</v>
      </c>
      <c r="F36">
        <v>37</v>
      </c>
      <c r="G36">
        <v>999376</v>
      </c>
      <c r="H36">
        <v>1006708</v>
      </c>
      <c r="I36">
        <v>939723</v>
      </c>
      <c r="J36">
        <v>1066240</v>
      </c>
      <c r="K36">
        <v>986706</v>
      </c>
      <c r="L36">
        <v>1016240</v>
      </c>
    </row>
    <row r="37" spans="1:12" x14ac:dyDescent="0.35">
      <c r="A37">
        <v>2024</v>
      </c>
      <c r="B37">
        <v>9</v>
      </c>
      <c r="C37" t="s">
        <v>72</v>
      </c>
      <c r="D37" t="s">
        <v>301</v>
      </c>
      <c r="E37" t="s">
        <v>257</v>
      </c>
      <c r="F37">
        <v>55</v>
      </c>
      <c r="G37">
        <v>536462</v>
      </c>
      <c r="H37">
        <v>541038</v>
      </c>
      <c r="I37">
        <v>477947</v>
      </c>
      <c r="J37">
        <v>635801</v>
      </c>
      <c r="K37">
        <v>492947</v>
      </c>
      <c r="L37">
        <v>563538</v>
      </c>
    </row>
    <row r="38" spans="1:12" x14ac:dyDescent="0.35">
      <c r="A38">
        <v>2024</v>
      </c>
      <c r="B38">
        <v>9</v>
      </c>
      <c r="C38" t="s">
        <v>72</v>
      </c>
      <c r="D38" t="s">
        <v>301</v>
      </c>
      <c r="E38" t="s">
        <v>259</v>
      </c>
      <c r="F38">
        <v>101</v>
      </c>
      <c r="G38">
        <v>766832</v>
      </c>
      <c r="H38">
        <v>781977</v>
      </c>
      <c r="I38">
        <v>664476</v>
      </c>
      <c r="J38">
        <v>819477</v>
      </c>
      <c r="K38">
        <v>743836</v>
      </c>
      <c r="L38">
        <v>789477</v>
      </c>
    </row>
    <row r="39" spans="1:12" x14ac:dyDescent="0.35">
      <c r="A39">
        <v>2024</v>
      </c>
      <c r="B39">
        <v>9</v>
      </c>
      <c r="C39" t="s">
        <v>72</v>
      </c>
      <c r="D39" t="s">
        <v>301</v>
      </c>
      <c r="E39" t="s">
        <v>261</v>
      </c>
      <c r="F39">
        <v>18</v>
      </c>
      <c r="G39">
        <v>861521</v>
      </c>
      <c r="H39">
        <v>848609</v>
      </c>
      <c r="I39">
        <v>820117</v>
      </c>
      <c r="J39">
        <v>921584</v>
      </c>
      <c r="K39">
        <v>827617</v>
      </c>
      <c r="L39">
        <v>909082</v>
      </c>
    </row>
    <row r="40" spans="1:12" x14ac:dyDescent="0.35">
      <c r="A40">
        <v>2024</v>
      </c>
      <c r="B40">
        <v>9</v>
      </c>
      <c r="C40" t="s">
        <v>72</v>
      </c>
      <c r="D40" t="s">
        <v>301</v>
      </c>
      <c r="E40" t="s">
        <v>263</v>
      </c>
      <c r="F40">
        <v>35</v>
      </c>
      <c r="G40">
        <v>998198</v>
      </c>
      <c r="H40">
        <v>1006708</v>
      </c>
      <c r="I40">
        <v>939723</v>
      </c>
      <c r="J40">
        <v>1078748</v>
      </c>
      <c r="K40">
        <v>986706</v>
      </c>
      <c r="L40">
        <v>1016240</v>
      </c>
    </row>
    <row r="41" spans="1:12" x14ac:dyDescent="0.35">
      <c r="A41">
        <v>2024</v>
      </c>
      <c r="B41">
        <v>10</v>
      </c>
      <c r="C41" t="s">
        <v>73</v>
      </c>
      <c r="D41" t="s">
        <v>301</v>
      </c>
      <c r="E41" t="s">
        <v>257</v>
      </c>
      <c r="F41">
        <v>51</v>
      </c>
      <c r="G41">
        <v>531503</v>
      </c>
      <c r="H41">
        <v>541038</v>
      </c>
      <c r="I41">
        <v>477947</v>
      </c>
      <c r="J41">
        <v>632789</v>
      </c>
      <c r="K41">
        <v>477947</v>
      </c>
      <c r="L41">
        <v>556040</v>
      </c>
    </row>
    <row r="42" spans="1:12" x14ac:dyDescent="0.35">
      <c r="A42">
        <v>2024</v>
      </c>
      <c r="B42">
        <v>10</v>
      </c>
      <c r="C42" t="s">
        <v>73</v>
      </c>
      <c r="D42" t="s">
        <v>301</v>
      </c>
      <c r="E42" t="s">
        <v>259</v>
      </c>
      <c r="F42">
        <v>51</v>
      </c>
      <c r="G42">
        <v>761492</v>
      </c>
      <c r="H42">
        <v>774477</v>
      </c>
      <c r="I42">
        <v>681853</v>
      </c>
      <c r="J42">
        <v>811977</v>
      </c>
      <c r="K42">
        <v>736336</v>
      </c>
      <c r="L42">
        <v>789476</v>
      </c>
    </row>
    <row r="43" spans="1:12" x14ac:dyDescent="0.35">
      <c r="A43">
        <v>2024</v>
      </c>
      <c r="B43">
        <v>10</v>
      </c>
      <c r="C43" t="s">
        <v>73</v>
      </c>
      <c r="D43" t="s">
        <v>301</v>
      </c>
      <c r="E43" t="s">
        <v>261</v>
      </c>
      <c r="F43">
        <v>67</v>
      </c>
      <c r="G43">
        <v>843665</v>
      </c>
      <c r="H43">
        <v>835117</v>
      </c>
      <c r="I43">
        <v>807617</v>
      </c>
      <c r="J43">
        <v>921584</v>
      </c>
      <c r="K43">
        <v>827617</v>
      </c>
      <c r="L43">
        <v>847101</v>
      </c>
    </row>
    <row r="44" spans="1:12" x14ac:dyDescent="0.35">
      <c r="A44">
        <v>2024</v>
      </c>
      <c r="B44">
        <v>10</v>
      </c>
      <c r="C44" t="s">
        <v>73</v>
      </c>
      <c r="D44" t="s">
        <v>301</v>
      </c>
      <c r="E44" t="s">
        <v>263</v>
      </c>
      <c r="F44">
        <v>37</v>
      </c>
      <c r="G44">
        <v>997496</v>
      </c>
      <c r="H44">
        <v>1006708</v>
      </c>
      <c r="I44">
        <v>939723</v>
      </c>
      <c r="J44">
        <v>1066240</v>
      </c>
      <c r="K44">
        <v>986706</v>
      </c>
      <c r="L44">
        <v>1016240</v>
      </c>
    </row>
    <row r="45" spans="1:12" x14ac:dyDescent="0.35">
      <c r="A45">
        <v>2024</v>
      </c>
      <c r="B45">
        <v>11</v>
      </c>
      <c r="C45" t="s">
        <v>74</v>
      </c>
      <c r="D45" t="s">
        <v>301</v>
      </c>
      <c r="E45" t="s">
        <v>257</v>
      </c>
      <c r="F45">
        <v>54</v>
      </c>
      <c r="G45">
        <v>524459</v>
      </c>
      <c r="H45">
        <v>541038</v>
      </c>
      <c r="I45">
        <v>477946</v>
      </c>
      <c r="J45">
        <v>625288</v>
      </c>
      <c r="K45">
        <v>477947</v>
      </c>
      <c r="L45">
        <v>556038</v>
      </c>
    </row>
    <row r="46" spans="1:12" x14ac:dyDescent="0.35">
      <c r="A46">
        <v>2024</v>
      </c>
      <c r="B46">
        <v>11</v>
      </c>
      <c r="C46" t="s">
        <v>74</v>
      </c>
      <c r="D46" t="s">
        <v>301</v>
      </c>
      <c r="E46" t="s">
        <v>259</v>
      </c>
      <c r="F46">
        <v>49</v>
      </c>
      <c r="G46">
        <v>759544</v>
      </c>
      <c r="H46">
        <v>774476</v>
      </c>
      <c r="I46">
        <v>681853</v>
      </c>
      <c r="J46">
        <v>811977</v>
      </c>
      <c r="K46">
        <v>728836</v>
      </c>
      <c r="L46">
        <v>789476</v>
      </c>
    </row>
    <row r="47" spans="1:12" x14ac:dyDescent="0.35">
      <c r="A47">
        <v>2024</v>
      </c>
      <c r="B47">
        <v>11</v>
      </c>
      <c r="C47" t="s">
        <v>74</v>
      </c>
      <c r="D47" t="s">
        <v>301</v>
      </c>
      <c r="E47" t="s">
        <v>261</v>
      </c>
      <c r="F47">
        <v>65</v>
      </c>
      <c r="G47">
        <v>843450</v>
      </c>
      <c r="H47">
        <v>835117</v>
      </c>
      <c r="I47">
        <v>807617</v>
      </c>
      <c r="J47">
        <v>921584</v>
      </c>
      <c r="K47">
        <v>827617</v>
      </c>
      <c r="L47">
        <v>847101</v>
      </c>
    </row>
    <row r="48" spans="1:12" x14ac:dyDescent="0.35">
      <c r="A48">
        <v>2024</v>
      </c>
      <c r="B48">
        <v>11</v>
      </c>
      <c r="C48" t="s">
        <v>74</v>
      </c>
      <c r="D48" t="s">
        <v>301</v>
      </c>
      <c r="E48" t="s">
        <v>263</v>
      </c>
      <c r="F48">
        <v>36</v>
      </c>
      <c r="G48">
        <v>995671</v>
      </c>
      <c r="H48">
        <v>1006708</v>
      </c>
      <c r="I48">
        <v>939723</v>
      </c>
      <c r="J48">
        <v>1066240</v>
      </c>
      <c r="K48">
        <v>959725</v>
      </c>
      <c r="L48">
        <v>1016240</v>
      </c>
    </row>
    <row r="49" spans="1:12" x14ac:dyDescent="0.35">
      <c r="A49">
        <v>2024</v>
      </c>
      <c r="B49">
        <v>12</v>
      </c>
      <c r="C49" t="s">
        <v>75</v>
      </c>
      <c r="D49" t="s">
        <v>301</v>
      </c>
      <c r="E49" t="s">
        <v>257</v>
      </c>
      <c r="F49">
        <v>53</v>
      </c>
      <c r="G49">
        <v>523863</v>
      </c>
      <c r="H49">
        <v>541038</v>
      </c>
      <c r="I49">
        <v>477946</v>
      </c>
      <c r="J49">
        <v>625288</v>
      </c>
      <c r="K49">
        <v>477947</v>
      </c>
      <c r="L49">
        <v>548540</v>
      </c>
    </row>
    <row r="50" spans="1:12" x14ac:dyDescent="0.35">
      <c r="A50">
        <v>2024</v>
      </c>
      <c r="B50">
        <v>12</v>
      </c>
      <c r="C50" t="s">
        <v>75</v>
      </c>
      <c r="D50" t="s">
        <v>301</v>
      </c>
      <c r="E50" t="s">
        <v>259</v>
      </c>
      <c r="F50">
        <v>49</v>
      </c>
      <c r="G50">
        <v>757146</v>
      </c>
      <c r="H50">
        <v>774476</v>
      </c>
      <c r="I50">
        <v>671976</v>
      </c>
      <c r="J50">
        <v>811977</v>
      </c>
      <c r="K50">
        <v>728836</v>
      </c>
      <c r="L50">
        <v>789476</v>
      </c>
    </row>
    <row r="51" spans="1:12" x14ac:dyDescent="0.35">
      <c r="A51">
        <v>2024</v>
      </c>
      <c r="B51">
        <v>12</v>
      </c>
      <c r="C51" t="s">
        <v>75</v>
      </c>
      <c r="D51" t="s">
        <v>301</v>
      </c>
      <c r="E51" t="s">
        <v>261</v>
      </c>
      <c r="F51">
        <v>67</v>
      </c>
      <c r="G51">
        <v>842597</v>
      </c>
      <c r="H51">
        <v>835117</v>
      </c>
      <c r="I51">
        <v>807617</v>
      </c>
      <c r="J51">
        <v>921584</v>
      </c>
      <c r="K51">
        <v>827617</v>
      </c>
      <c r="L51">
        <v>842617</v>
      </c>
    </row>
    <row r="52" spans="1:12" x14ac:dyDescent="0.35">
      <c r="A52">
        <v>2024</v>
      </c>
      <c r="B52">
        <v>12</v>
      </c>
      <c r="C52" t="s">
        <v>75</v>
      </c>
      <c r="D52" t="s">
        <v>301</v>
      </c>
      <c r="E52" t="s">
        <v>263</v>
      </c>
      <c r="F52">
        <v>37</v>
      </c>
      <c r="G52">
        <v>996767</v>
      </c>
      <c r="H52">
        <v>1006708</v>
      </c>
      <c r="I52">
        <v>939723</v>
      </c>
      <c r="J52">
        <v>1066240</v>
      </c>
      <c r="K52">
        <v>959725</v>
      </c>
      <c r="L52">
        <v>1016240</v>
      </c>
    </row>
    <row r="53" spans="1:12" x14ac:dyDescent="0.35">
      <c r="A53">
        <v>2025</v>
      </c>
      <c r="B53">
        <v>1</v>
      </c>
      <c r="C53" t="s">
        <v>42</v>
      </c>
      <c r="D53" t="s">
        <v>301</v>
      </c>
      <c r="E53" t="s">
        <v>257</v>
      </c>
      <c r="F53">
        <v>44</v>
      </c>
      <c r="G53">
        <v>593527</v>
      </c>
      <c r="H53">
        <v>600742</v>
      </c>
      <c r="I53">
        <v>500446</v>
      </c>
      <c r="J53">
        <v>643540</v>
      </c>
      <c r="K53">
        <v>557947</v>
      </c>
      <c r="L53">
        <v>628538</v>
      </c>
    </row>
    <row r="54" spans="1:12" x14ac:dyDescent="0.35">
      <c r="A54">
        <v>2025</v>
      </c>
      <c r="B54">
        <v>1</v>
      </c>
      <c r="C54" t="s">
        <v>42</v>
      </c>
      <c r="D54" t="s">
        <v>301</v>
      </c>
      <c r="E54" t="s">
        <v>259</v>
      </c>
      <c r="F54">
        <v>22</v>
      </c>
      <c r="G54">
        <v>793292</v>
      </c>
      <c r="H54">
        <v>813836</v>
      </c>
      <c r="I54">
        <v>671976</v>
      </c>
      <c r="J54">
        <v>828836</v>
      </c>
      <c r="K54">
        <v>766853</v>
      </c>
      <c r="L54">
        <v>821336</v>
      </c>
    </row>
    <row r="55" spans="1:12" x14ac:dyDescent="0.35">
      <c r="A55">
        <v>2025</v>
      </c>
      <c r="B55">
        <v>1</v>
      </c>
      <c r="C55" t="s">
        <v>42</v>
      </c>
      <c r="D55" t="s">
        <v>301</v>
      </c>
      <c r="E55" t="s">
        <v>261</v>
      </c>
      <c r="F55">
        <v>58</v>
      </c>
      <c r="G55">
        <v>937072</v>
      </c>
      <c r="H55">
        <v>941367</v>
      </c>
      <c r="I55">
        <v>811584</v>
      </c>
      <c r="J55">
        <v>967617</v>
      </c>
      <c r="K55">
        <v>937617</v>
      </c>
      <c r="L55">
        <v>952617</v>
      </c>
    </row>
    <row r="56" spans="1:12" x14ac:dyDescent="0.35">
      <c r="A56">
        <v>2025</v>
      </c>
      <c r="B56">
        <v>1</v>
      </c>
      <c r="C56" t="s">
        <v>42</v>
      </c>
      <c r="D56" t="s">
        <v>301</v>
      </c>
      <c r="E56" t="s">
        <v>263</v>
      </c>
      <c r="F56">
        <v>9</v>
      </c>
      <c r="G56">
        <v>1077890</v>
      </c>
      <c r="H56">
        <v>1099723</v>
      </c>
      <c r="I56">
        <v>986708</v>
      </c>
      <c r="J56">
        <v>1099723</v>
      </c>
      <c r="K56">
        <v>1099723</v>
      </c>
      <c r="L56">
        <v>1099723</v>
      </c>
    </row>
    <row r="57" spans="1:12" x14ac:dyDescent="0.35">
      <c r="A57">
        <v>2025</v>
      </c>
      <c r="B57">
        <v>2</v>
      </c>
      <c r="C57" t="s">
        <v>63</v>
      </c>
      <c r="D57" t="s">
        <v>301</v>
      </c>
      <c r="E57" t="s">
        <v>257</v>
      </c>
      <c r="F57">
        <v>44</v>
      </c>
      <c r="G57">
        <v>590746</v>
      </c>
      <c r="H57">
        <v>576696</v>
      </c>
      <c r="I57">
        <v>557946</v>
      </c>
      <c r="J57">
        <v>643538</v>
      </c>
      <c r="K57">
        <v>557947</v>
      </c>
      <c r="L57">
        <v>621038</v>
      </c>
    </row>
    <row r="58" spans="1:12" x14ac:dyDescent="0.35">
      <c r="A58">
        <v>2025</v>
      </c>
      <c r="B58">
        <v>2</v>
      </c>
      <c r="C58" t="s">
        <v>63</v>
      </c>
      <c r="D58" t="s">
        <v>301</v>
      </c>
      <c r="E58" t="s">
        <v>259</v>
      </c>
      <c r="F58">
        <v>22</v>
      </c>
      <c r="G58">
        <v>787867</v>
      </c>
      <c r="H58">
        <v>797844</v>
      </c>
      <c r="I58">
        <v>671976</v>
      </c>
      <c r="J58">
        <v>828836</v>
      </c>
      <c r="K58">
        <v>766853</v>
      </c>
      <c r="L58">
        <v>821336</v>
      </c>
    </row>
    <row r="59" spans="1:12" x14ac:dyDescent="0.35">
      <c r="A59">
        <v>2025</v>
      </c>
      <c r="B59">
        <v>2</v>
      </c>
      <c r="C59" t="s">
        <v>63</v>
      </c>
      <c r="D59" t="s">
        <v>301</v>
      </c>
      <c r="E59" t="s">
        <v>261</v>
      </c>
      <c r="F59">
        <v>53</v>
      </c>
      <c r="G59">
        <v>939078</v>
      </c>
      <c r="H59">
        <v>945117</v>
      </c>
      <c r="I59">
        <v>811584</v>
      </c>
      <c r="J59">
        <v>967617</v>
      </c>
      <c r="K59">
        <v>937617</v>
      </c>
      <c r="L59">
        <v>952617</v>
      </c>
    </row>
    <row r="60" spans="1:12" x14ac:dyDescent="0.35">
      <c r="A60">
        <v>2025</v>
      </c>
      <c r="B60">
        <v>2</v>
      </c>
      <c r="C60" t="s">
        <v>63</v>
      </c>
      <c r="D60" t="s">
        <v>301</v>
      </c>
      <c r="E60" t="s">
        <v>263</v>
      </c>
      <c r="F60">
        <v>8</v>
      </c>
      <c r="G60">
        <v>1075161</v>
      </c>
      <c r="H60">
        <v>1099723</v>
      </c>
      <c r="I60">
        <v>986708</v>
      </c>
      <c r="J60">
        <v>1099723</v>
      </c>
      <c r="K60">
        <v>1099723</v>
      </c>
      <c r="L60">
        <v>1099723</v>
      </c>
    </row>
    <row r="61" spans="1:12" x14ac:dyDescent="0.35">
      <c r="A61">
        <v>2025</v>
      </c>
      <c r="B61">
        <v>3</v>
      </c>
      <c r="C61" t="s">
        <v>66</v>
      </c>
      <c r="D61" t="s">
        <v>301</v>
      </c>
      <c r="E61" t="s">
        <v>257</v>
      </c>
      <c r="F61">
        <v>48</v>
      </c>
      <c r="G61">
        <v>601000</v>
      </c>
      <c r="H61">
        <v>621038</v>
      </c>
      <c r="I61">
        <v>557946</v>
      </c>
      <c r="J61">
        <v>643538</v>
      </c>
      <c r="K61">
        <v>565446</v>
      </c>
      <c r="L61">
        <v>628538</v>
      </c>
    </row>
    <row r="62" spans="1:12" x14ac:dyDescent="0.35">
      <c r="A62">
        <v>2025</v>
      </c>
      <c r="B62">
        <v>3</v>
      </c>
      <c r="C62" t="s">
        <v>66</v>
      </c>
      <c r="D62" t="s">
        <v>301</v>
      </c>
      <c r="E62" t="s">
        <v>259</v>
      </c>
      <c r="F62">
        <v>22</v>
      </c>
      <c r="G62">
        <v>787867</v>
      </c>
      <c r="H62">
        <v>797844</v>
      </c>
      <c r="I62">
        <v>671976</v>
      </c>
      <c r="J62">
        <v>828836</v>
      </c>
      <c r="K62">
        <v>766853</v>
      </c>
      <c r="L62">
        <v>821336</v>
      </c>
    </row>
    <row r="63" spans="1:12" x14ac:dyDescent="0.35">
      <c r="A63">
        <v>2025</v>
      </c>
      <c r="B63">
        <v>3</v>
      </c>
      <c r="C63" t="s">
        <v>66</v>
      </c>
      <c r="D63" t="s">
        <v>301</v>
      </c>
      <c r="E63" t="s">
        <v>261</v>
      </c>
      <c r="F63">
        <v>8</v>
      </c>
      <c r="G63">
        <v>937930</v>
      </c>
      <c r="H63">
        <v>937617</v>
      </c>
      <c r="I63">
        <v>917617</v>
      </c>
      <c r="J63">
        <v>960117</v>
      </c>
      <c r="K63">
        <v>937617</v>
      </c>
      <c r="L63">
        <v>937617</v>
      </c>
    </row>
    <row r="64" spans="1:12" x14ac:dyDescent="0.35">
      <c r="A64">
        <v>2025</v>
      </c>
      <c r="B64">
        <v>3</v>
      </c>
      <c r="C64" t="s">
        <v>66</v>
      </c>
      <c r="D64" t="s">
        <v>301</v>
      </c>
      <c r="E64" t="s">
        <v>263</v>
      </c>
      <c r="F64">
        <v>9</v>
      </c>
      <c r="G64">
        <v>1058614</v>
      </c>
      <c r="H64">
        <v>1099723</v>
      </c>
      <c r="I64">
        <v>926240</v>
      </c>
      <c r="J64">
        <v>1099723</v>
      </c>
      <c r="K64">
        <v>1016239</v>
      </c>
      <c r="L64">
        <v>1099723</v>
      </c>
    </row>
    <row r="65" spans="1:12" x14ac:dyDescent="0.35">
      <c r="A65">
        <v>2025</v>
      </c>
      <c r="B65">
        <v>4</v>
      </c>
      <c r="C65" t="s">
        <v>67</v>
      </c>
      <c r="D65" t="s">
        <v>301</v>
      </c>
      <c r="E65" t="s">
        <v>257</v>
      </c>
      <c r="F65">
        <v>33</v>
      </c>
      <c r="G65">
        <v>600315</v>
      </c>
      <c r="H65">
        <v>621038</v>
      </c>
      <c r="I65">
        <v>557946</v>
      </c>
      <c r="J65">
        <v>643538</v>
      </c>
      <c r="K65">
        <v>565446</v>
      </c>
      <c r="L65">
        <v>628538</v>
      </c>
    </row>
    <row r="66" spans="1:12" x14ac:dyDescent="0.35">
      <c r="A66">
        <v>2025</v>
      </c>
      <c r="B66">
        <v>4</v>
      </c>
      <c r="C66" t="s">
        <v>67</v>
      </c>
      <c r="D66" t="s">
        <v>301</v>
      </c>
      <c r="E66" t="s">
        <v>259</v>
      </c>
      <c r="F66">
        <v>22</v>
      </c>
      <c r="G66">
        <v>787867</v>
      </c>
      <c r="H66">
        <v>797844</v>
      </c>
      <c r="I66">
        <v>671976</v>
      </c>
      <c r="J66">
        <v>828836</v>
      </c>
      <c r="K66">
        <v>766853</v>
      </c>
      <c r="L66">
        <v>821336</v>
      </c>
    </row>
    <row r="67" spans="1:12" x14ac:dyDescent="0.35">
      <c r="A67">
        <v>2025</v>
      </c>
      <c r="B67">
        <v>4</v>
      </c>
      <c r="C67" t="s">
        <v>67</v>
      </c>
      <c r="D67" t="s">
        <v>301</v>
      </c>
      <c r="E67" t="s">
        <v>261</v>
      </c>
      <c r="F67">
        <v>53</v>
      </c>
      <c r="G67">
        <v>939078</v>
      </c>
      <c r="H67">
        <v>945117</v>
      </c>
      <c r="I67">
        <v>811584</v>
      </c>
      <c r="J67">
        <v>967617</v>
      </c>
      <c r="K67">
        <v>937617</v>
      </c>
      <c r="L67">
        <v>952617</v>
      </c>
    </row>
    <row r="68" spans="1:12" x14ac:dyDescent="0.35">
      <c r="A68">
        <v>2025</v>
      </c>
      <c r="B68">
        <v>4</v>
      </c>
      <c r="C68" t="s">
        <v>67</v>
      </c>
      <c r="D68" t="s">
        <v>301</v>
      </c>
      <c r="E68" t="s">
        <v>263</v>
      </c>
      <c r="F68">
        <v>8</v>
      </c>
      <c r="G68">
        <v>1075161</v>
      </c>
      <c r="H68">
        <v>1099723</v>
      </c>
      <c r="I68">
        <v>986708</v>
      </c>
      <c r="J68">
        <v>1099723</v>
      </c>
      <c r="K68">
        <v>1099723</v>
      </c>
      <c r="L68">
        <v>1099723</v>
      </c>
    </row>
    <row r="69" spans="1:12" x14ac:dyDescent="0.35">
      <c r="A69">
        <v>2025</v>
      </c>
      <c r="B69">
        <v>5</v>
      </c>
      <c r="C69" t="s">
        <v>68</v>
      </c>
      <c r="D69" t="s">
        <v>301</v>
      </c>
      <c r="E69" t="s">
        <v>257</v>
      </c>
      <c r="F69">
        <v>34</v>
      </c>
      <c r="G69">
        <v>588467</v>
      </c>
      <c r="H69">
        <v>572947</v>
      </c>
      <c r="I69">
        <v>557946</v>
      </c>
      <c r="J69">
        <v>643538</v>
      </c>
      <c r="K69">
        <v>557947</v>
      </c>
      <c r="L69">
        <v>621038</v>
      </c>
    </row>
    <row r="70" spans="1:12" x14ac:dyDescent="0.35">
      <c r="A70">
        <v>2025</v>
      </c>
      <c r="B70">
        <v>5</v>
      </c>
      <c r="C70" t="s">
        <v>68</v>
      </c>
      <c r="D70" t="s">
        <v>301</v>
      </c>
      <c r="E70" t="s">
        <v>259</v>
      </c>
      <c r="F70">
        <v>10</v>
      </c>
      <c r="G70">
        <v>784710</v>
      </c>
      <c r="H70">
        <v>774415</v>
      </c>
      <c r="I70">
        <v>766853</v>
      </c>
      <c r="J70">
        <v>821336</v>
      </c>
      <c r="K70">
        <v>766853</v>
      </c>
      <c r="L70">
        <v>813835</v>
      </c>
    </row>
    <row r="71" spans="1:12" x14ac:dyDescent="0.35">
      <c r="A71">
        <v>2025</v>
      </c>
      <c r="B71">
        <v>5</v>
      </c>
      <c r="C71" t="s">
        <v>68</v>
      </c>
      <c r="D71" t="s">
        <v>301</v>
      </c>
      <c r="E71" t="s">
        <v>261</v>
      </c>
      <c r="F71">
        <v>40</v>
      </c>
      <c r="G71">
        <v>944430</v>
      </c>
      <c r="H71">
        <v>945117</v>
      </c>
      <c r="I71">
        <v>917617</v>
      </c>
      <c r="J71">
        <v>967617</v>
      </c>
      <c r="K71">
        <v>937617</v>
      </c>
      <c r="L71">
        <v>952617</v>
      </c>
    </row>
    <row r="72" spans="1:12" x14ac:dyDescent="0.35">
      <c r="A72">
        <v>2025</v>
      </c>
      <c r="B72">
        <v>5</v>
      </c>
      <c r="C72" t="s">
        <v>68</v>
      </c>
      <c r="D72" t="s">
        <v>301</v>
      </c>
      <c r="E72" t="s">
        <v>263</v>
      </c>
      <c r="F72">
        <v>10</v>
      </c>
      <c r="G72">
        <v>1088422</v>
      </c>
      <c r="H72">
        <v>1099723</v>
      </c>
      <c r="I72">
        <v>986708</v>
      </c>
      <c r="J72">
        <v>1099725</v>
      </c>
      <c r="K72">
        <v>1099723</v>
      </c>
      <c r="L72">
        <v>1099723</v>
      </c>
    </row>
    <row r="73" spans="1:12" x14ac:dyDescent="0.35">
      <c r="A73">
        <v>2025</v>
      </c>
      <c r="B73">
        <v>6</v>
      </c>
      <c r="C73" t="s">
        <v>69</v>
      </c>
      <c r="D73" t="s">
        <v>301</v>
      </c>
      <c r="E73" t="s">
        <v>257</v>
      </c>
      <c r="F73">
        <v>40</v>
      </c>
      <c r="G73">
        <v>593681</v>
      </c>
      <c r="H73">
        <v>580446</v>
      </c>
      <c r="I73">
        <v>557946</v>
      </c>
      <c r="J73">
        <v>643538</v>
      </c>
      <c r="K73">
        <v>557947</v>
      </c>
      <c r="L73">
        <v>621038</v>
      </c>
    </row>
    <row r="74" spans="1:12" x14ac:dyDescent="0.35">
      <c r="A74">
        <v>2025</v>
      </c>
      <c r="B74">
        <v>6</v>
      </c>
      <c r="C74" t="s">
        <v>69</v>
      </c>
      <c r="D74" t="s">
        <v>301</v>
      </c>
      <c r="E74" t="s">
        <v>259</v>
      </c>
      <c r="F74">
        <v>16</v>
      </c>
      <c r="G74">
        <v>802311</v>
      </c>
      <c r="H74">
        <v>813836</v>
      </c>
      <c r="I74">
        <v>766853</v>
      </c>
      <c r="J74">
        <v>828836</v>
      </c>
      <c r="K74">
        <v>774353</v>
      </c>
      <c r="L74">
        <v>821336</v>
      </c>
    </row>
    <row r="75" spans="1:12" x14ac:dyDescent="0.35">
      <c r="A75">
        <v>2025</v>
      </c>
      <c r="B75">
        <v>6</v>
      </c>
      <c r="C75" t="s">
        <v>69</v>
      </c>
      <c r="D75" t="s">
        <v>301</v>
      </c>
      <c r="E75" t="s">
        <v>261</v>
      </c>
      <c r="F75">
        <v>36</v>
      </c>
      <c r="G75">
        <v>942686</v>
      </c>
      <c r="H75">
        <v>937617</v>
      </c>
      <c r="I75">
        <v>917617</v>
      </c>
      <c r="J75">
        <v>967617</v>
      </c>
      <c r="K75">
        <v>937617</v>
      </c>
      <c r="L75">
        <v>945117</v>
      </c>
    </row>
    <row r="76" spans="1:12" x14ac:dyDescent="0.35">
      <c r="A76">
        <v>2025</v>
      </c>
      <c r="B76">
        <v>6</v>
      </c>
      <c r="C76" t="s">
        <v>69</v>
      </c>
      <c r="D76" t="s">
        <v>301</v>
      </c>
      <c r="E76" t="s">
        <v>263</v>
      </c>
      <c r="F76">
        <v>3</v>
      </c>
      <c r="G76">
        <v>1099723</v>
      </c>
      <c r="H76">
        <v>1099723</v>
      </c>
      <c r="I76">
        <v>1099723</v>
      </c>
      <c r="J76">
        <v>1099723</v>
      </c>
      <c r="K76">
        <v>1099723</v>
      </c>
      <c r="L76">
        <v>1099723</v>
      </c>
    </row>
    <row r="77" spans="1:12" x14ac:dyDescent="0.35">
      <c r="A77">
        <v>2025</v>
      </c>
      <c r="B77">
        <v>7</v>
      </c>
      <c r="C77" t="s">
        <v>70</v>
      </c>
      <c r="D77" t="s">
        <v>301</v>
      </c>
      <c r="E77" t="s">
        <v>257</v>
      </c>
      <c r="F77">
        <v>49</v>
      </c>
      <c r="G77">
        <v>599293</v>
      </c>
      <c r="H77">
        <v>621038</v>
      </c>
      <c r="I77">
        <v>557946</v>
      </c>
      <c r="J77">
        <v>643538</v>
      </c>
      <c r="K77">
        <v>557947</v>
      </c>
      <c r="L77">
        <v>628538</v>
      </c>
    </row>
    <row r="78" spans="1:12" x14ac:dyDescent="0.35">
      <c r="A78">
        <v>2025</v>
      </c>
      <c r="B78">
        <v>7</v>
      </c>
      <c r="C78" t="s">
        <v>70</v>
      </c>
      <c r="D78" t="s">
        <v>301</v>
      </c>
      <c r="E78" t="s">
        <v>259</v>
      </c>
      <c r="F78">
        <v>17</v>
      </c>
      <c r="G78">
        <v>802548</v>
      </c>
      <c r="H78">
        <v>813836</v>
      </c>
      <c r="I78">
        <v>766853</v>
      </c>
      <c r="J78">
        <v>828836</v>
      </c>
      <c r="K78">
        <v>774353</v>
      </c>
      <c r="L78">
        <v>821336</v>
      </c>
    </row>
    <row r="79" spans="1:12" x14ac:dyDescent="0.35">
      <c r="A79">
        <v>2025</v>
      </c>
      <c r="B79">
        <v>7</v>
      </c>
      <c r="C79" t="s">
        <v>70</v>
      </c>
      <c r="D79" t="s">
        <v>301</v>
      </c>
      <c r="E79" t="s">
        <v>261</v>
      </c>
      <c r="F79">
        <v>41</v>
      </c>
      <c r="G79">
        <v>942434</v>
      </c>
      <c r="H79">
        <v>937617</v>
      </c>
      <c r="I79">
        <v>917617</v>
      </c>
      <c r="J79">
        <v>960117</v>
      </c>
      <c r="K79">
        <v>937617</v>
      </c>
      <c r="L79">
        <v>952617</v>
      </c>
    </row>
    <row r="80" spans="1:12" x14ac:dyDescent="0.35">
      <c r="A80">
        <v>2025</v>
      </c>
      <c r="B80">
        <v>7</v>
      </c>
      <c r="C80" t="s">
        <v>70</v>
      </c>
      <c r="D80" t="s">
        <v>301</v>
      </c>
      <c r="E80" t="s">
        <v>263</v>
      </c>
      <c r="F80">
        <v>9</v>
      </c>
      <c r="G80">
        <v>1099723</v>
      </c>
      <c r="H80">
        <v>1099723</v>
      </c>
      <c r="I80">
        <v>1099723</v>
      </c>
      <c r="J80">
        <v>1099725</v>
      </c>
      <c r="K80">
        <v>1099723</v>
      </c>
      <c r="L80">
        <v>1099723</v>
      </c>
    </row>
    <row r="81" spans="1:12" x14ac:dyDescent="0.35">
      <c r="A81">
        <v>2025</v>
      </c>
      <c r="B81">
        <v>8</v>
      </c>
      <c r="C81" t="s">
        <v>71</v>
      </c>
      <c r="D81" t="s">
        <v>301</v>
      </c>
      <c r="E81" t="s">
        <v>257</v>
      </c>
      <c r="F81">
        <v>51</v>
      </c>
      <c r="G81">
        <v>600293</v>
      </c>
      <c r="H81">
        <v>621038</v>
      </c>
      <c r="I81">
        <v>557946</v>
      </c>
      <c r="J81">
        <v>643538</v>
      </c>
      <c r="K81">
        <v>565446</v>
      </c>
      <c r="L81">
        <v>628538</v>
      </c>
    </row>
    <row r="82" spans="1:12" x14ac:dyDescent="0.35">
      <c r="A82">
        <v>2025</v>
      </c>
      <c r="B82">
        <v>8</v>
      </c>
      <c r="C82" t="s">
        <v>71</v>
      </c>
      <c r="D82" t="s">
        <v>301</v>
      </c>
      <c r="E82" t="s">
        <v>259</v>
      </c>
      <c r="F82">
        <v>17</v>
      </c>
      <c r="G82">
        <v>802548</v>
      </c>
      <c r="H82">
        <v>813836</v>
      </c>
      <c r="I82">
        <v>766853</v>
      </c>
      <c r="J82">
        <v>828836</v>
      </c>
      <c r="K82">
        <v>774353</v>
      </c>
      <c r="L82">
        <v>821336</v>
      </c>
    </row>
    <row r="83" spans="1:12" x14ac:dyDescent="0.35">
      <c r="A83">
        <v>2025</v>
      </c>
      <c r="B83">
        <v>8</v>
      </c>
      <c r="C83" t="s">
        <v>71</v>
      </c>
      <c r="D83" t="s">
        <v>301</v>
      </c>
      <c r="E83" t="s">
        <v>261</v>
      </c>
      <c r="F83">
        <v>54</v>
      </c>
      <c r="G83">
        <v>941300</v>
      </c>
      <c r="H83">
        <v>945117</v>
      </c>
      <c r="I83">
        <v>826503</v>
      </c>
      <c r="J83">
        <v>967617</v>
      </c>
      <c r="K83">
        <v>937617</v>
      </c>
      <c r="L83">
        <v>952617</v>
      </c>
    </row>
    <row r="84" spans="1:12" x14ac:dyDescent="0.35">
      <c r="A84">
        <v>2025</v>
      </c>
      <c r="B84">
        <v>8</v>
      </c>
      <c r="C84" t="s">
        <v>71</v>
      </c>
      <c r="D84" t="s">
        <v>301</v>
      </c>
      <c r="E84" t="s">
        <v>263</v>
      </c>
      <c r="F84">
        <v>9</v>
      </c>
      <c r="G84">
        <v>1099723</v>
      </c>
      <c r="H84">
        <v>1099723</v>
      </c>
      <c r="I84">
        <v>1099723</v>
      </c>
      <c r="J84">
        <v>1099725</v>
      </c>
      <c r="K84">
        <v>1099723</v>
      </c>
      <c r="L84">
        <v>1099723</v>
      </c>
    </row>
    <row r="85" spans="1:12" x14ac:dyDescent="0.35">
      <c r="A85">
        <v>2025</v>
      </c>
      <c r="B85">
        <v>9</v>
      </c>
      <c r="C85" t="s">
        <v>72</v>
      </c>
      <c r="D85" t="s">
        <v>301</v>
      </c>
      <c r="E85" t="s">
        <v>257</v>
      </c>
      <c r="F85">
        <v>50</v>
      </c>
      <c r="G85">
        <v>600628</v>
      </c>
      <c r="H85">
        <v>621038</v>
      </c>
      <c r="I85">
        <v>557946</v>
      </c>
      <c r="J85">
        <v>643538</v>
      </c>
      <c r="K85">
        <v>565446</v>
      </c>
      <c r="L85">
        <v>628538</v>
      </c>
    </row>
    <row r="86" spans="1:12" x14ac:dyDescent="0.35">
      <c r="A86">
        <v>2025</v>
      </c>
      <c r="B86">
        <v>9</v>
      </c>
      <c r="C86" t="s">
        <v>72</v>
      </c>
      <c r="D86" t="s">
        <v>301</v>
      </c>
      <c r="E86" t="s">
        <v>259</v>
      </c>
      <c r="F86">
        <v>16</v>
      </c>
      <c r="G86">
        <v>804310</v>
      </c>
      <c r="H86">
        <v>813836</v>
      </c>
      <c r="I86">
        <v>766853</v>
      </c>
      <c r="J86">
        <v>828836</v>
      </c>
      <c r="K86">
        <v>781853</v>
      </c>
      <c r="L86">
        <v>821336</v>
      </c>
    </row>
    <row r="87" spans="1:12" x14ac:dyDescent="0.35">
      <c r="A87">
        <v>2025</v>
      </c>
      <c r="B87">
        <v>9</v>
      </c>
      <c r="C87" t="s">
        <v>72</v>
      </c>
      <c r="D87" t="s">
        <v>301</v>
      </c>
      <c r="E87" t="s">
        <v>261</v>
      </c>
      <c r="F87">
        <v>54</v>
      </c>
      <c r="G87">
        <v>939105</v>
      </c>
      <c r="H87">
        <v>945117</v>
      </c>
      <c r="I87">
        <v>819084</v>
      </c>
      <c r="J87">
        <v>967617</v>
      </c>
      <c r="K87">
        <v>937617</v>
      </c>
      <c r="L87">
        <v>952617</v>
      </c>
    </row>
    <row r="88" spans="1:12" x14ac:dyDescent="0.35">
      <c r="A88">
        <v>2025</v>
      </c>
      <c r="B88">
        <v>9</v>
      </c>
      <c r="C88" t="s">
        <v>72</v>
      </c>
      <c r="D88" t="s">
        <v>301</v>
      </c>
      <c r="E88" t="s">
        <v>263</v>
      </c>
      <c r="F88">
        <v>9</v>
      </c>
      <c r="G88">
        <v>1080447</v>
      </c>
      <c r="H88">
        <v>1099723</v>
      </c>
      <c r="I88">
        <v>926240</v>
      </c>
      <c r="J88">
        <v>1099725</v>
      </c>
      <c r="K88">
        <v>1099723</v>
      </c>
      <c r="L88">
        <v>1099723</v>
      </c>
    </row>
    <row r="89" spans="1:12" x14ac:dyDescent="0.35">
      <c r="A89">
        <v>2025</v>
      </c>
      <c r="B89">
        <v>10</v>
      </c>
      <c r="C89" t="s">
        <v>73</v>
      </c>
      <c r="D89" t="s">
        <v>301</v>
      </c>
      <c r="E89" t="s">
        <v>257</v>
      </c>
      <c r="F89">
        <v>49</v>
      </c>
      <c r="G89">
        <v>600364</v>
      </c>
      <c r="H89">
        <v>621038</v>
      </c>
      <c r="I89">
        <v>557946</v>
      </c>
      <c r="J89">
        <v>643538</v>
      </c>
      <c r="K89">
        <v>565447</v>
      </c>
      <c r="L89">
        <v>628538</v>
      </c>
    </row>
    <row r="90" spans="1:12" x14ac:dyDescent="0.35">
      <c r="A90">
        <v>2025</v>
      </c>
      <c r="B90">
        <v>10</v>
      </c>
      <c r="C90" t="s">
        <v>73</v>
      </c>
      <c r="D90" t="s">
        <v>301</v>
      </c>
      <c r="E90" t="s">
        <v>259</v>
      </c>
      <c r="F90">
        <v>7</v>
      </c>
      <c r="G90">
        <v>785632</v>
      </c>
      <c r="H90">
        <v>766853</v>
      </c>
      <c r="I90">
        <v>766851</v>
      </c>
      <c r="J90">
        <v>828835</v>
      </c>
      <c r="K90">
        <v>766851</v>
      </c>
      <c r="L90">
        <v>813835</v>
      </c>
    </row>
    <row r="91" spans="1:12" x14ac:dyDescent="0.35">
      <c r="A91">
        <v>2025</v>
      </c>
      <c r="B91">
        <v>10</v>
      </c>
      <c r="C91" t="s">
        <v>73</v>
      </c>
      <c r="D91" t="s">
        <v>301</v>
      </c>
      <c r="E91" t="s">
        <v>261</v>
      </c>
      <c r="F91">
        <v>76</v>
      </c>
      <c r="G91">
        <v>937654</v>
      </c>
      <c r="H91">
        <v>945116</v>
      </c>
      <c r="I91">
        <v>804082</v>
      </c>
      <c r="J91">
        <v>967617</v>
      </c>
      <c r="K91">
        <v>937616</v>
      </c>
      <c r="L91">
        <v>952616</v>
      </c>
    </row>
    <row r="92" spans="1:12" x14ac:dyDescent="0.35">
      <c r="A92">
        <v>2025</v>
      </c>
      <c r="B92">
        <v>10</v>
      </c>
      <c r="C92" t="s">
        <v>73</v>
      </c>
      <c r="D92" t="s">
        <v>301</v>
      </c>
      <c r="E92" t="s">
        <v>263</v>
      </c>
      <c r="F92">
        <v>10</v>
      </c>
      <c r="G92">
        <v>1082375</v>
      </c>
      <c r="H92">
        <v>1099723</v>
      </c>
      <c r="I92">
        <v>926240</v>
      </c>
      <c r="J92">
        <v>1099725</v>
      </c>
      <c r="K92">
        <v>1099723</v>
      </c>
      <c r="L92">
        <v>1099723</v>
      </c>
    </row>
    <row r="93" spans="1:12" x14ac:dyDescent="0.35">
      <c r="A93">
        <v>2025</v>
      </c>
      <c r="B93">
        <v>11</v>
      </c>
      <c r="C93" t="s">
        <v>74</v>
      </c>
      <c r="D93" t="s">
        <v>301</v>
      </c>
      <c r="E93" t="s">
        <v>257</v>
      </c>
      <c r="F93">
        <v>46</v>
      </c>
      <c r="G93">
        <v>597545</v>
      </c>
      <c r="H93">
        <v>621038</v>
      </c>
      <c r="I93">
        <v>520287</v>
      </c>
      <c r="J93">
        <v>643538</v>
      </c>
      <c r="K93">
        <v>565446</v>
      </c>
      <c r="L93">
        <v>628538</v>
      </c>
    </row>
    <row r="94" spans="1:12" x14ac:dyDescent="0.35">
      <c r="A94">
        <v>2025</v>
      </c>
      <c r="B94">
        <v>11</v>
      </c>
      <c r="C94" t="s">
        <v>74</v>
      </c>
      <c r="D94" t="s">
        <v>301</v>
      </c>
      <c r="E94" t="s">
        <v>259</v>
      </c>
      <c r="F94">
        <v>8</v>
      </c>
      <c r="G94">
        <v>789158</v>
      </c>
      <c r="H94">
        <v>778102</v>
      </c>
      <c r="I94">
        <v>766851</v>
      </c>
      <c r="J94">
        <v>828835</v>
      </c>
      <c r="K94">
        <v>766851</v>
      </c>
      <c r="L94">
        <v>813835</v>
      </c>
    </row>
    <row r="95" spans="1:12" x14ac:dyDescent="0.35">
      <c r="A95">
        <v>2025</v>
      </c>
      <c r="B95">
        <v>11</v>
      </c>
      <c r="C95" t="s">
        <v>74</v>
      </c>
      <c r="D95" t="s">
        <v>301</v>
      </c>
      <c r="E95" t="s">
        <v>261</v>
      </c>
      <c r="F95">
        <v>73</v>
      </c>
      <c r="G95">
        <v>938971</v>
      </c>
      <c r="H95">
        <v>945117</v>
      </c>
      <c r="I95">
        <v>804082</v>
      </c>
      <c r="J95">
        <v>967617</v>
      </c>
      <c r="K95">
        <v>937616</v>
      </c>
      <c r="L95">
        <v>952616</v>
      </c>
    </row>
    <row r="96" spans="1:12" x14ac:dyDescent="0.35">
      <c r="A96">
        <v>2025</v>
      </c>
      <c r="B96">
        <v>11</v>
      </c>
      <c r="C96" t="s">
        <v>74</v>
      </c>
      <c r="D96" t="s">
        <v>301</v>
      </c>
      <c r="E96" t="s">
        <v>263</v>
      </c>
      <c r="F96">
        <v>10</v>
      </c>
      <c r="G96">
        <v>1082375</v>
      </c>
      <c r="H96">
        <v>1099723</v>
      </c>
      <c r="I96">
        <v>926240</v>
      </c>
      <c r="J96">
        <v>1099725</v>
      </c>
      <c r="K96">
        <v>1099723</v>
      </c>
      <c r="L96">
        <v>1099723</v>
      </c>
    </row>
    <row r="97" spans="1:12" x14ac:dyDescent="0.35">
      <c r="A97">
        <v>2025</v>
      </c>
      <c r="B97">
        <v>12</v>
      </c>
      <c r="C97" t="s">
        <v>75</v>
      </c>
      <c r="D97" t="s">
        <v>301</v>
      </c>
      <c r="E97" t="s">
        <v>257</v>
      </c>
      <c r="F97">
        <v>44</v>
      </c>
      <c r="G97">
        <v>593506</v>
      </c>
      <c r="H97">
        <v>580447</v>
      </c>
      <c r="I97">
        <v>512789</v>
      </c>
      <c r="J97">
        <v>643538</v>
      </c>
      <c r="K97">
        <v>557947</v>
      </c>
      <c r="L97">
        <v>621038</v>
      </c>
    </row>
    <row r="98" spans="1:12" x14ac:dyDescent="0.35">
      <c r="A98">
        <v>2025</v>
      </c>
      <c r="B98">
        <v>12</v>
      </c>
      <c r="C98" t="s">
        <v>75</v>
      </c>
      <c r="D98" t="s">
        <v>301</v>
      </c>
      <c r="E98" t="s">
        <v>259</v>
      </c>
      <c r="F98">
        <v>10</v>
      </c>
      <c r="G98">
        <v>794843</v>
      </c>
      <c r="H98">
        <v>801593</v>
      </c>
      <c r="I98">
        <v>766851</v>
      </c>
      <c r="J98">
        <v>828835</v>
      </c>
      <c r="K98">
        <v>766851</v>
      </c>
      <c r="L98">
        <v>813836</v>
      </c>
    </row>
    <row r="99" spans="1:12" x14ac:dyDescent="0.35">
      <c r="A99">
        <v>2025</v>
      </c>
      <c r="B99">
        <v>12</v>
      </c>
      <c r="C99" t="s">
        <v>75</v>
      </c>
      <c r="D99" t="s">
        <v>301</v>
      </c>
      <c r="E99" t="s">
        <v>261</v>
      </c>
      <c r="F99">
        <v>70</v>
      </c>
      <c r="G99">
        <v>938279</v>
      </c>
      <c r="H99">
        <v>945116</v>
      </c>
      <c r="I99">
        <v>804082</v>
      </c>
      <c r="J99">
        <v>967617</v>
      </c>
      <c r="K99">
        <v>937616</v>
      </c>
      <c r="L99">
        <v>952616</v>
      </c>
    </row>
    <row r="100" spans="1:12" x14ac:dyDescent="0.35">
      <c r="A100">
        <v>2025</v>
      </c>
      <c r="B100">
        <v>12</v>
      </c>
      <c r="C100" t="s">
        <v>75</v>
      </c>
      <c r="D100" t="s">
        <v>301</v>
      </c>
      <c r="E100" t="s">
        <v>263</v>
      </c>
      <c r="F100">
        <v>10</v>
      </c>
      <c r="G100">
        <v>1082375</v>
      </c>
      <c r="H100">
        <v>1099723</v>
      </c>
      <c r="I100">
        <v>926240</v>
      </c>
      <c r="J100">
        <v>1099725</v>
      </c>
      <c r="K100">
        <v>1099723</v>
      </c>
      <c r="L100">
        <v>1099723</v>
      </c>
    </row>
  </sheetData>
  <mergeCells count="1">
    <mergeCell ref="A1:L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303</v>
      </c>
      <c r="E5" t="s">
        <v>263</v>
      </c>
      <c r="F5">
        <v>370</v>
      </c>
      <c r="G5">
        <v>801836</v>
      </c>
      <c r="H5">
        <v>764600</v>
      </c>
      <c r="I5">
        <v>686976</v>
      </c>
      <c r="J5">
        <v>963739</v>
      </c>
      <c r="K5">
        <v>725116</v>
      </c>
      <c r="L5">
        <v>896706</v>
      </c>
    </row>
    <row r="6" spans="1:12" x14ac:dyDescent="0.35">
      <c r="A6">
        <v>2024</v>
      </c>
      <c r="B6">
        <v>2</v>
      </c>
      <c r="C6" t="s">
        <v>63</v>
      </c>
      <c r="D6" t="s">
        <v>303</v>
      </c>
      <c r="E6" t="s">
        <v>263</v>
      </c>
      <c r="F6">
        <v>418</v>
      </c>
      <c r="G6">
        <v>805339</v>
      </c>
      <c r="H6">
        <v>804082</v>
      </c>
      <c r="I6">
        <v>686976</v>
      </c>
      <c r="J6">
        <v>1001091</v>
      </c>
      <c r="K6">
        <v>725116</v>
      </c>
      <c r="L6">
        <v>896706</v>
      </c>
    </row>
    <row r="7" spans="1:12" x14ac:dyDescent="0.35">
      <c r="A7">
        <v>2024</v>
      </c>
      <c r="B7">
        <v>3</v>
      </c>
      <c r="C7" t="s">
        <v>66</v>
      </c>
      <c r="D7" t="s">
        <v>303</v>
      </c>
      <c r="E7" t="s">
        <v>263</v>
      </c>
      <c r="F7">
        <v>578</v>
      </c>
      <c r="G7">
        <v>924979</v>
      </c>
      <c r="H7">
        <v>896706</v>
      </c>
      <c r="I7">
        <v>686976</v>
      </c>
      <c r="J7">
        <v>1406212</v>
      </c>
      <c r="K7">
        <v>849723</v>
      </c>
      <c r="L7">
        <v>971465</v>
      </c>
    </row>
    <row r="8" spans="1:12" x14ac:dyDescent="0.35">
      <c r="A8">
        <v>2024</v>
      </c>
      <c r="B8">
        <v>4</v>
      </c>
      <c r="C8" t="s">
        <v>67</v>
      </c>
      <c r="D8" t="s">
        <v>303</v>
      </c>
      <c r="E8" t="s">
        <v>263</v>
      </c>
      <c r="F8">
        <v>417</v>
      </c>
      <c r="G8">
        <v>806632</v>
      </c>
      <c r="H8">
        <v>804082</v>
      </c>
      <c r="I8">
        <v>686976</v>
      </c>
      <c r="J8">
        <v>1341172</v>
      </c>
      <c r="K8">
        <v>725116</v>
      </c>
      <c r="L8">
        <v>896706</v>
      </c>
    </row>
    <row r="9" spans="1:12" x14ac:dyDescent="0.35">
      <c r="A9">
        <v>2024</v>
      </c>
      <c r="B9">
        <v>5</v>
      </c>
      <c r="C9" t="s">
        <v>68</v>
      </c>
      <c r="D9" t="s">
        <v>303</v>
      </c>
      <c r="E9" t="s">
        <v>263</v>
      </c>
      <c r="F9">
        <v>412</v>
      </c>
      <c r="G9">
        <v>806294</v>
      </c>
      <c r="H9">
        <v>804082</v>
      </c>
      <c r="I9">
        <v>686976</v>
      </c>
      <c r="J9">
        <v>1419928</v>
      </c>
      <c r="K9">
        <v>725116</v>
      </c>
      <c r="L9">
        <v>896706</v>
      </c>
    </row>
    <row r="10" spans="1:12" x14ac:dyDescent="0.35">
      <c r="A10">
        <v>2024</v>
      </c>
      <c r="B10">
        <v>6</v>
      </c>
      <c r="C10" t="s">
        <v>69</v>
      </c>
      <c r="D10" t="s">
        <v>303</v>
      </c>
      <c r="E10" t="s">
        <v>263</v>
      </c>
      <c r="F10">
        <v>430</v>
      </c>
      <c r="G10">
        <v>801659</v>
      </c>
      <c r="H10">
        <v>794599</v>
      </c>
      <c r="I10">
        <v>686976</v>
      </c>
      <c r="J10">
        <v>1001091</v>
      </c>
      <c r="K10">
        <v>718403</v>
      </c>
      <c r="L10">
        <v>896706</v>
      </c>
    </row>
    <row r="11" spans="1:12" x14ac:dyDescent="0.35">
      <c r="A11">
        <v>2024</v>
      </c>
      <c r="B11">
        <v>7</v>
      </c>
      <c r="C11" t="s">
        <v>70</v>
      </c>
      <c r="D11" t="s">
        <v>303</v>
      </c>
      <c r="E11" t="s">
        <v>263</v>
      </c>
      <c r="F11">
        <v>439</v>
      </c>
      <c r="G11">
        <v>804310</v>
      </c>
      <c r="H11">
        <v>794599</v>
      </c>
      <c r="I11">
        <v>686976</v>
      </c>
      <c r="J11">
        <v>1001091</v>
      </c>
      <c r="K11">
        <v>732616</v>
      </c>
      <c r="L11">
        <v>896706</v>
      </c>
    </row>
    <row r="12" spans="1:12" x14ac:dyDescent="0.35">
      <c r="A12">
        <v>2024</v>
      </c>
      <c r="B12">
        <v>8</v>
      </c>
      <c r="C12" t="s">
        <v>71</v>
      </c>
      <c r="D12" t="s">
        <v>303</v>
      </c>
      <c r="E12" t="s">
        <v>263</v>
      </c>
      <c r="F12">
        <v>417</v>
      </c>
      <c r="G12">
        <v>806890</v>
      </c>
      <c r="H12">
        <v>804082</v>
      </c>
      <c r="I12">
        <v>686976</v>
      </c>
      <c r="J12">
        <v>1368456</v>
      </c>
      <c r="K12">
        <v>725116</v>
      </c>
      <c r="L12">
        <v>896706</v>
      </c>
    </row>
    <row r="13" spans="1:12" x14ac:dyDescent="0.35">
      <c r="A13">
        <v>2024</v>
      </c>
      <c r="B13">
        <v>9</v>
      </c>
      <c r="C13" t="s">
        <v>72</v>
      </c>
      <c r="D13" t="s">
        <v>303</v>
      </c>
      <c r="E13" t="s">
        <v>263</v>
      </c>
      <c r="F13">
        <v>415</v>
      </c>
      <c r="G13">
        <v>806055</v>
      </c>
      <c r="H13">
        <v>804082</v>
      </c>
      <c r="I13">
        <v>686976</v>
      </c>
      <c r="J13">
        <v>1001091</v>
      </c>
      <c r="K13">
        <v>725116</v>
      </c>
      <c r="L13">
        <v>896706</v>
      </c>
    </row>
    <row r="14" spans="1:12" x14ac:dyDescent="0.35">
      <c r="A14">
        <v>2024</v>
      </c>
      <c r="B14">
        <v>10</v>
      </c>
      <c r="C14" t="s">
        <v>73</v>
      </c>
      <c r="D14" t="s">
        <v>303</v>
      </c>
      <c r="E14" t="s">
        <v>263</v>
      </c>
      <c r="F14">
        <v>418</v>
      </c>
      <c r="G14">
        <v>808936</v>
      </c>
      <c r="H14">
        <v>804082</v>
      </c>
      <c r="I14">
        <v>686976</v>
      </c>
      <c r="J14">
        <v>1476407</v>
      </c>
      <c r="K14">
        <v>725116</v>
      </c>
      <c r="L14">
        <v>896706</v>
      </c>
    </row>
    <row r="15" spans="1:12" x14ac:dyDescent="0.35">
      <c r="A15">
        <v>2024</v>
      </c>
      <c r="B15">
        <v>11</v>
      </c>
      <c r="C15" t="s">
        <v>74</v>
      </c>
      <c r="D15" t="s">
        <v>303</v>
      </c>
      <c r="E15" t="s">
        <v>263</v>
      </c>
      <c r="F15">
        <v>418</v>
      </c>
      <c r="G15">
        <v>806336</v>
      </c>
      <c r="H15">
        <v>804082</v>
      </c>
      <c r="I15">
        <v>686976</v>
      </c>
      <c r="J15">
        <v>1018857</v>
      </c>
      <c r="K15">
        <v>725116</v>
      </c>
      <c r="L15">
        <v>896706</v>
      </c>
    </row>
    <row r="16" spans="1:12" x14ac:dyDescent="0.35">
      <c r="A16">
        <v>2024</v>
      </c>
      <c r="B16">
        <v>12</v>
      </c>
      <c r="C16" t="s">
        <v>75</v>
      </c>
      <c r="D16" t="s">
        <v>303</v>
      </c>
      <c r="E16" t="s">
        <v>263</v>
      </c>
      <c r="F16">
        <v>415</v>
      </c>
      <c r="G16">
        <v>804879</v>
      </c>
      <c r="H16">
        <v>804082</v>
      </c>
      <c r="I16">
        <v>686976</v>
      </c>
      <c r="J16">
        <v>1001091</v>
      </c>
      <c r="K16">
        <v>725116</v>
      </c>
      <c r="L16">
        <v>896706</v>
      </c>
    </row>
    <row r="17" spans="1:12" x14ac:dyDescent="0.35">
      <c r="A17">
        <v>2025</v>
      </c>
      <c r="B17">
        <v>1</v>
      </c>
      <c r="C17" t="s">
        <v>42</v>
      </c>
      <c r="D17" t="s">
        <v>303</v>
      </c>
      <c r="E17" t="s">
        <v>263</v>
      </c>
      <c r="F17">
        <v>390</v>
      </c>
      <c r="G17">
        <v>804836</v>
      </c>
      <c r="H17">
        <v>804082</v>
      </c>
      <c r="I17">
        <v>686976</v>
      </c>
      <c r="J17">
        <v>1232733</v>
      </c>
      <c r="K17">
        <v>725116</v>
      </c>
      <c r="L17">
        <v>896706</v>
      </c>
    </row>
    <row r="18" spans="1:12" x14ac:dyDescent="0.35">
      <c r="A18">
        <v>2025</v>
      </c>
      <c r="B18">
        <v>2</v>
      </c>
      <c r="C18" t="s">
        <v>63</v>
      </c>
      <c r="D18" t="s">
        <v>303</v>
      </c>
      <c r="E18" t="s">
        <v>263</v>
      </c>
      <c r="F18">
        <v>390</v>
      </c>
      <c r="G18">
        <v>804571</v>
      </c>
      <c r="H18">
        <v>804082</v>
      </c>
      <c r="I18">
        <v>686976</v>
      </c>
      <c r="J18">
        <v>1226286</v>
      </c>
      <c r="K18">
        <v>725116</v>
      </c>
      <c r="L18">
        <v>896706</v>
      </c>
    </row>
    <row r="19" spans="1:12" x14ac:dyDescent="0.35">
      <c r="A19">
        <v>2025</v>
      </c>
      <c r="B19">
        <v>3</v>
      </c>
      <c r="C19" t="s">
        <v>66</v>
      </c>
      <c r="D19" t="s">
        <v>303</v>
      </c>
      <c r="E19" t="s">
        <v>263</v>
      </c>
      <c r="F19">
        <v>387</v>
      </c>
      <c r="G19">
        <v>802997</v>
      </c>
      <c r="H19">
        <v>804082</v>
      </c>
      <c r="I19">
        <v>686976</v>
      </c>
      <c r="J19">
        <v>1001091</v>
      </c>
      <c r="K19">
        <v>725116</v>
      </c>
      <c r="L19">
        <v>896706</v>
      </c>
    </row>
    <row r="20" spans="1:12" x14ac:dyDescent="0.35">
      <c r="A20">
        <v>2025</v>
      </c>
      <c r="B20">
        <v>4</v>
      </c>
      <c r="C20" t="s">
        <v>67</v>
      </c>
      <c r="D20" t="s">
        <v>303</v>
      </c>
      <c r="E20" t="s">
        <v>263</v>
      </c>
      <c r="F20">
        <v>390</v>
      </c>
      <c r="G20">
        <v>804571</v>
      </c>
      <c r="H20">
        <v>804082</v>
      </c>
      <c r="I20">
        <v>686976</v>
      </c>
      <c r="J20">
        <v>1226286</v>
      </c>
      <c r="K20">
        <v>725116</v>
      </c>
      <c r="L20">
        <v>896706</v>
      </c>
    </row>
    <row r="21" spans="1:12" x14ac:dyDescent="0.35">
      <c r="A21">
        <v>2025</v>
      </c>
      <c r="B21">
        <v>5</v>
      </c>
      <c r="C21" t="s">
        <v>68</v>
      </c>
      <c r="D21" t="s">
        <v>303</v>
      </c>
      <c r="E21" t="s">
        <v>263</v>
      </c>
      <c r="F21">
        <v>387</v>
      </c>
      <c r="G21">
        <v>806473</v>
      </c>
      <c r="H21">
        <v>804082</v>
      </c>
      <c r="I21">
        <v>686976</v>
      </c>
      <c r="J21">
        <v>1419903</v>
      </c>
      <c r="K21">
        <v>725116</v>
      </c>
      <c r="L21">
        <v>896706</v>
      </c>
    </row>
    <row r="22" spans="1:12" x14ac:dyDescent="0.35">
      <c r="A22">
        <v>2025</v>
      </c>
      <c r="B22">
        <v>6</v>
      </c>
      <c r="C22" t="s">
        <v>69</v>
      </c>
      <c r="D22" t="s">
        <v>303</v>
      </c>
      <c r="E22" t="s">
        <v>263</v>
      </c>
      <c r="F22">
        <v>385</v>
      </c>
      <c r="G22">
        <v>803267</v>
      </c>
      <c r="H22">
        <v>804082</v>
      </c>
      <c r="I22">
        <v>686976</v>
      </c>
      <c r="J22">
        <v>1001091</v>
      </c>
      <c r="K22">
        <v>725116</v>
      </c>
      <c r="L22">
        <v>896706</v>
      </c>
    </row>
    <row r="23" spans="1:12" x14ac:dyDescent="0.35">
      <c r="A23">
        <v>2025</v>
      </c>
      <c r="B23">
        <v>7</v>
      </c>
      <c r="C23" t="s">
        <v>70</v>
      </c>
      <c r="D23" t="s">
        <v>303</v>
      </c>
      <c r="E23" t="s">
        <v>263</v>
      </c>
      <c r="F23">
        <v>388</v>
      </c>
      <c r="G23">
        <v>810476</v>
      </c>
      <c r="H23">
        <v>804082</v>
      </c>
      <c r="I23">
        <v>686976</v>
      </c>
      <c r="J23">
        <v>1523585</v>
      </c>
      <c r="K23">
        <v>725116</v>
      </c>
      <c r="L23">
        <v>896706</v>
      </c>
    </row>
    <row r="24" spans="1:12" x14ac:dyDescent="0.35">
      <c r="A24">
        <v>2025</v>
      </c>
      <c r="B24">
        <v>8</v>
      </c>
      <c r="C24" t="s">
        <v>71</v>
      </c>
      <c r="D24" t="s">
        <v>303</v>
      </c>
      <c r="E24" t="s">
        <v>263</v>
      </c>
      <c r="F24">
        <v>384</v>
      </c>
      <c r="G24">
        <v>804140</v>
      </c>
      <c r="H24">
        <v>804082</v>
      </c>
      <c r="I24">
        <v>686976</v>
      </c>
      <c r="J24">
        <v>1360573</v>
      </c>
      <c r="K24">
        <v>725116</v>
      </c>
      <c r="L24">
        <v>896706</v>
      </c>
    </row>
    <row r="25" spans="1:12" x14ac:dyDescent="0.35">
      <c r="A25">
        <v>2025</v>
      </c>
      <c r="B25">
        <v>9</v>
      </c>
      <c r="C25" t="s">
        <v>72</v>
      </c>
      <c r="D25" t="s">
        <v>303</v>
      </c>
      <c r="E25" t="s">
        <v>263</v>
      </c>
      <c r="F25">
        <v>392</v>
      </c>
      <c r="G25">
        <v>811812</v>
      </c>
      <c r="H25">
        <v>804082</v>
      </c>
      <c r="I25">
        <v>686976</v>
      </c>
      <c r="J25">
        <v>1435775</v>
      </c>
      <c r="K25">
        <v>725116</v>
      </c>
      <c r="L25">
        <v>896706</v>
      </c>
    </row>
    <row r="26" spans="1:12" x14ac:dyDescent="0.35">
      <c r="A26">
        <v>2025</v>
      </c>
      <c r="B26">
        <v>10</v>
      </c>
      <c r="C26" t="s">
        <v>73</v>
      </c>
      <c r="D26" t="s">
        <v>303</v>
      </c>
      <c r="E26" t="s">
        <v>263</v>
      </c>
      <c r="F26">
        <v>387</v>
      </c>
      <c r="G26">
        <v>804150</v>
      </c>
      <c r="H26">
        <v>804082</v>
      </c>
      <c r="I26">
        <v>686976</v>
      </c>
      <c r="J26">
        <v>1344405</v>
      </c>
      <c r="K26">
        <v>717616</v>
      </c>
      <c r="L26">
        <v>896706</v>
      </c>
    </row>
    <row r="27" spans="1:12" x14ac:dyDescent="0.35">
      <c r="A27">
        <v>2025</v>
      </c>
      <c r="B27">
        <v>11</v>
      </c>
      <c r="C27" t="s">
        <v>74</v>
      </c>
      <c r="D27" t="s">
        <v>303</v>
      </c>
      <c r="E27" t="s">
        <v>263</v>
      </c>
      <c r="F27">
        <v>400</v>
      </c>
      <c r="G27">
        <v>817459</v>
      </c>
      <c r="H27">
        <v>804082</v>
      </c>
      <c r="I27">
        <v>686975</v>
      </c>
      <c r="J27">
        <v>1406370</v>
      </c>
      <c r="K27">
        <v>757099</v>
      </c>
      <c r="L27">
        <v>926238</v>
      </c>
    </row>
    <row r="28" spans="1:12" x14ac:dyDescent="0.35">
      <c r="A28">
        <v>2025</v>
      </c>
      <c r="B28">
        <v>12</v>
      </c>
      <c r="C28" t="s">
        <v>75</v>
      </c>
      <c r="D28" t="s">
        <v>303</v>
      </c>
      <c r="E28" t="s">
        <v>263</v>
      </c>
      <c r="F28">
        <v>400</v>
      </c>
      <c r="G28">
        <v>815972</v>
      </c>
      <c r="H28">
        <v>804082</v>
      </c>
      <c r="I28">
        <v>686975</v>
      </c>
      <c r="J28">
        <v>1001091</v>
      </c>
      <c r="K28">
        <v>757099</v>
      </c>
      <c r="L28">
        <v>926238</v>
      </c>
    </row>
  </sheetData>
  <mergeCells count="1">
    <mergeCell ref="A1:L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100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305</v>
      </c>
      <c r="E5" t="s">
        <v>257</v>
      </c>
      <c r="F5">
        <v>4314</v>
      </c>
      <c r="G5">
        <v>485180</v>
      </c>
      <c r="H5">
        <v>467441</v>
      </c>
      <c r="I5">
        <v>407405</v>
      </c>
      <c r="J5">
        <v>771520</v>
      </c>
      <c r="K5">
        <v>435594</v>
      </c>
      <c r="L5">
        <v>512158</v>
      </c>
    </row>
    <row r="6" spans="1:12" x14ac:dyDescent="0.35">
      <c r="A6">
        <v>2024</v>
      </c>
      <c r="B6">
        <v>1</v>
      </c>
      <c r="C6" t="s">
        <v>42</v>
      </c>
      <c r="D6" t="s">
        <v>305</v>
      </c>
      <c r="E6" t="s">
        <v>259</v>
      </c>
      <c r="F6">
        <v>1501</v>
      </c>
      <c r="G6">
        <v>655493</v>
      </c>
      <c r="H6">
        <v>670558</v>
      </c>
      <c r="I6">
        <v>441936</v>
      </c>
      <c r="J6">
        <v>782443</v>
      </c>
      <c r="K6">
        <v>610201</v>
      </c>
      <c r="L6">
        <v>693058</v>
      </c>
    </row>
    <row r="7" spans="1:12" x14ac:dyDescent="0.35">
      <c r="A7">
        <v>2024</v>
      </c>
      <c r="B7">
        <v>1</v>
      </c>
      <c r="C7" t="s">
        <v>42</v>
      </c>
      <c r="D7" t="s">
        <v>305</v>
      </c>
      <c r="E7" t="s">
        <v>261</v>
      </c>
      <c r="F7">
        <v>362</v>
      </c>
      <c r="G7">
        <v>737370</v>
      </c>
      <c r="H7">
        <v>747997</v>
      </c>
      <c r="I7">
        <v>575804</v>
      </c>
      <c r="J7">
        <v>785497</v>
      </c>
      <c r="K7">
        <v>726987</v>
      </c>
      <c r="L7">
        <v>752997</v>
      </c>
    </row>
    <row r="8" spans="1:12" x14ac:dyDescent="0.35">
      <c r="A8">
        <v>2024</v>
      </c>
      <c r="B8">
        <v>1</v>
      </c>
      <c r="C8" t="s">
        <v>42</v>
      </c>
      <c r="D8" t="s">
        <v>305</v>
      </c>
      <c r="E8" t="s">
        <v>263</v>
      </c>
      <c r="F8">
        <v>10</v>
      </c>
      <c r="G8">
        <v>783748</v>
      </c>
      <c r="H8">
        <v>790652</v>
      </c>
      <c r="I8">
        <v>718330</v>
      </c>
      <c r="J8">
        <v>825535</v>
      </c>
      <c r="K8">
        <v>777529</v>
      </c>
      <c r="L8">
        <v>808035</v>
      </c>
    </row>
    <row r="9" spans="1:12" x14ac:dyDescent="0.35">
      <c r="A9">
        <v>2024</v>
      </c>
      <c r="B9">
        <v>2</v>
      </c>
      <c r="C9" t="s">
        <v>63</v>
      </c>
      <c r="D9" t="s">
        <v>305</v>
      </c>
      <c r="E9" t="s">
        <v>257</v>
      </c>
      <c r="F9">
        <v>4557</v>
      </c>
      <c r="G9">
        <v>480708</v>
      </c>
      <c r="H9">
        <v>462441</v>
      </c>
      <c r="I9">
        <v>407405</v>
      </c>
      <c r="J9">
        <v>774155</v>
      </c>
      <c r="K9">
        <v>429485</v>
      </c>
      <c r="L9">
        <v>507158</v>
      </c>
    </row>
    <row r="10" spans="1:12" x14ac:dyDescent="0.35">
      <c r="A10">
        <v>2024</v>
      </c>
      <c r="B10">
        <v>2</v>
      </c>
      <c r="C10" t="s">
        <v>63</v>
      </c>
      <c r="D10" t="s">
        <v>305</v>
      </c>
      <c r="E10" t="s">
        <v>259</v>
      </c>
      <c r="F10">
        <v>1521</v>
      </c>
      <c r="G10">
        <v>659511</v>
      </c>
      <c r="H10">
        <v>673058</v>
      </c>
      <c r="I10">
        <v>441936</v>
      </c>
      <c r="J10">
        <v>792334</v>
      </c>
      <c r="K10">
        <v>615201</v>
      </c>
      <c r="L10">
        <v>698665</v>
      </c>
    </row>
    <row r="11" spans="1:12" x14ac:dyDescent="0.35">
      <c r="A11">
        <v>2024</v>
      </c>
      <c r="B11">
        <v>2</v>
      </c>
      <c r="C11" t="s">
        <v>63</v>
      </c>
      <c r="D11" t="s">
        <v>305</v>
      </c>
      <c r="E11" t="s">
        <v>261</v>
      </c>
      <c r="F11">
        <v>362</v>
      </c>
      <c r="G11">
        <v>738322</v>
      </c>
      <c r="H11">
        <v>747997</v>
      </c>
      <c r="I11">
        <v>621444</v>
      </c>
      <c r="J11">
        <v>785497</v>
      </c>
      <c r="K11">
        <v>726987</v>
      </c>
      <c r="L11">
        <v>752997</v>
      </c>
    </row>
    <row r="12" spans="1:12" x14ac:dyDescent="0.35">
      <c r="A12">
        <v>2024</v>
      </c>
      <c r="B12">
        <v>2</v>
      </c>
      <c r="C12" t="s">
        <v>63</v>
      </c>
      <c r="D12" t="s">
        <v>305</v>
      </c>
      <c r="E12" t="s">
        <v>263</v>
      </c>
      <c r="F12">
        <v>10</v>
      </c>
      <c r="G12">
        <v>790697</v>
      </c>
      <c r="H12">
        <v>800849</v>
      </c>
      <c r="I12">
        <v>718330</v>
      </c>
      <c r="J12">
        <v>826377</v>
      </c>
      <c r="K12">
        <v>788035</v>
      </c>
      <c r="L12">
        <v>808269</v>
      </c>
    </row>
    <row r="13" spans="1:12" x14ac:dyDescent="0.35">
      <c r="A13">
        <v>2024</v>
      </c>
      <c r="B13">
        <v>3</v>
      </c>
      <c r="C13" t="s">
        <v>66</v>
      </c>
      <c r="D13" t="s">
        <v>305</v>
      </c>
      <c r="E13" t="s">
        <v>257</v>
      </c>
      <c r="F13">
        <v>4566</v>
      </c>
      <c r="G13">
        <v>485465</v>
      </c>
      <c r="H13">
        <v>468094</v>
      </c>
      <c r="I13">
        <v>407405</v>
      </c>
      <c r="J13">
        <v>771520</v>
      </c>
      <c r="K13">
        <v>429485</v>
      </c>
      <c r="L13">
        <v>521322</v>
      </c>
    </row>
    <row r="14" spans="1:12" x14ac:dyDescent="0.35">
      <c r="A14">
        <v>2024</v>
      </c>
      <c r="B14">
        <v>3</v>
      </c>
      <c r="C14" t="s">
        <v>66</v>
      </c>
      <c r="D14" t="s">
        <v>305</v>
      </c>
      <c r="E14" t="s">
        <v>259</v>
      </c>
      <c r="F14">
        <v>1534</v>
      </c>
      <c r="G14">
        <v>655179</v>
      </c>
      <c r="H14">
        <v>670558</v>
      </c>
      <c r="I14">
        <v>441936</v>
      </c>
      <c r="J14">
        <v>782443</v>
      </c>
      <c r="K14">
        <v>607701</v>
      </c>
      <c r="L14">
        <v>693058</v>
      </c>
    </row>
    <row r="15" spans="1:12" x14ac:dyDescent="0.35">
      <c r="A15">
        <v>2024</v>
      </c>
      <c r="B15">
        <v>3</v>
      </c>
      <c r="C15" t="s">
        <v>66</v>
      </c>
      <c r="D15" t="s">
        <v>305</v>
      </c>
      <c r="E15" t="s">
        <v>261</v>
      </c>
      <c r="F15">
        <v>363</v>
      </c>
      <c r="G15">
        <v>737654</v>
      </c>
      <c r="H15">
        <v>747997</v>
      </c>
      <c r="I15">
        <v>601309</v>
      </c>
      <c r="J15">
        <v>785497</v>
      </c>
      <c r="K15">
        <v>728835</v>
      </c>
      <c r="L15">
        <v>752997</v>
      </c>
    </row>
    <row r="16" spans="1:12" x14ac:dyDescent="0.35">
      <c r="A16">
        <v>2024</v>
      </c>
      <c r="B16">
        <v>3</v>
      </c>
      <c r="C16" t="s">
        <v>66</v>
      </c>
      <c r="D16" t="s">
        <v>305</v>
      </c>
      <c r="E16" t="s">
        <v>263</v>
      </c>
      <c r="F16">
        <v>10</v>
      </c>
      <c r="G16">
        <v>786354</v>
      </c>
      <c r="H16">
        <v>798152</v>
      </c>
      <c r="I16">
        <v>718330</v>
      </c>
      <c r="J16">
        <v>825535</v>
      </c>
      <c r="K16">
        <v>788035</v>
      </c>
      <c r="L16">
        <v>808035</v>
      </c>
    </row>
    <row r="17" spans="1:12" x14ac:dyDescent="0.35">
      <c r="A17">
        <v>2024</v>
      </c>
      <c r="B17">
        <v>4</v>
      </c>
      <c r="C17" t="s">
        <v>67</v>
      </c>
      <c r="D17" t="s">
        <v>305</v>
      </c>
      <c r="E17" t="s">
        <v>257</v>
      </c>
      <c r="F17">
        <v>4560</v>
      </c>
      <c r="G17">
        <v>483114</v>
      </c>
      <c r="H17">
        <v>467441</v>
      </c>
      <c r="I17">
        <v>407405</v>
      </c>
      <c r="J17">
        <v>771520</v>
      </c>
      <c r="K17">
        <v>429485</v>
      </c>
      <c r="L17">
        <v>514658</v>
      </c>
    </row>
    <row r="18" spans="1:12" x14ac:dyDescent="0.35">
      <c r="A18">
        <v>2024</v>
      </c>
      <c r="B18">
        <v>4</v>
      </c>
      <c r="C18" t="s">
        <v>67</v>
      </c>
      <c r="D18" t="s">
        <v>305</v>
      </c>
      <c r="E18" t="s">
        <v>259</v>
      </c>
      <c r="F18">
        <v>1589</v>
      </c>
      <c r="G18">
        <v>652325</v>
      </c>
      <c r="H18">
        <v>670558</v>
      </c>
      <c r="I18">
        <v>441936</v>
      </c>
      <c r="J18">
        <v>782443</v>
      </c>
      <c r="K18">
        <v>602701</v>
      </c>
      <c r="L18">
        <v>691064</v>
      </c>
    </row>
    <row r="19" spans="1:12" x14ac:dyDescent="0.35">
      <c r="A19">
        <v>2024</v>
      </c>
      <c r="B19">
        <v>4</v>
      </c>
      <c r="C19" t="s">
        <v>67</v>
      </c>
      <c r="D19" t="s">
        <v>305</v>
      </c>
      <c r="E19" t="s">
        <v>261</v>
      </c>
      <c r="F19">
        <v>365</v>
      </c>
      <c r="G19">
        <v>737689</v>
      </c>
      <c r="H19">
        <v>747997</v>
      </c>
      <c r="I19">
        <v>601309</v>
      </c>
      <c r="J19">
        <v>785497</v>
      </c>
      <c r="K19">
        <v>728835</v>
      </c>
      <c r="L19">
        <v>752997</v>
      </c>
    </row>
    <row r="20" spans="1:12" x14ac:dyDescent="0.35">
      <c r="A20">
        <v>2024</v>
      </c>
      <c r="B20">
        <v>4</v>
      </c>
      <c r="C20" t="s">
        <v>67</v>
      </c>
      <c r="D20" t="s">
        <v>305</v>
      </c>
      <c r="E20" t="s">
        <v>263</v>
      </c>
      <c r="F20">
        <v>10</v>
      </c>
      <c r="G20">
        <v>786354</v>
      </c>
      <c r="H20">
        <v>798152</v>
      </c>
      <c r="I20">
        <v>718330</v>
      </c>
      <c r="J20">
        <v>825535</v>
      </c>
      <c r="K20">
        <v>788035</v>
      </c>
      <c r="L20">
        <v>808035</v>
      </c>
    </row>
    <row r="21" spans="1:12" x14ac:dyDescent="0.35">
      <c r="A21">
        <v>2024</v>
      </c>
      <c r="B21">
        <v>5</v>
      </c>
      <c r="C21" t="s">
        <v>68</v>
      </c>
      <c r="D21" t="s">
        <v>305</v>
      </c>
      <c r="E21" t="s">
        <v>257</v>
      </c>
      <c r="F21">
        <v>4424</v>
      </c>
      <c r="G21">
        <v>483672</v>
      </c>
      <c r="H21">
        <v>468094</v>
      </c>
      <c r="I21">
        <v>407405</v>
      </c>
      <c r="J21">
        <v>771520</v>
      </c>
      <c r="K21">
        <v>429485</v>
      </c>
      <c r="L21">
        <v>512160</v>
      </c>
    </row>
    <row r="22" spans="1:12" x14ac:dyDescent="0.35">
      <c r="A22">
        <v>2024</v>
      </c>
      <c r="B22">
        <v>5</v>
      </c>
      <c r="C22" t="s">
        <v>68</v>
      </c>
      <c r="D22" t="s">
        <v>305</v>
      </c>
      <c r="E22" t="s">
        <v>259</v>
      </c>
      <c r="F22">
        <v>1585</v>
      </c>
      <c r="G22">
        <v>651936</v>
      </c>
      <c r="H22">
        <v>670558</v>
      </c>
      <c r="I22">
        <v>441936</v>
      </c>
      <c r="J22">
        <v>782443</v>
      </c>
      <c r="K22">
        <v>602701</v>
      </c>
      <c r="L22">
        <v>691064</v>
      </c>
    </row>
    <row r="23" spans="1:12" x14ac:dyDescent="0.35">
      <c r="A23">
        <v>2024</v>
      </c>
      <c r="B23">
        <v>5</v>
      </c>
      <c r="C23" t="s">
        <v>68</v>
      </c>
      <c r="D23" t="s">
        <v>305</v>
      </c>
      <c r="E23" t="s">
        <v>261</v>
      </c>
      <c r="F23">
        <v>364</v>
      </c>
      <c r="G23">
        <v>737277</v>
      </c>
      <c r="H23">
        <v>747997</v>
      </c>
      <c r="I23">
        <v>601309</v>
      </c>
      <c r="J23">
        <v>787941</v>
      </c>
      <c r="K23">
        <v>726335</v>
      </c>
      <c r="L23">
        <v>752997</v>
      </c>
    </row>
    <row r="24" spans="1:12" x14ac:dyDescent="0.35">
      <c r="A24">
        <v>2024</v>
      </c>
      <c r="B24">
        <v>5</v>
      </c>
      <c r="C24" t="s">
        <v>68</v>
      </c>
      <c r="D24" t="s">
        <v>305</v>
      </c>
      <c r="E24" t="s">
        <v>263</v>
      </c>
      <c r="F24">
        <v>10</v>
      </c>
      <c r="G24">
        <v>785604</v>
      </c>
      <c r="H24">
        <v>795399</v>
      </c>
      <c r="I24">
        <v>718330</v>
      </c>
      <c r="J24">
        <v>825535</v>
      </c>
      <c r="K24">
        <v>788035</v>
      </c>
      <c r="L24">
        <v>808035</v>
      </c>
    </row>
    <row r="25" spans="1:12" x14ac:dyDescent="0.35">
      <c r="A25">
        <v>2024</v>
      </c>
      <c r="B25">
        <v>6</v>
      </c>
      <c r="C25" t="s">
        <v>69</v>
      </c>
      <c r="D25" t="s">
        <v>305</v>
      </c>
      <c r="E25" t="s">
        <v>257</v>
      </c>
      <c r="F25">
        <v>4394</v>
      </c>
      <c r="G25">
        <v>485255</v>
      </c>
      <c r="H25">
        <v>468094</v>
      </c>
      <c r="I25">
        <v>407405</v>
      </c>
      <c r="J25">
        <v>771520</v>
      </c>
      <c r="K25">
        <v>435594</v>
      </c>
      <c r="L25">
        <v>512158</v>
      </c>
    </row>
    <row r="26" spans="1:12" x14ac:dyDescent="0.35">
      <c r="A26">
        <v>2024</v>
      </c>
      <c r="B26">
        <v>6</v>
      </c>
      <c r="C26" t="s">
        <v>69</v>
      </c>
      <c r="D26" t="s">
        <v>305</v>
      </c>
      <c r="E26" t="s">
        <v>259</v>
      </c>
      <c r="F26">
        <v>1592</v>
      </c>
      <c r="G26">
        <v>652726</v>
      </c>
      <c r="H26">
        <v>670558</v>
      </c>
      <c r="I26">
        <v>441936</v>
      </c>
      <c r="J26">
        <v>782443</v>
      </c>
      <c r="K26">
        <v>602701</v>
      </c>
      <c r="L26">
        <v>691064</v>
      </c>
    </row>
    <row r="27" spans="1:12" x14ac:dyDescent="0.35">
      <c r="A27">
        <v>2024</v>
      </c>
      <c r="B27">
        <v>6</v>
      </c>
      <c r="C27" t="s">
        <v>69</v>
      </c>
      <c r="D27" t="s">
        <v>305</v>
      </c>
      <c r="E27" t="s">
        <v>261</v>
      </c>
      <c r="F27">
        <v>366</v>
      </c>
      <c r="G27">
        <v>736823</v>
      </c>
      <c r="H27">
        <v>747997</v>
      </c>
      <c r="I27">
        <v>601309</v>
      </c>
      <c r="J27">
        <v>785497</v>
      </c>
      <c r="K27">
        <v>723835</v>
      </c>
      <c r="L27">
        <v>752997</v>
      </c>
    </row>
    <row r="28" spans="1:12" x14ac:dyDescent="0.35">
      <c r="A28">
        <v>2024</v>
      </c>
      <c r="B28">
        <v>6</v>
      </c>
      <c r="C28" t="s">
        <v>69</v>
      </c>
      <c r="D28" t="s">
        <v>305</v>
      </c>
      <c r="E28" t="s">
        <v>263</v>
      </c>
      <c r="F28">
        <v>9</v>
      </c>
      <c r="G28">
        <v>793079</v>
      </c>
      <c r="H28">
        <v>797529</v>
      </c>
      <c r="I28">
        <v>725731</v>
      </c>
      <c r="J28">
        <v>825535</v>
      </c>
      <c r="K28">
        <v>788269</v>
      </c>
      <c r="L28">
        <v>808035</v>
      </c>
    </row>
    <row r="29" spans="1:12" x14ac:dyDescent="0.35">
      <c r="A29">
        <v>2024</v>
      </c>
      <c r="B29">
        <v>7</v>
      </c>
      <c r="C29" t="s">
        <v>70</v>
      </c>
      <c r="D29" t="s">
        <v>305</v>
      </c>
      <c r="E29" t="s">
        <v>257</v>
      </c>
      <c r="F29">
        <v>4398</v>
      </c>
      <c r="G29">
        <v>485092</v>
      </c>
      <c r="H29">
        <v>468094</v>
      </c>
      <c r="I29">
        <v>407405</v>
      </c>
      <c r="J29">
        <v>771520</v>
      </c>
      <c r="K29">
        <v>435594</v>
      </c>
      <c r="L29">
        <v>512160</v>
      </c>
    </row>
    <row r="30" spans="1:12" x14ac:dyDescent="0.35">
      <c r="A30">
        <v>2024</v>
      </c>
      <c r="B30">
        <v>7</v>
      </c>
      <c r="C30" t="s">
        <v>70</v>
      </c>
      <c r="D30" t="s">
        <v>305</v>
      </c>
      <c r="E30" t="s">
        <v>259</v>
      </c>
      <c r="F30">
        <v>1602</v>
      </c>
      <c r="G30">
        <v>652609</v>
      </c>
      <c r="H30">
        <v>670558</v>
      </c>
      <c r="I30">
        <v>441936</v>
      </c>
      <c r="J30">
        <v>782443</v>
      </c>
      <c r="K30">
        <v>602701</v>
      </c>
      <c r="L30">
        <v>691064</v>
      </c>
    </row>
    <row r="31" spans="1:12" x14ac:dyDescent="0.35">
      <c r="A31">
        <v>2024</v>
      </c>
      <c r="B31">
        <v>7</v>
      </c>
      <c r="C31" t="s">
        <v>70</v>
      </c>
      <c r="D31" t="s">
        <v>305</v>
      </c>
      <c r="E31" t="s">
        <v>261</v>
      </c>
      <c r="F31">
        <v>369</v>
      </c>
      <c r="G31">
        <v>736772</v>
      </c>
      <c r="H31">
        <v>747997</v>
      </c>
      <c r="I31">
        <v>601309</v>
      </c>
      <c r="J31">
        <v>789956</v>
      </c>
      <c r="K31">
        <v>723835</v>
      </c>
      <c r="L31">
        <v>752997</v>
      </c>
    </row>
    <row r="32" spans="1:12" x14ac:dyDescent="0.35">
      <c r="A32">
        <v>2024</v>
      </c>
      <c r="B32">
        <v>7</v>
      </c>
      <c r="C32" t="s">
        <v>70</v>
      </c>
      <c r="D32" t="s">
        <v>305</v>
      </c>
      <c r="E32" t="s">
        <v>263</v>
      </c>
      <c r="F32">
        <v>9</v>
      </c>
      <c r="G32">
        <v>793079</v>
      </c>
      <c r="H32">
        <v>797529</v>
      </c>
      <c r="I32">
        <v>725731</v>
      </c>
      <c r="J32">
        <v>825535</v>
      </c>
      <c r="K32">
        <v>788269</v>
      </c>
      <c r="L32">
        <v>808035</v>
      </c>
    </row>
    <row r="33" spans="1:12" x14ac:dyDescent="0.35">
      <c r="A33">
        <v>2024</v>
      </c>
      <c r="B33">
        <v>8</v>
      </c>
      <c r="C33" t="s">
        <v>71</v>
      </c>
      <c r="D33" t="s">
        <v>305</v>
      </c>
      <c r="E33" t="s">
        <v>257</v>
      </c>
      <c r="F33">
        <v>4367</v>
      </c>
      <c r="G33">
        <v>487178</v>
      </c>
      <c r="H33">
        <v>469941</v>
      </c>
      <c r="I33">
        <v>407405</v>
      </c>
      <c r="J33">
        <v>779436</v>
      </c>
      <c r="K33">
        <v>435594</v>
      </c>
      <c r="L33">
        <v>514658</v>
      </c>
    </row>
    <row r="34" spans="1:12" x14ac:dyDescent="0.35">
      <c r="A34">
        <v>2024</v>
      </c>
      <c r="B34">
        <v>8</v>
      </c>
      <c r="C34" t="s">
        <v>71</v>
      </c>
      <c r="D34" t="s">
        <v>305</v>
      </c>
      <c r="E34" t="s">
        <v>259</v>
      </c>
      <c r="F34">
        <v>1607</v>
      </c>
      <c r="G34">
        <v>653711</v>
      </c>
      <c r="H34">
        <v>670558</v>
      </c>
      <c r="I34">
        <v>446936</v>
      </c>
      <c r="J34">
        <v>790377</v>
      </c>
      <c r="K34">
        <v>602701</v>
      </c>
      <c r="L34">
        <v>691064</v>
      </c>
    </row>
    <row r="35" spans="1:12" x14ac:dyDescent="0.35">
      <c r="A35">
        <v>2024</v>
      </c>
      <c r="B35">
        <v>8</v>
      </c>
      <c r="C35" t="s">
        <v>71</v>
      </c>
      <c r="D35" t="s">
        <v>305</v>
      </c>
      <c r="E35" t="s">
        <v>261</v>
      </c>
      <c r="F35">
        <v>369</v>
      </c>
      <c r="G35">
        <v>737441</v>
      </c>
      <c r="H35">
        <v>747997</v>
      </c>
      <c r="I35">
        <v>601309</v>
      </c>
      <c r="J35">
        <v>795411</v>
      </c>
      <c r="K35">
        <v>726335</v>
      </c>
      <c r="L35">
        <v>752997</v>
      </c>
    </row>
    <row r="36" spans="1:12" x14ac:dyDescent="0.35">
      <c r="A36">
        <v>2024</v>
      </c>
      <c r="B36">
        <v>8</v>
      </c>
      <c r="C36" t="s">
        <v>71</v>
      </c>
      <c r="D36" t="s">
        <v>305</v>
      </c>
      <c r="E36" t="s">
        <v>263</v>
      </c>
      <c r="F36">
        <v>9</v>
      </c>
      <c r="G36">
        <v>793079</v>
      </c>
      <c r="H36">
        <v>797529</v>
      </c>
      <c r="I36">
        <v>725731</v>
      </c>
      <c r="J36">
        <v>825535</v>
      </c>
      <c r="K36">
        <v>788269</v>
      </c>
      <c r="L36">
        <v>808035</v>
      </c>
    </row>
    <row r="37" spans="1:12" x14ac:dyDescent="0.35">
      <c r="A37">
        <v>2024</v>
      </c>
      <c r="B37">
        <v>9</v>
      </c>
      <c r="C37" t="s">
        <v>72</v>
      </c>
      <c r="D37" t="s">
        <v>305</v>
      </c>
      <c r="E37" t="s">
        <v>257</v>
      </c>
      <c r="F37">
        <v>4352</v>
      </c>
      <c r="G37">
        <v>485803</v>
      </c>
      <c r="H37">
        <v>468094</v>
      </c>
      <c r="I37">
        <v>407405</v>
      </c>
      <c r="J37">
        <v>771520</v>
      </c>
      <c r="K37">
        <v>435594</v>
      </c>
      <c r="L37">
        <v>514658</v>
      </c>
    </row>
    <row r="38" spans="1:12" x14ac:dyDescent="0.35">
      <c r="A38">
        <v>2024</v>
      </c>
      <c r="B38">
        <v>9</v>
      </c>
      <c r="C38" t="s">
        <v>72</v>
      </c>
      <c r="D38" t="s">
        <v>305</v>
      </c>
      <c r="E38" t="s">
        <v>259</v>
      </c>
      <c r="F38">
        <v>1627</v>
      </c>
      <c r="G38">
        <v>654956</v>
      </c>
      <c r="H38">
        <v>670558</v>
      </c>
      <c r="I38">
        <v>453697</v>
      </c>
      <c r="J38">
        <v>782443</v>
      </c>
      <c r="K38">
        <v>605201</v>
      </c>
      <c r="L38">
        <v>693058</v>
      </c>
    </row>
    <row r="39" spans="1:12" x14ac:dyDescent="0.35">
      <c r="A39">
        <v>2024</v>
      </c>
      <c r="B39">
        <v>9</v>
      </c>
      <c r="C39" t="s">
        <v>72</v>
      </c>
      <c r="D39" t="s">
        <v>305</v>
      </c>
      <c r="E39" t="s">
        <v>261</v>
      </c>
      <c r="F39">
        <v>369</v>
      </c>
      <c r="G39">
        <v>737766</v>
      </c>
      <c r="H39">
        <v>747997</v>
      </c>
      <c r="I39">
        <v>601309</v>
      </c>
      <c r="J39">
        <v>792999</v>
      </c>
      <c r="K39">
        <v>728835</v>
      </c>
      <c r="L39">
        <v>752997</v>
      </c>
    </row>
    <row r="40" spans="1:12" x14ac:dyDescent="0.35">
      <c r="A40">
        <v>2024</v>
      </c>
      <c r="B40">
        <v>9</v>
      </c>
      <c r="C40" t="s">
        <v>72</v>
      </c>
      <c r="D40" t="s">
        <v>305</v>
      </c>
      <c r="E40" t="s">
        <v>263</v>
      </c>
      <c r="F40">
        <v>9</v>
      </c>
      <c r="G40">
        <v>794719</v>
      </c>
      <c r="H40">
        <v>803035</v>
      </c>
      <c r="I40">
        <v>725731</v>
      </c>
      <c r="J40">
        <v>825535</v>
      </c>
      <c r="K40">
        <v>788269</v>
      </c>
      <c r="L40">
        <v>808035</v>
      </c>
    </row>
    <row r="41" spans="1:12" x14ac:dyDescent="0.35">
      <c r="A41">
        <v>2024</v>
      </c>
      <c r="B41">
        <v>10</v>
      </c>
      <c r="C41" t="s">
        <v>73</v>
      </c>
      <c r="D41" t="s">
        <v>305</v>
      </c>
      <c r="E41" t="s">
        <v>257</v>
      </c>
      <c r="F41">
        <v>4421</v>
      </c>
      <c r="G41">
        <v>484550</v>
      </c>
      <c r="H41">
        <v>467441</v>
      </c>
      <c r="I41">
        <v>407405</v>
      </c>
      <c r="J41">
        <v>771520</v>
      </c>
      <c r="K41">
        <v>434485</v>
      </c>
      <c r="L41">
        <v>514658</v>
      </c>
    </row>
    <row r="42" spans="1:12" x14ac:dyDescent="0.35">
      <c r="A42">
        <v>2024</v>
      </c>
      <c r="B42">
        <v>10</v>
      </c>
      <c r="C42" t="s">
        <v>73</v>
      </c>
      <c r="D42" t="s">
        <v>305</v>
      </c>
      <c r="E42" t="s">
        <v>259</v>
      </c>
      <c r="F42">
        <v>1637</v>
      </c>
      <c r="G42">
        <v>655116</v>
      </c>
      <c r="H42">
        <v>670558</v>
      </c>
      <c r="I42">
        <v>453697</v>
      </c>
      <c r="J42">
        <v>782443</v>
      </c>
      <c r="K42">
        <v>602701</v>
      </c>
      <c r="L42">
        <v>693058</v>
      </c>
    </row>
    <row r="43" spans="1:12" x14ac:dyDescent="0.35">
      <c r="A43">
        <v>2024</v>
      </c>
      <c r="B43">
        <v>10</v>
      </c>
      <c r="C43" t="s">
        <v>73</v>
      </c>
      <c r="D43" t="s">
        <v>305</v>
      </c>
      <c r="E43" t="s">
        <v>261</v>
      </c>
      <c r="F43">
        <v>366</v>
      </c>
      <c r="G43">
        <v>738008</v>
      </c>
      <c r="H43">
        <v>747997</v>
      </c>
      <c r="I43">
        <v>601309</v>
      </c>
      <c r="J43">
        <v>796982</v>
      </c>
      <c r="K43">
        <v>728835</v>
      </c>
      <c r="L43">
        <v>752997</v>
      </c>
    </row>
    <row r="44" spans="1:12" x14ac:dyDescent="0.35">
      <c r="A44">
        <v>2024</v>
      </c>
      <c r="B44">
        <v>10</v>
      </c>
      <c r="C44" t="s">
        <v>73</v>
      </c>
      <c r="D44" t="s">
        <v>305</v>
      </c>
      <c r="E44" t="s">
        <v>263</v>
      </c>
      <c r="F44">
        <v>11</v>
      </c>
      <c r="G44">
        <v>787900</v>
      </c>
      <c r="H44">
        <v>797529</v>
      </c>
      <c r="I44">
        <v>725731</v>
      </c>
      <c r="J44">
        <v>825535</v>
      </c>
      <c r="K44">
        <v>788035</v>
      </c>
      <c r="L44">
        <v>808035</v>
      </c>
    </row>
    <row r="45" spans="1:12" x14ac:dyDescent="0.35">
      <c r="A45">
        <v>2024</v>
      </c>
      <c r="B45">
        <v>11</v>
      </c>
      <c r="C45" t="s">
        <v>74</v>
      </c>
      <c r="D45" t="s">
        <v>305</v>
      </c>
      <c r="E45" t="s">
        <v>257</v>
      </c>
      <c r="F45">
        <v>4360</v>
      </c>
      <c r="G45">
        <v>485709</v>
      </c>
      <c r="H45">
        <v>467441</v>
      </c>
      <c r="I45">
        <v>407405</v>
      </c>
      <c r="J45">
        <v>771520</v>
      </c>
      <c r="K45">
        <v>435594</v>
      </c>
      <c r="L45">
        <v>514658</v>
      </c>
    </row>
    <row r="46" spans="1:12" x14ac:dyDescent="0.35">
      <c r="A46">
        <v>2024</v>
      </c>
      <c r="B46">
        <v>11</v>
      </c>
      <c r="C46" t="s">
        <v>74</v>
      </c>
      <c r="D46" t="s">
        <v>305</v>
      </c>
      <c r="E46" t="s">
        <v>259</v>
      </c>
      <c r="F46">
        <v>1643</v>
      </c>
      <c r="G46">
        <v>655007</v>
      </c>
      <c r="H46">
        <v>670558</v>
      </c>
      <c r="I46">
        <v>441938</v>
      </c>
      <c r="J46">
        <v>782443</v>
      </c>
      <c r="K46">
        <v>602701</v>
      </c>
      <c r="L46">
        <v>693058</v>
      </c>
    </row>
    <row r="47" spans="1:12" x14ac:dyDescent="0.35">
      <c r="A47">
        <v>2024</v>
      </c>
      <c r="B47">
        <v>11</v>
      </c>
      <c r="C47" t="s">
        <v>74</v>
      </c>
      <c r="D47" t="s">
        <v>305</v>
      </c>
      <c r="E47" t="s">
        <v>261</v>
      </c>
      <c r="F47">
        <v>371</v>
      </c>
      <c r="G47">
        <v>737150</v>
      </c>
      <c r="H47">
        <v>747997</v>
      </c>
      <c r="I47">
        <v>590804</v>
      </c>
      <c r="J47">
        <v>792999</v>
      </c>
      <c r="K47">
        <v>726335</v>
      </c>
      <c r="L47">
        <v>752997</v>
      </c>
    </row>
    <row r="48" spans="1:12" x14ac:dyDescent="0.35">
      <c r="A48">
        <v>2024</v>
      </c>
      <c r="B48">
        <v>11</v>
      </c>
      <c r="C48" t="s">
        <v>74</v>
      </c>
      <c r="D48" t="s">
        <v>305</v>
      </c>
      <c r="E48" t="s">
        <v>263</v>
      </c>
      <c r="F48">
        <v>13</v>
      </c>
      <c r="G48">
        <v>782024</v>
      </c>
      <c r="H48">
        <v>788269</v>
      </c>
      <c r="I48">
        <v>725731</v>
      </c>
      <c r="J48">
        <v>825535</v>
      </c>
      <c r="K48">
        <v>759709</v>
      </c>
      <c r="L48">
        <v>808035</v>
      </c>
    </row>
    <row r="49" spans="1:12" x14ac:dyDescent="0.35">
      <c r="A49">
        <v>2024</v>
      </c>
      <c r="B49">
        <v>12</v>
      </c>
      <c r="C49" t="s">
        <v>75</v>
      </c>
      <c r="D49" t="s">
        <v>305</v>
      </c>
      <c r="E49" t="s">
        <v>257</v>
      </c>
      <c r="F49">
        <v>4361</v>
      </c>
      <c r="G49">
        <v>485404</v>
      </c>
      <c r="H49">
        <v>467441</v>
      </c>
      <c r="I49">
        <v>407405</v>
      </c>
      <c r="J49">
        <v>771520</v>
      </c>
      <c r="K49">
        <v>435594</v>
      </c>
      <c r="L49">
        <v>514658</v>
      </c>
    </row>
    <row r="50" spans="1:12" x14ac:dyDescent="0.35">
      <c r="A50">
        <v>2024</v>
      </c>
      <c r="B50">
        <v>12</v>
      </c>
      <c r="C50" t="s">
        <v>75</v>
      </c>
      <c r="D50" t="s">
        <v>305</v>
      </c>
      <c r="E50" t="s">
        <v>259</v>
      </c>
      <c r="F50">
        <v>1649</v>
      </c>
      <c r="G50">
        <v>654643</v>
      </c>
      <c r="H50">
        <v>670558</v>
      </c>
      <c r="I50">
        <v>441938</v>
      </c>
      <c r="J50">
        <v>782443</v>
      </c>
      <c r="K50">
        <v>602701</v>
      </c>
      <c r="L50">
        <v>693058</v>
      </c>
    </row>
    <row r="51" spans="1:12" x14ac:dyDescent="0.35">
      <c r="A51">
        <v>2024</v>
      </c>
      <c r="B51">
        <v>12</v>
      </c>
      <c r="C51" t="s">
        <v>75</v>
      </c>
      <c r="D51" t="s">
        <v>305</v>
      </c>
      <c r="E51" t="s">
        <v>261</v>
      </c>
      <c r="F51">
        <v>372</v>
      </c>
      <c r="G51">
        <v>737099</v>
      </c>
      <c r="H51">
        <v>747997</v>
      </c>
      <c r="I51">
        <v>590804</v>
      </c>
      <c r="J51">
        <v>792999</v>
      </c>
      <c r="K51">
        <v>726199</v>
      </c>
      <c r="L51">
        <v>752997</v>
      </c>
    </row>
    <row r="52" spans="1:12" x14ac:dyDescent="0.35">
      <c r="A52">
        <v>2024</v>
      </c>
      <c r="B52">
        <v>12</v>
      </c>
      <c r="C52" t="s">
        <v>75</v>
      </c>
      <c r="D52" t="s">
        <v>305</v>
      </c>
      <c r="E52" t="s">
        <v>263</v>
      </c>
      <c r="F52">
        <v>13</v>
      </c>
      <c r="G52">
        <v>782024</v>
      </c>
      <c r="H52">
        <v>788269</v>
      </c>
      <c r="I52">
        <v>725731</v>
      </c>
      <c r="J52">
        <v>825535</v>
      </c>
      <c r="K52">
        <v>759709</v>
      </c>
      <c r="L52">
        <v>808035</v>
      </c>
    </row>
    <row r="53" spans="1:12" x14ac:dyDescent="0.35">
      <c r="A53">
        <v>2025</v>
      </c>
      <c r="B53">
        <v>1</v>
      </c>
      <c r="C53" t="s">
        <v>42</v>
      </c>
      <c r="D53" t="s">
        <v>305</v>
      </c>
      <c r="E53" t="s">
        <v>257</v>
      </c>
      <c r="F53">
        <v>4337</v>
      </c>
      <c r="G53">
        <v>485567</v>
      </c>
      <c r="H53">
        <v>467441</v>
      </c>
      <c r="I53">
        <v>407405</v>
      </c>
      <c r="J53">
        <v>775210</v>
      </c>
      <c r="K53">
        <v>435594</v>
      </c>
      <c r="L53">
        <v>514658</v>
      </c>
    </row>
    <row r="54" spans="1:12" x14ac:dyDescent="0.35">
      <c r="A54">
        <v>2025</v>
      </c>
      <c r="B54">
        <v>1</v>
      </c>
      <c r="C54" t="s">
        <v>42</v>
      </c>
      <c r="D54" t="s">
        <v>305</v>
      </c>
      <c r="E54" t="s">
        <v>259</v>
      </c>
      <c r="F54">
        <v>1633</v>
      </c>
      <c r="G54">
        <v>654055</v>
      </c>
      <c r="H54">
        <v>670558</v>
      </c>
      <c r="I54">
        <v>441935</v>
      </c>
      <c r="J54">
        <v>782443</v>
      </c>
      <c r="K54">
        <v>602701</v>
      </c>
      <c r="L54">
        <v>691064</v>
      </c>
    </row>
    <row r="55" spans="1:12" x14ac:dyDescent="0.35">
      <c r="A55">
        <v>2025</v>
      </c>
      <c r="B55">
        <v>1</v>
      </c>
      <c r="C55" t="s">
        <v>42</v>
      </c>
      <c r="D55" t="s">
        <v>305</v>
      </c>
      <c r="E55" t="s">
        <v>261</v>
      </c>
      <c r="F55">
        <v>328</v>
      </c>
      <c r="G55">
        <v>736712</v>
      </c>
      <c r="H55">
        <v>743902</v>
      </c>
      <c r="I55">
        <v>590804</v>
      </c>
      <c r="J55">
        <v>798855</v>
      </c>
      <c r="K55">
        <v>723699</v>
      </c>
      <c r="L55">
        <v>752997</v>
      </c>
    </row>
    <row r="56" spans="1:12" x14ac:dyDescent="0.35">
      <c r="A56">
        <v>2025</v>
      </c>
      <c r="B56">
        <v>1</v>
      </c>
      <c r="C56" t="s">
        <v>42</v>
      </c>
      <c r="D56" t="s">
        <v>305</v>
      </c>
      <c r="E56" t="s">
        <v>263</v>
      </c>
      <c r="F56">
        <v>17</v>
      </c>
      <c r="G56">
        <v>803002</v>
      </c>
      <c r="H56">
        <v>808035</v>
      </c>
      <c r="I56">
        <v>725731</v>
      </c>
      <c r="J56">
        <v>850677</v>
      </c>
      <c r="K56">
        <v>788269</v>
      </c>
      <c r="L56">
        <v>826604</v>
      </c>
    </row>
    <row r="57" spans="1:12" x14ac:dyDescent="0.35">
      <c r="A57">
        <v>2025</v>
      </c>
      <c r="B57">
        <v>2</v>
      </c>
      <c r="C57" t="s">
        <v>63</v>
      </c>
      <c r="D57" t="s">
        <v>305</v>
      </c>
      <c r="E57" t="s">
        <v>257</v>
      </c>
      <c r="F57">
        <v>4458</v>
      </c>
      <c r="G57">
        <v>483958</v>
      </c>
      <c r="H57">
        <v>462441</v>
      </c>
      <c r="I57">
        <v>407405</v>
      </c>
      <c r="J57">
        <v>777628</v>
      </c>
      <c r="K57">
        <v>431985</v>
      </c>
      <c r="L57">
        <v>517158</v>
      </c>
    </row>
    <row r="58" spans="1:12" x14ac:dyDescent="0.35">
      <c r="A58">
        <v>2025</v>
      </c>
      <c r="B58">
        <v>2</v>
      </c>
      <c r="C58" t="s">
        <v>63</v>
      </c>
      <c r="D58" t="s">
        <v>305</v>
      </c>
      <c r="E58" t="s">
        <v>259</v>
      </c>
      <c r="F58">
        <v>1644</v>
      </c>
      <c r="G58">
        <v>674347</v>
      </c>
      <c r="H58">
        <v>680558</v>
      </c>
      <c r="I58">
        <v>441935</v>
      </c>
      <c r="J58">
        <v>790885</v>
      </c>
      <c r="K58">
        <v>663058</v>
      </c>
      <c r="L58">
        <v>711602</v>
      </c>
    </row>
    <row r="59" spans="1:12" x14ac:dyDescent="0.35">
      <c r="A59">
        <v>2025</v>
      </c>
      <c r="B59">
        <v>2</v>
      </c>
      <c r="C59" t="s">
        <v>63</v>
      </c>
      <c r="D59" t="s">
        <v>305</v>
      </c>
      <c r="E59" t="s">
        <v>261</v>
      </c>
      <c r="F59">
        <v>328</v>
      </c>
      <c r="G59">
        <v>739861</v>
      </c>
      <c r="H59">
        <v>747999</v>
      </c>
      <c r="I59">
        <v>601309</v>
      </c>
      <c r="J59">
        <v>791053</v>
      </c>
      <c r="K59">
        <v>728835</v>
      </c>
      <c r="L59">
        <v>755497</v>
      </c>
    </row>
    <row r="60" spans="1:12" x14ac:dyDescent="0.35">
      <c r="A60">
        <v>2025</v>
      </c>
      <c r="B60">
        <v>2</v>
      </c>
      <c r="C60" t="s">
        <v>63</v>
      </c>
      <c r="D60" t="s">
        <v>305</v>
      </c>
      <c r="E60" t="s">
        <v>263</v>
      </c>
      <c r="F60">
        <v>54</v>
      </c>
      <c r="G60">
        <v>798524</v>
      </c>
      <c r="H60">
        <v>792209</v>
      </c>
      <c r="I60">
        <v>725731</v>
      </c>
      <c r="J60">
        <v>856740</v>
      </c>
      <c r="K60">
        <v>755731</v>
      </c>
      <c r="L60">
        <v>846740</v>
      </c>
    </row>
    <row r="61" spans="1:12" x14ac:dyDescent="0.35">
      <c r="A61">
        <v>2025</v>
      </c>
      <c r="B61">
        <v>3</v>
      </c>
      <c r="C61" t="s">
        <v>66</v>
      </c>
      <c r="D61" t="s">
        <v>305</v>
      </c>
      <c r="E61" t="s">
        <v>257</v>
      </c>
      <c r="F61">
        <v>4513</v>
      </c>
      <c r="G61">
        <v>482780</v>
      </c>
      <c r="H61">
        <v>460594</v>
      </c>
      <c r="I61">
        <v>407405</v>
      </c>
      <c r="J61">
        <v>771520</v>
      </c>
      <c r="K61">
        <v>429485</v>
      </c>
      <c r="L61">
        <v>522158</v>
      </c>
    </row>
    <row r="62" spans="1:12" x14ac:dyDescent="0.35">
      <c r="A62">
        <v>2025</v>
      </c>
      <c r="B62">
        <v>3</v>
      </c>
      <c r="C62" t="s">
        <v>66</v>
      </c>
      <c r="D62" t="s">
        <v>305</v>
      </c>
      <c r="E62" t="s">
        <v>259</v>
      </c>
      <c r="F62">
        <v>1670</v>
      </c>
      <c r="G62">
        <v>662733</v>
      </c>
      <c r="H62">
        <v>670558</v>
      </c>
      <c r="I62">
        <v>441935</v>
      </c>
      <c r="J62">
        <v>787258</v>
      </c>
      <c r="K62">
        <v>633157</v>
      </c>
      <c r="L62">
        <v>701064</v>
      </c>
    </row>
    <row r="63" spans="1:12" x14ac:dyDescent="0.35">
      <c r="A63">
        <v>2025</v>
      </c>
      <c r="B63">
        <v>3</v>
      </c>
      <c r="C63" t="s">
        <v>66</v>
      </c>
      <c r="D63" t="s">
        <v>305</v>
      </c>
      <c r="E63" t="s">
        <v>261</v>
      </c>
      <c r="F63">
        <v>339</v>
      </c>
      <c r="G63">
        <v>734659</v>
      </c>
      <c r="H63">
        <v>743835</v>
      </c>
      <c r="I63">
        <v>601309</v>
      </c>
      <c r="J63">
        <v>797292</v>
      </c>
      <c r="K63">
        <v>721199</v>
      </c>
      <c r="L63">
        <v>752997</v>
      </c>
    </row>
    <row r="64" spans="1:12" x14ac:dyDescent="0.35">
      <c r="A64">
        <v>2025</v>
      </c>
      <c r="B64">
        <v>3</v>
      </c>
      <c r="C64" t="s">
        <v>66</v>
      </c>
      <c r="D64" t="s">
        <v>305</v>
      </c>
      <c r="E64" t="s">
        <v>263</v>
      </c>
      <c r="F64">
        <v>61</v>
      </c>
      <c r="G64">
        <v>767971</v>
      </c>
      <c r="H64">
        <v>759709</v>
      </c>
      <c r="I64">
        <v>718096</v>
      </c>
      <c r="J64">
        <v>858844</v>
      </c>
      <c r="K64">
        <v>749709</v>
      </c>
      <c r="L64">
        <v>773307</v>
      </c>
    </row>
    <row r="65" spans="1:12" x14ac:dyDescent="0.35">
      <c r="A65">
        <v>2025</v>
      </c>
      <c r="B65">
        <v>4</v>
      </c>
      <c r="C65" t="s">
        <v>67</v>
      </c>
      <c r="D65" t="s">
        <v>305</v>
      </c>
      <c r="E65" t="s">
        <v>257</v>
      </c>
      <c r="F65">
        <v>4457</v>
      </c>
      <c r="G65">
        <v>483989</v>
      </c>
      <c r="H65">
        <v>462441</v>
      </c>
      <c r="I65">
        <v>407405</v>
      </c>
      <c r="J65">
        <v>777628</v>
      </c>
      <c r="K65">
        <v>431985</v>
      </c>
      <c r="L65">
        <v>517158</v>
      </c>
    </row>
    <row r="66" spans="1:12" x14ac:dyDescent="0.35">
      <c r="A66">
        <v>2025</v>
      </c>
      <c r="B66">
        <v>4</v>
      </c>
      <c r="C66" t="s">
        <v>67</v>
      </c>
      <c r="D66" t="s">
        <v>305</v>
      </c>
      <c r="E66" t="s">
        <v>259</v>
      </c>
      <c r="F66">
        <v>1644</v>
      </c>
      <c r="G66">
        <v>674606</v>
      </c>
      <c r="H66">
        <v>680558</v>
      </c>
      <c r="I66">
        <v>441935</v>
      </c>
      <c r="J66">
        <v>790885</v>
      </c>
      <c r="K66">
        <v>663058</v>
      </c>
      <c r="L66">
        <v>711602</v>
      </c>
    </row>
    <row r="67" spans="1:12" x14ac:dyDescent="0.35">
      <c r="A67">
        <v>2025</v>
      </c>
      <c r="B67">
        <v>4</v>
      </c>
      <c r="C67" t="s">
        <v>67</v>
      </c>
      <c r="D67" t="s">
        <v>305</v>
      </c>
      <c r="E67" t="s">
        <v>261</v>
      </c>
      <c r="F67">
        <v>328</v>
      </c>
      <c r="G67">
        <v>739861</v>
      </c>
      <c r="H67">
        <v>747999</v>
      </c>
      <c r="I67">
        <v>601309</v>
      </c>
      <c r="J67">
        <v>791053</v>
      </c>
      <c r="K67">
        <v>728835</v>
      </c>
      <c r="L67">
        <v>755497</v>
      </c>
    </row>
    <row r="68" spans="1:12" x14ac:dyDescent="0.35">
      <c r="A68">
        <v>2025</v>
      </c>
      <c r="B68">
        <v>4</v>
      </c>
      <c r="C68" t="s">
        <v>67</v>
      </c>
      <c r="D68" t="s">
        <v>305</v>
      </c>
      <c r="E68" t="s">
        <v>263</v>
      </c>
      <c r="F68">
        <v>54</v>
      </c>
      <c r="G68">
        <v>798524</v>
      </c>
      <c r="H68">
        <v>792209</v>
      </c>
      <c r="I68">
        <v>725731</v>
      </c>
      <c r="J68">
        <v>856740</v>
      </c>
      <c r="K68">
        <v>755731</v>
      </c>
      <c r="L68">
        <v>846740</v>
      </c>
    </row>
    <row r="69" spans="1:12" x14ac:dyDescent="0.35">
      <c r="A69">
        <v>2025</v>
      </c>
      <c r="B69">
        <v>5</v>
      </c>
      <c r="C69" t="s">
        <v>68</v>
      </c>
      <c r="D69" t="s">
        <v>305</v>
      </c>
      <c r="E69" t="s">
        <v>257</v>
      </c>
      <c r="F69">
        <v>4554</v>
      </c>
      <c r="G69">
        <v>481294</v>
      </c>
      <c r="H69">
        <v>455594</v>
      </c>
      <c r="I69">
        <v>407405</v>
      </c>
      <c r="J69">
        <v>771520</v>
      </c>
      <c r="K69">
        <v>429485</v>
      </c>
      <c r="L69">
        <v>517158</v>
      </c>
    </row>
    <row r="70" spans="1:12" x14ac:dyDescent="0.35">
      <c r="A70">
        <v>2025</v>
      </c>
      <c r="B70">
        <v>5</v>
      </c>
      <c r="C70" t="s">
        <v>68</v>
      </c>
      <c r="D70" t="s">
        <v>305</v>
      </c>
      <c r="E70" t="s">
        <v>259</v>
      </c>
      <c r="F70">
        <v>1634</v>
      </c>
      <c r="G70">
        <v>661826</v>
      </c>
      <c r="H70">
        <v>670558</v>
      </c>
      <c r="I70">
        <v>441936</v>
      </c>
      <c r="J70">
        <v>787258</v>
      </c>
      <c r="K70">
        <v>628157</v>
      </c>
      <c r="L70">
        <v>698058</v>
      </c>
    </row>
    <row r="71" spans="1:12" x14ac:dyDescent="0.35">
      <c r="A71">
        <v>2025</v>
      </c>
      <c r="B71">
        <v>5</v>
      </c>
      <c r="C71" t="s">
        <v>68</v>
      </c>
      <c r="D71" t="s">
        <v>305</v>
      </c>
      <c r="E71" t="s">
        <v>261</v>
      </c>
      <c r="F71">
        <v>411</v>
      </c>
      <c r="G71">
        <v>728143</v>
      </c>
      <c r="H71">
        <v>736335</v>
      </c>
      <c r="I71">
        <v>563169</v>
      </c>
      <c r="J71">
        <v>800653</v>
      </c>
      <c r="K71">
        <v>706199</v>
      </c>
      <c r="L71">
        <v>752997</v>
      </c>
    </row>
    <row r="72" spans="1:12" x14ac:dyDescent="0.35">
      <c r="A72">
        <v>2025</v>
      </c>
      <c r="B72">
        <v>5</v>
      </c>
      <c r="C72" t="s">
        <v>68</v>
      </c>
      <c r="D72" t="s">
        <v>305</v>
      </c>
      <c r="E72" t="s">
        <v>263</v>
      </c>
      <c r="F72">
        <v>75</v>
      </c>
      <c r="G72">
        <v>757344</v>
      </c>
      <c r="H72">
        <v>759709</v>
      </c>
      <c r="I72">
        <v>703330</v>
      </c>
      <c r="J72">
        <v>856885</v>
      </c>
      <c r="K72">
        <v>745731</v>
      </c>
      <c r="L72">
        <v>762209</v>
      </c>
    </row>
    <row r="73" spans="1:12" x14ac:dyDescent="0.35">
      <c r="A73">
        <v>2025</v>
      </c>
      <c r="B73">
        <v>6</v>
      </c>
      <c r="C73" t="s">
        <v>69</v>
      </c>
      <c r="D73" t="s">
        <v>305</v>
      </c>
      <c r="E73" t="s">
        <v>257</v>
      </c>
      <c r="F73">
        <v>4561</v>
      </c>
      <c r="G73">
        <v>484077</v>
      </c>
      <c r="H73">
        <v>462443</v>
      </c>
      <c r="I73">
        <v>407405</v>
      </c>
      <c r="J73">
        <v>771520</v>
      </c>
      <c r="K73">
        <v>429485</v>
      </c>
      <c r="L73">
        <v>517158</v>
      </c>
    </row>
    <row r="74" spans="1:12" x14ac:dyDescent="0.35">
      <c r="A74">
        <v>2025</v>
      </c>
      <c r="B74">
        <v>6</v>
      </c>
      <c r="C74" t="s">
        <v>69</v>
      </c>
      <c r="D74" t="s">
        <v>305</v>
      </c>
      <c r="E74" t="s">
        <v>259</v>
      </c>
      <c r="F74">
        <v>1639</v>
      </c>
      <c r="G74">
        <v>663224</v>
      </c>
      <c r="H74">
        <v>670558</v>
      </c>
      <c r="I74">
        <v>441936</v>
      </c>
      <c r="J74">
        <v>787258</v>
      </c>
      <c r="K74">
        <v>628157</v>
      </c>
      <c r="L74">
        <v>703374</v>
      </c>
    </row>
    <row r="75" spans="1:12" x14ac:dyDescent="0.35">
      <c r="A75">
        <v>2025</v>
      </c>
      <c r="B75">
        <v>6</v>
      </c>
      <c r="C75" t="s">
        <v>69</v>
      </c>
      <c r="D75" t="s">
        <v>305</v>
      </c>
      <c r="E75" t="s">
        <v>261</v>
      </c>
      <c r="F75">
        <v>410</v>
      </c>
      <c r="G75">
        <v>729371</v>
      </c>
      <c r="H75">
        <v>736335</v>
      </c>
      <c r="I75">
        <v>601309</v>
      </c>
      <c r="J75">
        <v>801074</v>
      </c>
      <c r="K75">
        <v>708699</v>
      </c>
      <c r="L75">
        <v>752997</v>
      </c>
    </row>
    <row r="76" spans="1:12" x14ac:dyDescent="0.35">
      <c r="A76">
        <v>2025</v>
      </c>
      <c r="B76">
        <v>6</v>
      </c>
      <c r="C76" t="s">
        <v>69</v>
      </c>
      <c r="D76" t="s">
        <v>305</v>
      </c>
      <c r="E76" t="s">
        <v>263</v>
      </c>
      <c r="F76">
        <v>78</v>
      </c>
      <c r="G76">
        <v>754983</v>
      </c>
      <c r="H76">
        <v>757720</v>
      </c>
      <c r="I76">
        <v>703330</v>
      </c>
      <c r="J76">
        <v>825535</v>
      </c>
      <c r="K76">
        <v>740731</v>
      </c>
      <c r="L76">
        <v>760731</v>
      </c>
    </row>
    <row r="77" spans="1:12" x14ac:dyDescent="0.35">
      <c r="A77">
        <v>2025</v>
      </c>
      <c r="B77">
        <v>7</v>
      </c>
      <c r="C77" t="s">
        <v>70</v>
      </c>
      <c r="D77" t="s">
        <v>305</v>
      </c>
      <c r="E77" t="s">
        <v>257</v>
      </c>
      <c r="F77">
        <v>4532</v>
      </c>
      <c r="G77">
        <v>484783</v>
      </c>
      <c r="H77">
        <v>468094</v>
      </c>
      <c r="I77">
        <v>407405</v>
      </c>
      <c r="J77">
        <v>771520</v>
      </c>
      <c r="K77">
        <v>431985</v>
      </c>
      <c r="L77">
        <v>517158</v>
      </c>
    </row>
    <row r="78" spans="1:12" x14ac:dyDescent="0.35">
      <c r="A78">
        <v>2025</v>
      </c>
      <c r="B78">
        <v>7</v>
      </c>
      <c r="C78" t="s">
        <v>70</v>
      </c>
      <c r="D78" t="s">
        <v>305</v>
      </c>
      <c r="E78" t="s">
        <v>259</v>
      </c>
      <c r="F78">
        <v>1637</v>
      </c>
      <c r="G78">
        <v>666519</v>
      </c>
      <c r="H78">
        <v>678058</v>
      </c>
      <c r="I78">
        <v>441938</v>
      </c>
      <c r="J78">
        <v>787258</v>
      </c>
      <c r="K78">
        <v>628157</v>
      </c>
      <c r="L78">
        <v>714019</v>
      </c>
    </row>
    <row r="79" spans="1:12" x14ac:dyDescent="0.35">
      <c r="A79">
        <v>2025</v>
      </c>
      <c r="B79">
        <v>7</v>
      </c>
      <c r="C79" t="s">
        <v>70</v>
      </c>
      <c r="D79" t="s">
        <v>305</v>
      </c>
      <c r="E79" t="s">
        <v>261</v>
      </c>
      <c r="F79">
        <v>419</v>
      </c>
      <c r="G79">
        <v>729287</v>
      </c>
      <c r="H79">
        <v>736335</v>
      </c>
      <c r="I79">
        <v>583304</v>
      </c>
      <c r="J79">
        <v>778970</v>
      </c>
      <c r="K79">
        <v>709487</v>
      </c>
      <c r="L79">
        <v>752997</v>
      </c>
    </row>
    <row r="80" spans="1:12" x14ac:dyDescent="0.35">
      <c r="A80">
        <v>2025</v>
      </c>
      <c r="B80">
        <v>7</v>
      </c>
      <c r="C80" t="s">
        <v>70</v>
      </c>
      <c r="D80" t="s">
        <v>305</v>
      </c>
      <c r="E80" t="s">
        <v>263</v>
      </c>
      <c r="F80">
        <v>80</v>
      </c>
      <c r="G80">
        <v>754831</v>
      </c>
      <c r="H80">
        <v>755221</v>
      </c>
      <c r="I80">
        <v>703330</v>
      </c>
      <c r="J80">
        <v>825535</v>
      </c>
      <c r="K80">
        <v>745313</v>
      </c>
      <c r="L80">
        <v>759711</v>
      </c>
    </row>
    <row r="81" spans="1:12" x14ac:dyDescent="0.35">
      <c r="A81">
        <v>2025</v>
      </c>
      <c r="B81">
        <v>8</v>
      </c>
      <c r="C81" t="s">
        <v>71</v>
      </c>
      <c r="D81" t="s">
        <v>305</v>
      </c>
      <c r="E81" t="s">
        <v>257</v>
      </c>
      <c r="F81">
        <v>4514</v>
      </c>
      <c r="G81">
        <v>486223</v>
      </c>
      <c r="H81">
        <v>469941</v>
      </c>
      <c r="I81">
        <v>407405</v>
      </c>
      <c r="J81">
        <v>771520</v>
      </c>
      <c r="K81">
        <v>434485</v>
      </c>
      <c r="L81">
        <v>514658</v>
      </c>
    </row>
    <row r="82" spans="1:12" x14ac:dyDescent="0.35">
      <c r="A82">
        <v>2025</v>
      </c>
      <c r="B82">
        <v>8</v>
      </c>
      <c r="C82" t="s">
        <v>71</v>
      </c>
      <c r="D82" t="s">
        <v>305</v>
      </c>
      <c r="E82" t="s">
        <v>259</v>
      </c>
      <c r="F82">
        <v>1632</v>
      </c>
      <c r="G82">
        <v>665239</v>
      </c>
      <c r="H82">
        <v>684940</v>
      </c>
      <c r="I82">
        <v>434905</v>
      </c>
      <c r="J82">
        <v>787258</v>
      </c>
      <c r="K82">
        <v>628157</v>
      </c>
      <c r="L82">
        <v>708564</v>
      </c>
    </row>
    <row r="83" spans="1:12" x14ac:dyDescent="0.35">
      <c r="A83">
        <v>2025</v>
      </c>
      <c r="B83">
        <v>8</v>
      </c>
      <c r="C83" t="s">
        <v>71</v>
      </c>
      <c r="D83" t="s">
        <v>305</v>
      </c>
      <c r="E83" t="s">
        <v>261</v>
      </c>
      <c r="F83">
        <v>439</v>
      </c>
      <c r="G83">
        <v>732155</v>
      </c>
      <c r="H83">
        <v>738835</v>
      </c>
      <c r="I83">
        <v>583304</v>
      </c>
      <c r="J83">
        <v>784105</v>
      </c>
      <c r="K83">
        <v>716987</v>
      </c>
      <c r="L83">
        <v>752997</v>
      </c>
    </row>
    <row r="84" spans="1:12" x14ac:dyDescent="0.35">
      <c r="A84">
        <v>2025</v>
      </c>
      <c r="B84">
        <v>8</v>
      </c>
      <c r="C84" t="s">
        <v>71</v>
      </c>
      <c r="D84" t="s">
        <v>305</v>
      </c>
      <c r="E84" t="s">
        <v>263</v>
      </c>
      <c r="F84">
        <v>82</v>
      </c>
      <c r="G84">
        <v>756571</v>
      </c>
      <c r="H84">
        <v>756430</v>
      </c>
      <c r="I84">
        <v>703330</v>
      </c>
      <c r="J84">
        <v>858717</v>
      </c>
      <c r="K84">
        <v>745731</v>
      </c>
      <c r="L84">
        <v>760731</v>
      </c>
    </row>
    <row r="85" spans="1:12" x14ac:dyDescent="0.35">
      <c r="A85">
        <v>2025</v>
      </c>
      <c r="B85">
        <v>9</v>
      </c>
      <c r="C85" t="s">
        <v>72</v>
      </c>
      <c r="D85" t="s">
        <v>305</v>
      </c>
      <c r="E85" t="s">
        <v>257</v>
      </c>
      <c r="F85">
        <v>4503</v>
      </c>
      <c r="G85">
        <v>485569</v>
      </c>
      <c r="H85">
        <v>468094</v>
      </c>
      <c r="I85">
        <v>407405</v>
      </c>
      <c r="J85">
        <v>779328</v>
      </c>
      <c r="K85">
        <v>435594</v>
      </c>
      <c r="L85">
        <v>514658</v>
      </c>
    </row>
    <row r="86" spans="1:12" x14ac:dyDescent="0.35">
      <c r="A86">
        <v>2025</v>
      </c>
      <c r="B86">
        <v>9</v>
      </c>
      <c r="C86" t="s">
        <v>72</v>
      </c>
      <c r="D86" t="s">
        <v>305</v>
      </c>
      <c r="E86" t="s">
        <v>259</v>
      </c>
      <c r="F86">
        <v>1628</v>
      </c>
      <c r="G86">
        <v>664374</v>
      </c>
      <c r="H86">
        <v>686064</v>
      </c>
      <c r="I86">
        <v>441938</v>
      </c>
      <c r="J86">
        <v>787258</v>
      </c>
      <c r="K86">
        <v>625657</v>
      </c>
      <c r="L86">
        <v>706064</v>
      </c>
    </row>
    <row r="87" spans="1:12" x14ac:dyDescent="0.35">
      <c r="A87">
        <v>2025</v>
      </c>
      <c r="B87">
        <v>9</v>
      </c>
      <c r="C87" t="s">
        <v>72</v>
      </c>
      <c r="D87" t="s">
        <v>305</v>
      </c>
      <c r="E87" t="s">
        <v>261</v>
      </c>
      <c r="F87">
        <v>450</v>
      </c>
      <c r="G87">
        <v>730111</v>
      </c>
      <c r="H87">
        <v>736335</v>
      </c>
      <c r="I87">
        <v>583304</v>
      </c>
      <c r="J87">
        <v>782697</v>
      </c>
      <c r="K87">
        <v>709487</v>
      </c>
      <c r="L87">
        <v>752997</v>
      </c>
    </row>
    <row r="88" spans="1:12" x14ac:dyDescent="0.35">
      <c r="A88">
        <v>2025</v>
      </c>
      <c r="B88">
        <v>9</v>
      </c>
      <c r="C88" t="s">
        <v>72</v>
      </c>
      <c r="D88" t="s">
        <v>305</v>
      </c>
      <c r="E88" t="s">
        <v>263</v>
      </c>
      <c r="F88">
        <v>87</v>
      </c>
      <c r="G88">
        <v>754955</v>
      </c>
      <c r="H88">
        <v>755731</v>
      </c>
      <c r="I88">
        <v>703330</v>
      </c>
      <c r="J88">
        <v>825535</v>
      </c>
      <c r="K88">
        <v>745313</v>
      </c>
      <c r="L88">
        <v>760731</v>
      </c>
    </row>
    <row r="89" spans="1:12" x14ac:dyDescent="0.35">
      <c r="A89">
        <v>2025</v>
      </c>
      <c r="B89">
        <v>10</v>
      </c>
      <c r="C89" t="s">
        <v>73</v>
      </c>
      <c r="D89" t="s">
        <v>305</v>
      </c>
      <c r="E89" t="s">
        <v>257</v>
      </c>
      <c r="F89">
        <v>4498</v>
      </c>
      <c r="G89">
        <v>485742</v>
      </c>
      <c r="H89">
        <v>468094</v>
      </c>
      <c r="I89">
        <v>407405</v>
      </c>
      <c r="J89">
        <v>774538</v>
      </c>
      <c r="K89">
        <v>435594</v>
      </c>
      <c r="L89">
        <v>514658</v>
      </c>
    </row>
    <row r="90" spans="1:12" x14ac:dyDescent="0.35">
      <c r="A90">
        <v>2025</v>
      </c>
      <c r="B90">
        <v>10</v>
      </c>
      <c r="C90" t="s">
        <v>73</v>
      </c>
      <c r="D90" t="s">
        <v>305</v>
      </c>
      <c r="E90" t="s">
        <v>259</v>
      </c>
      <c r="F90">
        <v>1622</v>
      </c>
      <c r="G90">
        <v>664973</v>
      </c>
      <c r="H90">
        <v>686064</v>
      </c>
      <c r="I90">
        <v>441938</v>
      </c>
      <c r="J90">
        <v>787258</v>
      </c>
      <c r="K90">
        <v>625657</v>
      </c>
      <c r="L90">
        <v>706064</v>
      </c>
    </row>
    <row r="91" spans="1:12" x14ac:dyDescent="0.35">
      <c r="A91">
        <v>2025</v>
      </c>
      <c r="B91">
        <v>10</v>
      </c>
      <c r="C91" t="s">
        <v>73</v>
      </c>
      <c r="D91" t="s">
        <v>305</v>
      </c>
      <c r="E91" t="s">
        <v>261</v>
      </c>
      <c r="F91">
        <v>454</v>
      </c>
      <c r="G91">
        <v>730922</v>
      </c>
      <c r="H91">
        <v>736402</v>
      </c>
      <c r="I91">
        <v>583304</v>
      </c>
      <c r="J91">
        <v>781352</v>
      </c>
      <c r="K91">
        <v>711987</v>
      </c>
      <c r="L91">
        <v>752997</v>
      </c>
    </row>
    <row r="92" spans="1:12" x14ac:dyDescent="0.35">
      <c r="A92">
        <v>2025</v>
      </c>
      <c r="B92">
        <v>10</v>
      </c>
      <c r="C92" t="s">
        <v>73</v>
      </c>
      <c r="D92" t="s">
        <v>305</v>
      </c>
      <c r="E92" t="s">
        <v>263</v>
      </c>
      <c r="F92">
        <v>88</v>
      </c>
      <c r="G92">
        <v>755568</v>
      </c>
      <c r="H92">
        <v>754711</v>
      </c>
      <c r="I92">
        <v>703330</v>
      </c>
      <c r="J92">
        <v>825535</v>
      </c>
      <c r="K92">
        <v>745731</v>
      </c>
      <c r="L92">
        <v>759711</v>
      </c>
    </row>
    <row r="93" spans="1:12" x14ac:dyDescent="0.35">
      <c r="A93">
        <v>2025</v>
      </c>
      <c r="B93">
        <v>11</v>
      </c>
      <c r="C93" t="s">
        <v>74</v>
      </c>
      <c r="D93" t="s">
        <v>305</v>
      </c>
      <c r="E93" t="s">
        <v>257</v>
      </c>
      <c r="F93">
        <v>4497</v>
      </c>
      <c r="G93">
        <v>485688</v>
      </c>
      <c r="H93">
        <v>468094</v>
      </c>
      <c r="I93">
        <v>407405</v>
      </c>
      <c r="J93">
        <v>771520</v>
      </c>
      <c r="K93">
        <v>435594</v>
      </c>
      <c r="L93">
        <v>514658</v>
      </c>
    </row>
    <row r="94" spans="1:12" x14ac:dyDescent="0.35">
      <c r="A94">
        <v>2025</v>
      </c>
      <c r="B94">
        <v>11</v>
      </c>
      <c r="C94" t="s">
        <v>74</v>
      </c>
      <c r="D94" t="s">
        <v>305</v>
      </c>
      <c r="E94" t="s">
        <v>259</v>
      </c>
      <c r="F94">
        <v>1612</v>
      </c>
      <c r="G94">
        <v>664884</v>
      </c>
      <c r="H94">
        <v>686064</v>
      </c>
      <c r="I94">
        <v>441938</v>
      </c>
      <c r="J94">
        <v>787258</v>
      </c>
      <c r="K94">
        <v>625657</v>
      </c>
      <c r="L94">
        <v>706064</v>
      </c>
    </row>
    <row r="95" spans="1:12" x14ac:dyDescent="0.35">
      <c r="A95">
        <v>2025</v>
      </c>
      <c r="B95">
        <v>11</v>
      </c>
      <c r="C95" t="s">
        <v>74</v>
      </c>
      <c r="D95" t="s">
        <v>305</v>
      </c>
      <c r="E95" t="s">
        <v>261</v>
      </c>
      <c r="F95">
        <v>467</v>
      </c>
      <c r="G95">
        <v>730944</v>
      </c>
      <c r="H95">
        <v>736335</v>
      </c>
      <c r="I95">
        <v>583304</v>
      </c>
      <c r="J95">
        <v>793942</v>
      </c>
      <c r="K95">
        <v>711987</v>
      </c>
      <c r="L95">
        <v>752997</v>
      </c>
    </row>
    <row r="96" spans="1:12" x14ac:dyDescent="0.35">
      <c r="A96">
        <v>2025</v>
      </c>
      <c r="B96">
        <v>11</v>
      </c>
      <c r="C96" t="s">
        <v>74</v>
      </c>
      <c r="D96" t="s">
        <v>305</v>
      </c>
      <c r="E96" t="s">
        <v>263</v>
      </c>
      <c r="F96">
        <v>88</v>
      </c>
      <c r="G96">
        <v>756810</v>
      </c>
      <c r="H96">
        <v>758761</v>
      </c>
      <c r="I96">
        <v>703330</v>
      </c>
      <c r="J96">
        <v>825535</v>
      </c>
      <c r="K96">
        <v>749709</v>
      </c>
      <c r="L96">
        <v>760313</v>
      </c>
    </row>
    <row r="97" spans="1:12" x14ac:dyDescent="0.35">
      <c r="A97">
        <v>2025</v>
      </c>
      <c r="B97">
        <v>12</v>
      </c>
      <c r="C97" t="s">
        <v>75</v>
      </c>
      <c r="D97" t="s">
        <v>305</v>
      </c>
      <c r="E97" t="s">
        <v>257</v>
      </c>
      <c r="F97">
        <v>4467</v>
      </c>
      <c r="G97">
        <v>485572</v>
      </c>
      <c r="H97">
        <v>468094</v>
      </c>
      <c r="I97">
        <v>407405</v>
      </c>
      <c r="J97">
        <v>771520</v>
      </c>
      <c r="K97">
        <v>435594</v>
      </c>
      <c r="L97">
        <v>514658</v>
      </c>
    </row>
    <row r="98" spans="1:12" x14ac:dyDescent="0.35">
      <c r="A98">
        <v>2025</v>
      </c>
      <c r="B98">
        <v>12</v>
      </c>
      <c r="C98" t="s">
        <v>75</v>
      </c>
      <c r="D98" t="s">
        <v>305</v>
      </c>
      <c r="E98" t="s">
        <v>259</v>
      </c>
      <c r="F98">
        <v>1600</v>
      </c>
      <c r="G98">
        <v>664472</v>
      </c>
      <c r="H98">
        <v>686064</v>
      </c>
      <c r="I98">
        <v>441938</v>
      </c>
      <c r="J98">
        <v>787258</v>
      </c>
      <c r="K98">
        <v>623157</v>
      </c>
      <c r="L98">
        <v>711064</v>
      </c>
    </row>
    <row r="99" spans="1:12" x14ac:dyDescent="0.35">
      <c r="A99">
        <v>2025</v>
      </c>
      <c r="B99">
        <v>12</v>
      </c>
      <c r="C99" t="s">
        <v>75</v>
      </c>
      <c r="D99" t="s">
        <v>305</v>
      </c>
      <c r="E99" t="s">
        <v>261</v>
      </c>
      <c r="F99">
        <v>495</v>
      </c>
      <c r="G99">
        <v>729315</v>
      </c>
      <c r="H99">
        <v>733835</v>
      </c>
      <c r="I99">
        <v>530163</v>
      </c>
      <c r="J99">
        <v>778970</v>
      </c>
      <c r="K99">
        <v>711987</v>
      </c>
      <c r="L99">
        <v>752997</v>
      </c>
    </row>
    <row r="100" spans="1:12" x14ac:dyDescent="0.35">
      <c r="A100">
        <v>2025</v>
      </c>
      <c r="B100">
        <v>12</v>
      </c>
      <c r="C100" t="s">
        <v>75</v>
      </c>
      <c r="D100" t="s">
        <v>305</v>
      </c>
      <c r="E100" t="s">
        <v>263</v>
      </c>
      <c r="F100">
        <v>86</v>
      </c>
      <c r="G100">
        <v>757403</v>
      </c>
      <c r="H100">
        <v>759709</v>
      </c>
      <c r="I100">
        <v>703330</v>
      </c>
      <c r="J100">
        <v>825535</v>
      </c>
      <c r="K100">
        <v>750313</v>
      </c>
      <c r="L100">
        <v>760313</v>
      </c>
    </row>
  </sheetData>
  <mergeCells count="1">
    <mergeCell ref="A1:L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17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307</v>
      </c>
      <c r="E5" t="s">
        <v>255</v>
      </c>
      <c r="F5">
        <v>27522</v>
      </c>
      <c r="G5">
        <v>516036</v>
      </c>
      <c r="H5">
        <v>500903</v>
      </c>
      <c r="I5">
        <v>398883</v>
      </c>
      <c r="J5">
        <v>796187</v>
      </c>
      <c r="K5">
        <v>441333</v>
      </c>
      <c r="L5">
        <v>579967</v>
      </c>
    </row>
    <row r="6" spans="1:12" x14ac:dyDescent="0.35">
      <c r="A6">
        <v>2024</v>
      </c>
      <c r="B6">
        <v>1</v>
      </c>
      <c r="C6" t="s">
        <v>42</v>
      </c>
      <c r="D6" t="s">
        <v>307</v>
      </c>
      <c r="E6" t="s">
        <v>257</v>
      </c>
      <c r="F6">
        <v>17177</v>
      </c>
      <c r="G6">
        <v>586081</v>
      </c>
      <c r="H6">
        <v>578021</v>
      </c>
      <c r="I6">
        <v>437073</v>
      </c>
      <c r="J6">
        <v>859347</v>
      </c>
      <c r="K6">
        <v>499239</v>
      </c>
      <c r="L6">
        <v>645792</v>
      </c>
    </row>
    <row r="7" spans="1:12" x14ac:dyDescent="0.35">
      <c r="A7">
        <v>2024</v>
      </c>
      <c r="B7">
        <v>1</v>
      </c>
      <c r="C7" t="s">
        <v>42</v>
      </c>
      <c r="D7" t="s">
        <v>307</v>
      </c>
      <c r="E7" t="s">
        <v>259</v>
      </c>
      <c r="F7">
        <v>11115</v>
      </c>
      <c r="G7">
        <v>743846</v>
      </c>
      <c r="H7">
        <v>711433</v>
      </c>
      <c r="I7">
        <v>556592</v>
      </c>
      <c r="J7">
        <v>910713</v>
      </c>
      <c r="K7">
        <v>672455</v>
      </c>
      <c r="L7">
        <v>828219</v>
      </c>
    </row>
    <row r="8" spans="1:12" x14ac:dyDescent="0.35">
      <c r="A8">
        <v>2024</v>
      </c>
      <c r="B8">
        <v>1</v>
      </c>
      <c r="C8" t="s">
        <v>42</v>
      </c>
      <c r="D8" t="s">
        <v>307</v>
      </c>
      <c r="E8" t="s">
        <v>261</v>
      </c>
      <c r="F8">
        <v>685</v>
      </c>
      <c r="G8">
        <v>885870</v>
      </c>
      <c r="H8">
        <v>883811</v>
      </c>
      <c r="I8">
        <v>756608</v>
      </c>
      <c r="J8">
        <v>1012078</v>
      </c>
      <c r="K8">
        <v>873811</v>
      </c>
      <c r="L8">
        <v>902000</v>
      </c>
    </row>
    <row r="9" spans="1:12" x14ac:dyDescent="0.35">
      <c r="A9">
        <v>2024</v>
      </c>
      <c r="B9">
        <v>1</v>
      </c>
      <c r="C9" t="s">
        <v>42</v>
      </c>
      <c r="D9" t="s">
        <v>307</v>
      </c>
      <c r="E9" t="s">
        <v>263</v>
      </c>
      <c r="F9">
        <v>310</v>
      </c>
      <c r="G9">
        <v>977113</v>
      </c>
      <c r="H9">
        <v>976201</v>
      </c>
      <c r="I9">
        <v>891400</v>
      </c>
      <c r="J9">
        <v>1006201</v>
      </c>
      <c r="K9">
        <v>971201</v>
      </c>
      <c r="L9">
        <v>983701</v>
      </c>
    </row>
    <row r="10" spans="1:12" x14ac:dyDescent="0.35">
      <c r="A10">
        <v>2024</v>
      </c>
      <c r="B10">
        <v>1</v>
      </c>
      <c r="C10" t="s">
        <v>42</v>
      </c>
      <c r="D10" t="s">
        <v>307</v>
      </c>
      <c r="E10" t="s">
        <v>267</v>
      </c>
      <c r="F10">
        <v>58843</v>
      </c>
      <c r="G10">
        <v>449007</v>
      </c>
      <c r="H10">
        <v>426936</v>
      </c>
      <c r="I10">
        <v>342132</v>
      </c>
      <c r="J10">
        <v>584648</v>
      </c>
      <c r="K10">
        <v>402404</v>
      </c>
      <c r="L10">
        <v>499239</v>
      </c>
    </row>
    <row r="11" spans="1:12" x14ac:dyDescent="0.35">
      <c r="A11">
        <v>2024</v>
      </c>
      <c r="B11">
        <v>1</v>
      </c>
      <c r="C11" t="s">
        <v>42</v>
      </c>
      <c r="D11" t="s">
        <v>307</v>
      </c>
      <c r="E11" t="s">
        <v>273</v>
      </c>
      <c r="F11">
        <v>31042</v>
      </c>
      <c r="G11">
        <v>304932</v>
      </c>
      <c r="H11">
        <v>303672</v>
      </c>
      <c r="I11">
        <v>266776</v>
      </c>
      <c r="J11">
        <v>380002</v>
      </c>
      <c r="K11">
        <v>281172</v>
      </c>
      <c r="L11">
        <v>326258</v>
      </c>
    </row>
    <row r="12" spans="1:12" x14ac:dyDescent="0.35">
      <c r="A12">
        <v>2024</v>
      </c>
      <c r="B12">
        <v>2</v>
      </c>
      <c r="C12" t="s">
        <v>63</v>
      </c>
      <c r="D12" t="s">
        <v>307</v>
      </c>
      <c r="E12" t="s">
        <v>255</v>
      </c>
      <c r="F12">
        <v>28036</v>
      </c>
      <c r="G12">
        <v>526924</v>
      </c>
      <c r="H12">
        <v>508403</v>
      </c>
      <c r="I12">
        <v>398882</v>
      </c>
      <c r="J12">
        <v>798031</v>
      </c>
      <c r="K12">
        <v>446838</v>
      </c>
      <c r="L12">
        <v>592467</v>
      </c>
    </row>
    <row r="13" spans="1:12" x14ac:dyDescent="0.35">
      <c r="A13">
        <v>2024</v>
      </c>
      <c r="B13">
        <v>2</v>
      </c>
      <c r="C13" t="s">
        <v>63</v>
      </c>
      <c r="D13" t="s">
        <v>307</v>
      </c>
      <c r="E13" t="s">
        <v>257</v>
      </c>
      <c r="F13">
        <v>17259</v>
      </c>
      <c r="G13">
        <v>594446</v>
      </c>
      <c r="H13">
        <v>582517</v>
      </c>
      <c r="I13">
        <v>437073</v>
      </c>
      <c r="J13">
        <v>860193</v>
      </c>
      <c r="K13">
        <v>499239</v>
      </c>
      <c r="L13">
        <v>678564</v>
      </c>
    </row>
    <row r="14" spans="1:12" x14ac:dyDescent="0.35">
      <c r="A14">
        <v>2024</v>
      </c>
      <c r="B14">
        <v>2</v>
      </c>
      <c r="C14" t="s">
        <v>63</v>
      </c>
      <c r="D14" t="s">
        <v>307</v>
      </c>
      <c r="E14" t="s">
        <v>259</v>
      </c>
      <c r="F14">
        <v>11240</v>
      </c>
      <c r="G14">
        <v>760276</v>
      </c>
      <c r="H14">
        <v>733633</v>
      </c>
      <c r="I14">
        <v>559092</v>
      </c>
      <c r="J14">
        <v>910669</v>
      </c>
      <c r="K14">
        <v>701133</v>
      </c>
      <c r="L14">
        <v>837704</v>
      </c>
    </row>
    <row r="15" spans="1:12" x14ac:dyDescent="0.35">
      <c r="A15">
        <v>2024</v>
      </c>
      <c r="B15">
        <v>2</v>
      </c>
      <c r="C15" t="s">
        <v>63</v>
      </c>
      <c r="D15" t="s">
        <v>307</v>
      </c>
      <c r="E15" t="s">
        <v>261</v>
      </c>
      <c r="F15">
        <v>683</v>
      </c>
      <c r="G15">
        <v>905065</v>
      </c>
      <c r="H15">
        <v>904500</v>
      </c>
      <c r="I15">
        <v>785187</v>
      </c>
      <c r="J15">
        <v>1056135</v>
      </c>
      <c r="K15">
        <v>889498</v>
      </c>
      <c r="L15">
        <v>927000</v>
      </c>
    </row>
    <row r="16" spans="1:12" x14ac:dyDescent="0.35">
      <c r="A16">
        <v>2024</v>
      </c>
      <c r="B16">
        <v>2</v>
      </c>
      <c r="C16" t="s">
        <v>63</v>
      </c>
      <c r="D16" t="s">
        <v>307</v>
      </c>
      <c r="E16" t="s">
        <v>263</v>
      </c>
      <c r="F16">
        <v>307</v>
      </c>
      <c r="G16">
        <v>977363</v>
      </c>
      <c r="H16">
        <v>976201</v>
      </c>
      <c r="I16">
        <v>925173</v>
      </c>
      <c r="J16">
        <v>1006201</v>
      </c>
      <c r="K16">
        <v>971201</v>
      </c>
      <c r="L16">
        <v>983701</v>
      </c>
    </row>
    <row r="17" spans="1:12" x14ac:dyDescent="0.35">
      <c r="A17">
        <v>2024</v>
      </c>
      <c r="B17">
        <v>2</v>
      </c>
      <c r="C17" t="s">
        <v>63</v>
      </c>
      <c r="D17" t="s">
        <v>307</v>
      </c>
      <c r="E17" t="s">
        <v>267</v>
      </c>
      <c r="F17">
        <v>58516</v>
      </c>
      <c r="G17">
        <v>452363</v>
      </c>
      <c r="H17">
        <v>430040</v>
      </c>
      <c r="I17">
        <v>342134</v>
      </c>
      <c r="J17">
        <v>584961</v>
      </c>
      <c r="K17">
        <v>405040</v>
      </c>
      <c r="L17">
        <v>504534</v>
      </c>
    </row>
    <row r="18" spans="1:12" x14ac:dyDescent="0.35">
      <c r="A18">
        <v>2024</v>
      </c>
      <c r="B18">
        <v>2</v>
      </c>
      <c r="C18" t="s">
        <v>63</v>
      </c>
      <c r="D18" t="s">
        <v>307</v>
      </c>
      <c r="E18" t="s">
        <v>273</v>
      </c>
      <c r="F18">
        <v>30989</v>
      </c>
      <c r="G18">
        <v>304751</v>
      </c>
      <c r="H18">
        <v>301676</v>
      </c>
      <c r="I18">
        <v>266776</v>
      </c>
      <c r="J18">
        <v>380002</v>
      </c>
      <c r="K18">
        <v>279276</v>
      </c>
      <c r="L18">
        <v>326258</v>
      </c>
    </row>
    <row r="19" spans="1:12" x14ac:dyDescent="0.35">
      <c r="A19">
        <v>2024</v>
      </c>
      <c r="B19">
        <v>3</v>
      </c>
      <c r="C19" t="s">
        <v>66</v>
      </c>
      <c r="D19" t="s">
        <v>307</v>
      </c>
      <c r="E19" t="s">
        <v>255</v>
      </c>
      <c r="F19">
        <v>28570</v>
      </c>
      <c r="G19">
        <v>522645</v>
      </c>
      <c r="H19">
        <v>505903</v>
      </c>
      <c r="I19">
        <v>398882</v>
      </c>
      <c r="J19">
        <v>798106</v>
      </c>
      <c r="K19">
        <v>441838</v>
      </c>
      <c r="L19">
        <v>587467</v>
      </c>
    </row>
    <row r="20" spans="1:12" x14ac:dyDescent="0.35">
      <c r="A20">
        <v>2024</v>
      </c>
      <c r="B20">
        <v>3</v>
      </c>
      <c r="C20" t="s">
        <v>66</v>
      </c>
      <c r="D20" t="s">
        <v>307</v>
      </c>
      <c r="E20" t="s">
        <v>257</v>
      </c>
      <c r="F20">
        <v>17518</v>
      </c>
      <c r="G20">
        <v>586685</v>
      </c>
      <c r="H20">
        <v>577515</v>
      </c>
      <c r="I20">
        <v>437073</v>
      </c>
      <c r="J20">
        <v>859703</v>
      </c>
      <c r="K20">
        <v>496739</v>
      </c>
      <c r="L20">
        <v>650792</v>
      </c>
    </row>
    <row r="21" spans="1:12" x14ac:dyDescent="0.35">
      <c r="A21">
        <v>2024</v>
      </c>
      <c r="B21">
        <v>3</v>
      </c>
      <c r="C21" t="s">
        <v>66</v>
      </c>
      <c r="D21" t="s">
        <v>307</v>
      </c>
      <c r="E21" t="s">
        <v>259</v>
      </c>
      <c r="F21">
        <v>11340</v>
      </c>
      <c r="G21">
        <v>749347</v>
      </c>
      <c r="H21">
        <v>716433</v>
      </c>
      <c r="I21">
        <v>564092</v>
      </c>
      <c r="J21">
        <v>909921</v>
      </c>
      <c r="K21">
        <v>679955</v>
      </c>
      <c r="L21">
        <v>828219</v>
      </c>
    </row>
    <row r="22" spans="1:12" x14ac:dyDescent="0.35">
      <c r="A22">
        <v>2024</v>
      </c>
      <c r="B22">
        <v>3</v>
      </c>
      <c r="C22" t="s">
        <v>66</v>
      </c>
      <c r="D22" t="s">
        <v>307</v>
      </c>
      <c r="E22" t="s">
        <v>261</v>
      </c>
      <c r="F22">
        <v>683</v>
      </c>
      <c r="G22">
        <v>896070</v>
      </c>
      <c r="H22">
        <v>902000</v>
      </c>
      <c r="I22">
        <v>771372</v>
      </c>
      <c r="J22">
        <v>1044291</v>
      </c>
      <c r="K22">
        <v>883811</v>
      </c>
      <c r="L22">
        <v>909500</v>
      </c>
    </row>
    <row r="23" spans="1:12" x14ac:dyDescent="0.35">
      <c r="A23">
        <v>2024</v>
      </c>
      <c r="B23">
        <v>3</v>
      </c>
      <c r="C23" t="s">
        <v>66</v>
      </c>
      <c r="D23" t="s">
        <v>307</v>
      </c>
      <c r="E23" t="s">
        <v>263</v>
      </c>
      <c r="F23">
        <v>311</v>
      </c>
      <c r="G23">
        <v>977158</v>
      </c>
      <c r="H23">
        <v>976201</v>
      </c>
      <c r="I23">
        <v>908848</v>
      </c>
      <c r="J23">
        <v>1003701</v>
      </c>
      <c r="K23">
        <v>971201</v>
      </c>
      <c r="L23">
        <v>983701</v>
      </c>
    </row>
    <row r="24" spans="1:12" x14ac:dyDescent="0.35">
      <c r="A24">
        <v>2024</v>
      </c>
      <c r="B24">
        <v>3</v>
      </c>
      <c r="C24" t="s">
        <v>66</v>
      </c>
      <c r="D24" t="s">
        <v>307</v>
      </c>
      <c r="E24" t="s">
        <v>267</v>
      </c>
      <c r="F24">
        <v>58845</v>
      </c>
      <c r="G24">
        <v>451113</v>
      </c>
      <c r="H24">
        <v>429436</v>
      </c>
      <c r="I24">
        <v>342134</v>
      </c>
      <c r="J24">
        <v>584648</v>
      </c>
      <c r="K24">
        <v>402540</v>
      </c>
      <c r="L24">
        <v>503846</v>
      </c>
    </row>
    <row r="25" spans="1:12" x14ac:dyDescent="0.35">
      <c r="A25">
        <v>2024</v>
      </c>
      <c r="B25">
        <v>3</v>
      </c>
      <c r="C25" t="s">
        <v>66</v>
      </c>
      <c r="D25" t="s">
        <v>307</v>
      </c>
      <c r="E25" t="s">
        <v>273</v>
      </c>
      <c r="F25">
        <v>31146</v>
      </c>
      <c r="G25">
        <v>304549</v>
      </c>
      <c r="H25">
        <v>301676</v>
      </c>
      <c r="I25">
        <v>266776</v>
      </c>
      <c r="J25">
        <v>380002</v>
      </c>
      <c r="K25">
        <v>279276</v>
      </c>
      <c r="L25">
        <v>326258</v>
      </c>
    </row>
    <row r="26" spans="1:12" x14ac:dyDescent="0.35">
      <c r="A26">
        <v>2024</v>
      </c>
      <c r="B26">
        <v>4</v>
      </c>
      <c r="C26" t="s">
        <v>67</v>
      </c>
      <c r="D26" t="s">
        <v>307</v>
      </c>
      <c r="E26" t="s">
        <v>255</v>
      </c>
      <c r="F26">
        <v>28849</v>
      </c>
      <c r="G26">
        <v>519031</v>
      </c>
      <c r="H26">
        <v>501555</v>
      </c>
      <c r="I26">
        <v>398882</v>
      </c>
      <c r="J26">
        <v>796187</v>
      </c>
      <c r="K26">
        <v>441838</v>
      </c>
      <c r="L26">
        <v>584967</v>
      </c>
    </row>
    <row r="27" spans="1:12" x14ac:dyDescent="0.35">
      <c r="A27">
        <v>2024</v>
      </c>
      <c r="B27">
        <v>4</v>
      </c>
      <c r="C27" t="s">
        <v>67</v>
      </c>
      <c r="D27" t="s">
        <v>307</v>
      </c>
      <c r="E27" t="s">
        <v>257</v>
      </c>
      <c r="F27">
        <v>17797</v>
      </c>
      <c r="G27">
        <v>584552</v>
      </c>
      <c r="H27">
        <v>575015</v>
      </c>
      <c r="I27">
        <v>437072</v>
      </c>
      <c r="J27">
        <v>860480</v>
      </c>
      <c r="K27">
        <v>494239</v>
      </c>
      <c r="L27">
        <v>648292</v>
      </c>
    </row>
    <row r="28" spans="1:12" x14ac:dyDescent="0.35">
      <c r="A28">
        <v>2024</v>
      </c>
      <c r="B28">
        <v>4</v>
      </c>
      <c r="C28" t="s">
        <v>67</v>
      </c>
      <c r="D28" t="s">
        <v>307</v>
      </c>
      <c r="E28" t="s">
        <v>259</v>
      </c>
      <c r="F28">
        <v>11486</v>
      </c>
      <c r="G28">
        <v>747550</v>
      </c>
      <c r="H28">
        <v>712455</v>
      </c>
      <c r="I28">
        <v>559092</v>
      </c>
      <c r="J28">
        <v>909548</v>
      </c>
      <c r="K28">
        <v>679955</v>
      </c>
      <c r="L28">
        <v>828219</v>
      </c>
    </row>
    <row r="29" spans="1:12" x14ac:dyDescent="0.35">
      <c r="A29">
        <v>2024</v>
      </c>
      <c r="B29">
        <v>4</v>
      </c>
      <c r="C29" t="s">
        <v>67</v>
      </c>
      <c r="D29" t="s">
        <v>307</v>
      </c>
      <c r="E29" t="s">
        <v>261</v>
      </c>
      <c r="F29">
        <v>688</v>
      </c>
      <c r="G29">
        <v>895824</v>
      </c>
      <c r="H29">
        <v>902000</v>
      </c>
      <c r="I29">
        <v>771372</v>
      </c>
      <c r="J29">
        <v>1015438</v>
      </c>
      <c r="K29">
        <v>883811</v>
      </c>
      <c r="L29">
        <v>909500</v>
      </c>
    </row>
    <row r="30" spans="1:12" x14ac:dyDescent="0.35">
      <c r="A30">
        <v>2024</v>
      </c>
      <c r="B30">
        <v>4</v>
      </c>
      <c r="C30" t="s">
        <v>67</v>
      </c>
      <c r="D30" t="s">
        <v>307</v>
      </c>
      <c r="E30" t="s">
        <v>263</v>
      </c>
      <c r="F30">
        <v>310</v>
      </c>
      <c r="G30">
        <v>977016</v>
      </c>
      <c r="H30">
        <v>976201</v>
      </c>
      <c r="I30">
        <v>908848</v>
      </c>
      <c r="J30">
        <v>1003701</v>
      </c>
      <c r="K30">
        <v>971201</v>
      </c>
      <c r="L30">
        <v>981203</v>
      </c>
    </row>
    <row r="31" spans="1:12" x14ac:dyDescent="0.35">
      <c r="A31">
        <v>2024</v>
      </c>
      <c r="B31">
        <v>4</v>
      </c>
      <c r="C31" t="s">
        <v>67</v>
      </c>
      <c r="D31" t="s">
        <v>307</v>
      </c>
      <c r="E31" t="s">
        <v>267</v>
      </c>
      <c r="F31">
        <v>59156</v>
      </c>
      <c r="G31">
        <v>448087</v>
      </c>
      <c r="H31">
        <v>426936</v>
      </c>
      <c r="I31">
        <v>342132</v>
      </c>
      <c r="J31">
        <v>584648</v>
      </c>
      <c r="K31">
        <v>402404</v>
      </c>
      <c r="L31">
        <v>496604</v>
      </c>
    </row>
    <row r="32" spans="1:12" x14ac:dyDescent="0.35">
      <c r="A32">
        <v>2024</v>
      </c>
      <c r="B32">
        <v>4</v>
      </c>
      <c r="C32" t="s">
        <v>67</v>
      </c>
      <c r="D32" t="s">
        <v>307</v>
      </c>
      <c r="E32" t="s">
        <v>273</v>
      </c>
      <c r="F32">
        <v>31034</v>
      </c>
      <c r="G32">
        <v>304376</v>
      </c>
      <c r="H32">
        <v>301676</v>
      </c>
      <c r="I32">
        <v>266776</v>
      </c>
      <c r="J32">
        <v>380002</v>
      </c>
      <c r="K32">
        <v>279276</v>
      </c>
      <c r="L32">
        <v>326258</v>
      </c>
    </row>
    <row r="33" spans="1:12" x14ac:dyDescent="0.35">
      <c r="A33">
        <v>2024</v>
      </c>
      <c r="B33">
        <v>5</v>
      </c>
      <c r="C33" t="s">
        <v>68</v>
      </c>
      <c r="D33" t="s">
        <v>307</v>
      </c>
      <c r="E33" t="s">
        <v>255</v>
      </c>
      <c r="F33">
        <v>29116</v>
      </c>
      <c r="G33">
        <v>516621</v>
      </c>
      <c r="H33">
        <v>496555</v>
      </c>
      <c r="I33">
        <v>398883</v>
      </c>
      <c r="J33">
        <v>796187</v>
      </c>
      <c r="K33">
        <v>438835</v>
      </c>
      <c r="L33">
        <v>582467</v>
      </c>
    </row>
    <row r="34" spans="1:12" x14ac:dyDescent="0.35">
      <c r="A34">
        <v>2024</v>
      </c>
      <c r="B34">
        <v>5</v>
      </c>
      <c r="C34" t="s">
        <v>68</v>
      </c>
      <c r="D34" t="s">
        <v>307</v>
      </c>
      <c r="E34" t="s">
        <v>257</v>
      </c>
      <c r="F34">
        <v>17818</v>
      </c>
      <c r="G34">
        <v>582267</v>
      </c>
      <c r="H34">
        <v>572515</v>
      </c>
      <c r="I34">
        <v>437073</v>
      </c>
      <c r="J34">
        <v>860331</v>
      </c>
      <c r="K34">
        <v>491739</v>
      </c>
      <c r="L34">
        <v>645792</v>
      </c>
    </row>
    <row r="35" spans="1:12" x14ac:dyDescent="0.35">
      <c r="A35">
        <v>2024</v>
      </c>
      <c r="B35">
        <v>5</v>
      </c>
      <c r="C35" t="s">
        <v>68</v>
      </c>
      <c r="D35" t="s">
        <v>307</v>
      </c>
      <c r="E35" t="s">
        <v>259</v>
      </c>
      <c r="F35">
        <v>11474</v>
      </c>
      <c r="G35">
        <v>747329</v>
      </c>
      <c r="H35">
        <v>711433</v>
      </c>
      <c r="I35">
        <v>564092</v>
      </c>
      <c r="J35">
        <v>909548</v>
      </c>
      <c r="K35">
        <v>679955</v>
      </c>
      <c r="L35">
        <v>828219</v>
      </c>
    </row>
    <row r="36" spans="1:12" x14ac:dyDescent="0.35">
      <c r="A36">
        <v>2024</v>
      </c>
      <c r="B36">
        <v>5</v>
      </c>
      <c r="C36" t="s">
        <v>68</v>
      </c>
      <c r="D36" t="s">
        <v>307</v>
      </c>
      <c r="E36" t="s">
        <v>261</v>
      </c>
      <c r="F36">
        <v>689</v>
      </c>
      <c r="G36">
        <v>895873</v>
      </c>
      <c r="H36">
        <v>902000</v>
      </c>
      <c r="I36">
        <v>749108</v>
      </c>
      <c r="J36">
        <v>1036346</v>
      </c>
      <c r="K36">
        <v>883811</v>
      </c>
      <c r="L36">
        <v>909500</v>
      </c>
    </row>
    <row r="37" spans="1:12" x14ac:dyDescent="0.35">
      <c r="A37">
        <v>2024</v>
      </c>
      <c r="B37">
        <v>5</v>
      </c>
      <c r="C37" t="s">
        <v>68</v>
      </c>
      <c r="D37" t="s">
        <v>307</v>
      </c>
      <c r="E37" t="s">
        <v>263</v>
      </c>
      <c r="F37">
        <v>312</v>
      </c>
      <c r="G37">
        <v>976875</v>
      </c>
      <c r="H37">
        <v>976201</v>
      </c>
      <c r="I37">
        <v>908848</v>
      </c>
      <c r="J37">
        <v>1008701</v>
      </c>
      <c r="K37">
        <v>971201</v>
      </c>
      <c r="L37">
        <v>981201</v>
      </c>
    </row>
    <row r="38" spans="1:12" x14ac:dyDescent="0.35">
      <c r="A38">
        <v>2024</v>
      </c>
      <c r="B38">
        <v>5</v>
      </c>
      <c r="C38" t="s">
        <v>68</v>
      </c>
      <c r="D38" t="s">
        <v>307</v>
      </c>
      <c r="E38" t="s">
        <v>267</v>
      </c>
      <c r="F38">
        <v>59155</v>
      </c>
      <c r="G38">
        <v>447808</v>
      </c>
      <c r="H38">
        <v>426936</v>
      </c>
      <c r="I38">
        <v>342134</v>
      </c>
      <c r="J38">
        <v>584779</v>
      </c>
      <c r="K38">
        <v>400972</v>
      </c>
      <c r="L38">
        <v>496604</v>
      </c>
    </row>
    <row r="39" spans="1:12" x14ac:dyDescent="0.35">
      <c r="A39">
        <v>2024</v>
      </c>
      <c r="B39">
        <v>5</v>
      </c>
      <c r="C39" t="s">
        <v>68</v>
      </c>
      <c r="D39" t="s">
        <v>307</v>
      </c>
      <c r="E39" t="s">
        <v>273</v>
      </c>
      <c r="F39">
        <v>30867</v>
      </c>
      <c r="G39">
        <v>304048</v>
      </c>
      <c r="H39">
        <v>300889</v>
      </c>
      <c r="I39">
        <v>266776</v>
      </c>
      <c r="J39">
        <v>380002</v>
      </c>
      <c r="K39">
        <v>278672</v>
      </c>
      <c r="L39">
        <v>326258</v>
      </c>
    </row>
    <row r="40" spans="1:12" x14ac:dyDescent="0.35">
      <c r="A40">
        <v>2024</v>
      </c>
      <c r="B40">
        <v>6</v>
      </c>
      <c r="C40" t="s">
        <v>69</v>
      </c>
      <c r="D40" t="s">
        <v>307</v>
      </c>
      <c r="E40" t="s">
        <v>255</v>
      </c>
      <c r="F40">
        <v>29192</v>
      </c>
      <c r="G40">
        <v>515890</v>
      </c>
      <c r="H40">
        <v>494055</v>
      </c>
      <c r="I40">
        <v>398882</v>
      </c>
      <c r="J40">
        <v>799008</v>
      </c>
      <c r="K40">
        <v>436383</v>
      </c>
      <c r="L40">
        <v>582467</v>
      </c>
    </row>
    <row r="41" spans="1:12" x14ac:dyDescent="0.35">
      <c r="A41">
        <v>2024</v>
      </c>
      <c r="B41">
        <v>6</v>
      </c>
      <c r="C41" t="s">
        <v>69</v>
      </c>
      <c r="D41" t="s">
        <v>307</v>
      </c>
      <c r="E41" t="s">
        <v>257</v>
      </c>
      <c r="F41">
        <v>17912</v>
      </c>
      <c r="G41">
        <v>582329</v>
      </c>
      <c r="H41">
        <v>570829</v>
      </c>
      <c r="I41">
        <v>437073</v>
      </c>
      <c r="J41">
        <v>858652</v>
      </c>
      <c r="K41">
        <v>491739</v>
      </c>
      <c r="L41">
        <v>645792</v>
      </c>
    </row>
    <row r="42" spans="1:12" x14ac:dyDescent="0.35">
      <c r="A42">
        <v>2024</v>
      </c>
      <c r="B42">
        <v>6</v>
      </c>
      <c r="C42" t="s">
        <v>69</v>
      </c>
      <c r="D42" t="s">
        <v>307</v>
      </c>
      <c r="E42" t="s">
        <v>259</v>
      </c>
      <c r="F42">
        <v>11575</v>
      </c>
      <c r="G42">
        <v>746680</v>
      </c>
      <c r="H42">
        <v>711433</v>
      </c>
      <c r="I42">
        <v>559092</v>
      </c>
      <c r="J42">
        <v>910481</v>
      </c>
      <c r="K42">
        <v>677455</v>
      </c>
      <c r="L42">
        <v>828219</v>
      </c>
    </row>
    <row r="43" spans="1:12" x14ac:dyDescent="0.35">
      <c r="A43">
        <v>2024</v>
      </c>
      <c r="B43">
        <v>6</v>
      </c>
      <c r="C43" t="s">
        <v>69</v>
      </c>
      <c r="D43" t="s">
        <v>307</v>
      </c>
      <c r="E43" t="s">
        <v>261</v>
      </c>
      <c r="F43">
        <v>690</v>
      </c>
      <c r="G43">
        <v>895104</v>
      </c>
      <c r="H43">
        <v>902000</v>
      </c>
      <c r="I43">
        <v>771372</v>
      </c>
      <c r="J43">
        <v>1044535</v>
      </c>
      <c r="K43">
        <v>883811</v>
      </c>
      <c r="L43">
        <v>909500</v>
      </c>
    </row>
    <row r="44" spans="1:12" x14ac:dyDescent="0.35">
      <c r="A44">
        <v>2024</v>
      </c>
      <c r="B44">
        <v>6</v>
      </c>
      <c r="C44" t="s">
        <v>69</v>
      </c>
      <c r="D44" t="s">
        <v>307</v>
      </c>
      <c r="E44" t="s">
        <v>263</v>
      </c>
      <c r="F44">
        <v>313</v>
      </c>
      <c r="G44">
        <v>976900</v>
      </c>
      <c r="H44">
        <v>976201</v>
      </c>
      <c r="I44">
        <v>908848</v>
      </c>
      <c r="J44">
        <v>1012428</v>
      </c>
      <c r="K44">
        <v>971201</v>
      </c>
      <c r="L44">
        <v>981201</v>
      </c>
    </row>
    <row r="45" spans="1:12" x14ac:dyDescent="0.35">
      <c r="A45">
        <v>2024</v>
      </c>
      <c r="B45">
        <v>6</v>
      </c>
      <c r="C45" t="s">
        <v>69</v>
      </c>
      <c r="D45" t="s">
        <v>307</v>
      </c>
      <c r="E45" t="s">
        <v>267</v>
      </c>
      <c r="F45">
        <v>59225</v>
      </c>
      <c r="G45">
        <v>448126</v>
      </c>
      <c r="H45">
        <v>426936</v>
      </c>
      <c r="I45">
        <v>342134</v>
      </c>
      <c r="J45">
        <v>584914</v>
      </c>
      <c r="K45">
        <v>402404</v>
      </c>
      <c r="L45">
        <v>495532</v>
      </c>
    </row>
    <row r="46" spans="1:12" x14ac:dyDescent="0.35">
      <c r="A46">
        <v>2024</v>
      </c>
      <c r="B46">
        <v>6</v>
      </c>
      <c r="C46" t="s">
        <v>69</v>
      </c>
      <c r="D46" t="s">
        <v>307</v>
      </c>
      <c r="E46" t="s">
        <v>273</v>
      </c>
      <c r="F46">
        <v>30875</v>
      </c>
      <c r="G46">
        <v>303807</v>
      </c>
      <c r="H46">
        <v>300889</v>
      </c>
      <c r="I46">
        <v>266776</v>
      </c>
      <c r="J46">
        <v>380002</v>
      </c>
      <c r="K46">
        <v>278672</v>
      </c>
      <c r="L46">
        <v>325655</v>
      </c>
    </row>
    <row r="47" spans="1:12" x14ac:dyDescent="0.35">
      <c r="A47">
        <v>2024</v>
      </c>
      <c r="B47">
        <v>7</v>
      </c>
      <c r="C47" t="s">
        <v>70</v>
      </c>
      <c r="D47" t="s">
        <v>307</v>
      </c>
      <c r="E47" t="s">
        <v>255</v>
      </c>
      <c r="F47">
        <v>30423</v>
      </c>
      <c r="G47">
        <v>513412</v>
      </c>
      <c r="H47">
        <v>489055</v>
      </c>
      <c r="I47">
        <v>398883</v>
      </c>
      <c r="J47">
        <v>797766</v>
      </c>
      <c r="K47">
        <v>428883</v>
      </c>
      <c r="L47">
        <v>579967</v>
      </c>
    </row>
    <row r="48" spans="1:12" x14ac:dyDescent="0.35">
      <c r="A48">
        <v>2024</v>
      </c>
      <c r="B48">
        <v>7</v>
      </c>
      <c r="C48" t="s">
        <v>70</v>
      </c>
      <c r="D48" t="s">
        <v>307</v>
      </c>
      <c r="E48" t="s">
        <v>257</v>
      </c>
      <c r="F48">
        <v>18496</v>
      </c>
      <c r="G48">
        <v>580848</v>
      </c>
      <c r="H48">
        <v>570015</v>
      </c>
      <c r="I48">
        <v>437073</v>
      </c>
      <c r="J48">
        <v>857260</v>
      </c>
      <c r="K48">
        <v>486739</v>
      </c>
      <c r="L48">
        <v>645792</v>
      </c>
    </row>
    <row r="49" spans="1:12" x14ac:dyDescent="0.35">
      <c r="A49">
        <v>2024</v>
      </c>
      <c r="B49">
        <v>7</v>
      </c>
      <c r="C49" t="s">
        <v>70</v>
      </c>
      <c r="D49" t="s">
        <v>307</v>
      </c>
      <c r="E49" t="s">
        <v>259</v>
      </c>
      <c r="F49">
        <v>11607</v>
      </c>
      <c r="G49">
        <v>746485</v>
      </c>
      <c r="H49">
        <v>711433</v>
      </c>
      <c r="I49">
        <v>559092</v>
      </c>
      <c r="J49">
        <v>907049</v>
      </c>
      <c r="K49">
        <v>677455</v>
      </c>
      <c r="L49">
        <v>828219</v>
      </c>
    </row>
    <row r="50" spans="1:12" x14ac:dyDescent="0.35">
      <c r="A50">
        <v>2024</v>
      </c>
      <c r="B50">
        <v>7</v>
      </c>
      <c r="C50" t="s">
        <v>70</v>
      </c>
      <c r="D50" t="s">
        <v>307</v>
      </c>
      <c r="E50" t="s">
        <v>261</v>
      </c>
      <c r="F50">
        <v>693</v>
      </c>
      <c r="G50">
        <v>896399</v>
      </c>
      <c r="H50">
        <v>902000</v>
      </c>
      <c r="I50">
        <v>763872</v>
      </c>
      <c r="J50">
        <v>1070224</v>
      </c>
      <c r="K50">
        <v>883811</v>
      </c>
      <c r="L50">
        <v>909500</v>
      </c>
    </row>
    <row r="51" spans="1:12" x14ac:dyDescent="0.35">
      <c r="A51">
        <v>2024</v>
      </c>
      <c r="B51">
        <v>7</v>
      </c>
      <c r="C51" t="s">
        <v>70</v>
      </c>
      <c r="D51" t="s">
        <v>307</v>
      </c>
      <c r="E51" t="s">
        <v>263</v>
      </c>
      <c r="F51">
        <v>312</v>
      </c>
      <c r="G51">
        <v>976758</v>
      </c>
      <c r="H51">
        <v>976201</v>
      </c>
      <c r="I51">
        <v>908848</v>
      </c>
      <c r="J51">
        <v>1012428</v>
      </c>
      <c r="K51">
        <v>971201</v>
      </c>
      <c r="L51">
        <v>981201</v>
      </c>
    </row>
    <row r="52" spans="1:12" x14ac:dyDescent="0.35">
      <c r="A52">
        <v>2024</v>
      </c>
      <c r="B52">
        <v>7</v>
      </c>
      <c r="C52" t="s">
        <v>70</v>
      </c>
      <c r="D52" t="s">
        <v>307</v>
      </c>
      <c r="E52" t="s">
        <v>267</v>
      </c>
      <c r="F52">
        <v>59114</v>
      </c>
      <c r="G52">
        <v>448024</v>
      </c>
      <c r="H52">
        <v>426936</v>
      </c>
      <c r="I52">
        <v>342132</v>
      </c>
      <c r="J52">
        <v>584648</v>
      </c>
      <c r="K52">
        <v>402404</v>
      </c>
      <c r="L52">
        <v>494523</v>
      </c>
    </row>
    <row r="53" spans="1:12" x14ac:dyDescent="0.35">
      <c r="A53">
        <v>2024</v>
      </c>
      <c r="B53">
        <v>7</v>
      </c>
      <c r="C53" t="s">
        <v>70</v>
      </c>
      <c r="D53" t="s">
        <v>307</v>
      </c>
      <c r="E53" t="s">
        <v>273</v>
      </c>
      <c r="F53">
        <v>30813</v>
      </c>
      <c r="G53">
        <v>303353</v>
      </c>
      <c r="H53">
        <v>299225</v>
      </c>
      <c r="I53">
        <v>266776</v>
      </c>
      <c r="J53">
        <v>380366</v>
      </c>
      <c r="K53">
        <v>276725</v>
      </c>
      <c r="L53">
        <v>324681</v>
      </c>
    </row>
    <row r="54" spans="1:12" x14ac:dyDescent="0.35">
      <c r="A54">
        <v>2024</v>
      </c>
      <c r="B54">
        <v>8</v>
      </c>
      <c r="C54" t="s">
        <v>71</v>
      </c>
      <c r="D54" t="s">
        <v>307</v>
      </c>
      <c r="E54" t="s">
        <v>255</v>
      </c>
      <c r="F54">
        <v>30919</v>
      </c>
      <c r="G54">
        <v>513146</v>
      </c>
      <c r="H54">
        <v>486838</v>
      </c>
      <c r="I54">
        <v>398883</v>
      </c>
      <c r="J54">
        <v>797766</v>
      </c>
      <c r="K54">
        <v>426383</v>
      </c>
      <c r="L54">
        <v>582468</v>
      </c>
    </row>
    <row r="55" spans="1:12" x14ac:dyDescent="0.35">
      <c r="A55">
        <v>2024</v>
      </c>
      <c r="B55">
        <v>8</v>
      </c>
      <c r="C55" t="s">
        <v>71</v>
      </c>
      <c r="D55" t="s">
        <v>307</v>
      </c>
      <c r="E55" t="s">
        <v>257</v>
      </c>
      <c r="F55">
        <v>18646</v>
      </c>
      <c r="G55">
        <v>580134</v>
      </c>
      <c r="H55">
        <v>567515</v>
      </c>
      <c r="I55">
        <v>437073</v>
      </c>
      <c r="J55">
        <v>859793</v>
      </c>
      <c r="K55">
        <v>486050</v>
      </c>
      <c r="L55">
        <v>645792</v>
      </c>
    </row>
    <row r="56" spans="1:12" x14ac:dyDescent="0.35">
      <c r="A56">
        <v>2024</v>
      </c>
      <c r="B56">
        <v>8</v>
      </c>
      <c r="C56" t="s">
        <v>71</v>
      </c>
      <c r="D56" t="s">
        <v>307</v>
      </c>
      <c r="E56" t="s">
        <v>259</v>
      </c>
      <c r="F56">
        <v>11653</v>
      </c>
      <c r="G56">
        <v>746678</v>
      </c>
      <c r="H56">
        <v>711433</v>
      </c>
      <c r="I56">
        <v>564092</v>
      </c>
      <c r="J56">
        <v>909441</v>
      </c>
      <c r="K56">
        <v>677455</v>
      </c>
      <c r="L56">
        <v>828219</v>
      </c>
    </row>
    <row r="57" spans="1:12" x14ac:dyDescent="0.35">
      <c r="A57">
        <v>2024</v>
      </c>
      <c r="B57">
        <v>8</v>
      </c>
      <c r="C57" t="s">
        <v>71</v>
      </c>
      <c r="D57" t="s">
        <v>307</v>
      </c>
      <c r="E57" t="s">
        <v>261</v>
      </c>
      <c r="F57">
        <v>691</v>
      </c>
      <c r="G57">
        <v>894982</v>
      </c>
      <c r="H57">
        <v>902000</v>
      </c>
      <c r="I57">
        <v>763872</v>
      </c>
      <c r="J57">
        <v>1065301</v>
      </c>
      <c r="K57">
        <v>883811</v>
      </c>
      <c r="L57">
        <v>909500</v>
      </c>
    </row>
    <row r="58" spans="1:12" x14ac:dyDescent="0.35">
      <c r="A58">
        <v>2024</v>
      </c>
      <c r="B58">
        <v>8</v>
      </c>
      <c r="C58" t="s">
        <v>71</v>
      </c>
      <c r="D58" t="s">
        <v>307</v>
      </c>
      <c r="E58" t="s">
        <v>263</v>
      </c>
      <c r="F58">
        <v>312</v>
      </c>
      <c r="G58">
        <v>976346</v>
      </c>
      <c r="H58">
        <v>976201</v>
      </c>
      <c r="I58">
        <v>908848</v>
      </c>
      <c r="J58">
        <v>1008701</v>
      </c>
      <c r="K58">
        <v>968703</v>
      </c>
      <c r="L58">
        <v>981201</v>
      </c>
    </row>
    <row r="59" spans="1:12" x14ac:dyDescent="0.35">
      <c r="A59">
        <v>2024</v>
      </c>
      <c r="B59">
        <v>8</v>
      </c>
      <c r="C59" t="s">
        <v>71</v>
      </c>
      <c r="D59" t="s">
        <v>307</v>
      </c>
      <c r="E59" t="s">
        <v>267</v>
      </c>
      <c r="F59">
        <v>59483</v>
      </c>
      <c r="G59">
        <v>451452</v>
      </c>
      <c r="H59">
        <v>427540</v>
      </c>
      <c r="I59">
        <v>342132</v>
      </c>
      <c r="J59">
        <v>584726</v>
      </c>
      <c r="K59">
        <v>400926</v>
      </c>
      <c r="L59">
        <v>514028</v>
      </c>
    </row>
    <row r="60" spans="1:12" x14ac:dyDescent="0.35">
      <c r="A60">
        <v>2024</v>
      </c>
      <c r="B60">
        <v>8</v>
      </c>
      <c r="C60" t="s">
        <v>71</v>
      </c>
      <c r="D60" t="s">
        <v>307</v>
      </c>
      <c r="E60" t="s">
        <v>273</v>
      </c>
      <c r="F60">
        <v>30795</v>
      </c>
      <c r="G60">
        <v>303730</v>
      </c>
      <c r="H60">
        <v>298672</v>
      </c>
      <c r="I60">
        <v>266776</v>
      </c>
      <c r="J60">
        <v>380594</v>
      </c>
      <c r="K60">
        <v>276725</v>
      </c>
      <c r="L60">
        <v>326258</v>
      </c>
    </row>
    <row r="61" spans="1:12" x14ac:dyDescent="0.35">
      <c r="A61">
        <v>2024</v>
      </c>
      <c r="B61">
        <v>9</v>
      </c>
      <c r="C61" t="s">
        <v>72</v>
      </c>
      <c r="D61" t="s">
        <v>307</v>
      </c>
      <c r="E61" t="s">
        <v>255</v>
      </c>
      <c r="F61">
        <v>31082</v>
      </c>
      <c r="G61">
        <v>513021</v>
      </c>
      <c r="H61">
        <v>486555</v>
      </c>
      <c r="I61">
        <v>398882</v>
      </c>
      <c r="J61">
        <v>797766</v>
      </c>
      <c r="K61">
        <v>426335</v>
      </c>
      <c r="L61">
        <v>584967</v>
      </c>
    </row>
    <row r="62" spans="1:12" x14ac:dyDescent="0.35">
      <c r="A62">
        <v>2024</v>
      </c>
      <c r="B62">
        <v>9</v>
      </c>
      <c r="C62" t="s">
        <v>72</v>
      </c>
      <c r="D62" t="s">
        <v>307</v>
      </c>
      <c r="E62" t="s">
        <v>257</v>
      </c>
      <c r="F62">
        <v>18787</v>
      </c>
      <c r="G62">
        <v>580322</v>
      </c>
      <c r="H62">
        <v>567515</v>
      </c>
      <c r="I62">
        <v>437073</v>
      </c>
      <c r="J62">
        <v>858292</v>
      </c>
      <c r="K62">
        <v>482073</v>
      </c>
      <c r="L62">
        <v>650792</v>
      </c>
    </row>
    <row r="63" spans="1:12" x14ac:dyDescent="0.35">
      <c r="A63">
        <v>2024</v>
      </c>
      <c r="B63">
        <v>9</v>
      </c>
      <c r="C63" t="s">
        <v>72</v>
      </c>
      <c r="D63" t="s">
        <v>307</v>
      </c>
      <c r="E63" t="s">
        <v>259</v>
      </c>
      <c r="F63">
        <v>11684</v>
      </c>
      <c r="G63">
        <v>745913</v>
      </c>
      <c r="H63">
        <v>709955</v>
      </c>
      <c r="I63">
        <v>564092</v>
      </c>
      <c r="J63">
        <v>904553</v>
      </c>
      <c r="K63">
        <v>677455</v>
      </c>
      <c r="L63">
        <v>828219</v>
      </c>
    </row>
    <row r="64" spans="1:12" x14ac:dyDescent="0.35">
      <c r="A64">
        <v>2024</v>
      </c>
      <c r="B64">
        <v>9</v>
      </c>
      <c r="C64" t="s">
        <v>72</v>
      </c>
      <c r="D64" t="s">
        <v>307</v>
      </c>
      <c r="E64" t="s">
        <v>261</v>
      </c>
      <c r="F64">
        <v>690</v>
      </c>
      <c r="G64">
        <v>896339</v>
      </c>
      <c r="H64">
        <v>902000</v>
      </c>
      <c r="I64">
        <v>763872</v>
      </c>
      <c r="J64">
        <v>1012078</v>
      </c>
      <c r="K64">
        <v>889500</v>
      </c>
      <c r="L64">
        <v>909500</v>
      </c>
    </row>
    <row r="65" spans="1:12" x14ac:dyDescent="0.35">
      <c r="A65">
        <v>2024</v>
      </c>
      <c r="B65">
        <v>9</v>
      </c>
      <c r="C65" t="s">
        <v>72</v>
      </c>
      <c r="D65" t="s">
        <v>307</v>
      </c>
      <c r="E65" t="s">
        <v>263</v>
      </c>
      <c r="F65">
        <v>312</v>
      </c>
      <c r="G65">
        <v>976690</v>
      </c>
      <c r="H65">
        <v>976201</v>
      </c>
      <c r="I65">
        <v>908848</v>
      </c>
      <c r="J65">
        <v>1008701</v>
      </c>
      <c r="K65">
        <v>971201</v>
      </c>
      <c r="L65">
        <v>981201</v>
      </c>
    </row>
    <row r="66" spans="1:12" x14ac:dyDescent="0.35">
      <c r="A66">
        <v>2024</v>
      </c>
      <c r="B66">
        <v>9</v>
      </c>
      <c r="C66" t="s">
        <v>72</v>
      </c>
      <c r="D66" t="s">
        <v>307</v>
      </c>
      <c r="E66" t="s">
        <v>267</v>
      </c>
      <c r="F66">
        <v>59641</v>
      </c>
      <c r="G66">
        <v>448118</v>
      </c>
      <c r="H66">
        <v>426936</v>
      </c>
      <c r="I66">
        <v>342134</v>
      </c>
      <c r="J66">
        <v>584648</v>
      </c>
      <c r="K66">
        <v>399904</v>
      </c>
      <c r="L66">
        <v>496739</v>
      </c>
    </row>
    <row r="67" spans="1:12" x14ac:dyDescent="0.35">
      <c r="A67">
        <v>2024</v>
      </c>
      <c r="B67">
        <v>9</v>
      </c>
      <c r="C67" t="s">
        <v>72</v>
      </c>
      <c r="D67" t="s">
        <v>307</v>
      </c>
      <c r="E67" t="s">
        <v>273</v>
      </c>
      <c r="F67">
        <v>31211</v>
      </c>
      <c r="G67">
        <v>302677</v>
      </c>
      <c r="H67">
        <v>298438</v>
      </c>
      <c r="I67">
        <v>266776</v>
      </c>
      <c r="J67">
        <v>380002</v>
      </c>
      <c r="K67">
        <v>276725</v>
      </c>
      <c r="L67">
        <v>324681</v>
      </c>
    </row>
    <row r="68" spans="1:12" x14ac:dyDescent="0.35">
      <c r="A68">
        <v>2024</v>
      </c>
      <c r="B68">
        <v>10</v>
      </c>
      <c r="C68" t="s">
        <v>73</v>
      </c>
      <c r="D68" t="s">
        <v>307</v>
      </c>
      <c r="E68" t="s">
        <v>255</v>
      </c>
      <c r="F68">
        <v>31418</v>
      </c>
      <c r="G68">
        <v>512836</v>
      </c>
      <c r="H68">
        <v>489055</v>
      </c>
      <c r="I68">
        <v>398882</v>
      </c>
      <c r="J68">
        <v>796187</v>
      </c>
      <c r="K68">
        <v>426333</v>
      </c>
      <c r="L68">
        <v>584967</v>
      </c>
    </row>
    <row r="69" spans="1:12" x14ac:dyDescent="0.35">
      <c r="A69">
        <v>2024</v>
      </c>
      <c r="B69">
        <v>10</v>
      </c>
      <c r="C69" t="s">
        <v>73</v>
      </c>
      <c r="D69" t="s">
        <v>307</v>
      </c>
      <c r="E69" t="s">
        <v>257</v>
      </c>
      <c r="F69">
        <v>18867</v>
      </c>
      <c r="G69">
        <v>580001</v>
      </c>
      <c r="H69">
        <v>566641</v>
      </c>
      <c r="I69">
        <v>437073</v>
      </c>
      <c r="J69">
        <v>858292</v>
      </c>
      <c r="K69">
        <v>483550</v>
      </c>
      <c r="L69">
        <v>648292</v>
      </c>
    </row>
    <row r="70" spans="1:12" x14ac:dyDescent="0.35">
      <c r="A70">
        <v>2024</v>
      </c>
      <c r="B70">
        <v>10</v>
      </c>
      <c r="C70" t="s">
        <v>73</v>
      </c>
      <c r="D70" t="s">
        <v>307</v>
      </c>
      <c r="E70" t="s">
        <v>259</v>
      </c>
      <c r="F70">
        <v>11762</v>
      </c>
      <c r="G70">
        <v>744996</v>
      </c>
      <c r="H70">
        <v>708933</v>
      </c>
      <c r="I70">
        <v>564092</v>
      </c>
      <c r="J70">
        <v>902702</v>
      </c>
      <c r="K70">
        <v>677455</v>
      </c>
      <c r="L70">
        <v>825719</v>
      </c>
    </row>
    <row r="71" spans="1:12" x14ac:dyDescent="0.35">
      <c r="A71">
        <v>2024</v>
      </c>
      <c r="B71">
        <v>10</v>
      </c>
      <c r="C71" t="s">
        <v>73</v>
      </c>
      <c r="D71" t="s">
        <v>307</v>
      </c>
      <c r="E71" t="s">
        <v>261</v>
      </c>
      <c r="F71">
        <v>687</v>
      </c>
      <c r="G71">
        <v>896567</v>
      </c>
      <c r="H71">
        <v>902000</v>
      </c>
      <c r="I71">
        <v>763872</v>
      </c>
      <c r="J71">
        <v>1012078</v>
      </c>
      <c r="K71">
        <v>891311</v>
      </c>
      <c r="L71">
        <v>909500</v>
      </c>
    </row>
    <row r="72" spans="1:12" x14ac:dyDescent="0.35">
      <c r="A72">
        <v>2024</v>
      </c>
      <c r="B72">
        <v>10</v>
      </c>
      <c r="C72" t="s">
        <v>73</v>
      </c>
      <c r="D72" t="s">
        <v>307</v>
      </c>
      <c r="E72" t="s">
        <v>263</v>
      </c>
      <c r="F72">
        <v>316</v>
      </c>
      <c r="G72">
        <v>975452</v>
      </c>
      <c r="H72">
        <v>976201</v>
      </c>
      <c r="I72">
        <v>891400</v>
      </c>
      <c r="J72">
        <v>1008701</v>
      </c>
      <c r="K72">
        <v>968703</v>
      </c>
      <c r="L72">
        <v>981201</v>
      </c>
    </row>
    <row r="73" spans="1:12" x14ac:dyDescent="0.35">
      <c r="A73">
        <v>2024</v>
      </c>
      <c r="B73">
        <v>10</v>
      </c>
      <c r="C73" t="s">
        <v>73</v>
      </c>
      <c r="D73" t="s">
        <v>307</v>
      </c>
      <c r="E73" t="s">
        <v>267</v>
      </c>
      <c r="F73">
        <v>59181</v>
      </c>
      <c r="G73">
        <v>451056</v>
      </c>
      <c r="H73">
        <v>429436</v>
      </c>
      <c r="I73">
        <v>342132</v>
      </c>
      <c r="J73">
        <v>584648</v>
      </c>
      <c r="K73">
        <v>406936</v>
      </c>
      <c r="L73">
        <v>499104</v>
      </c>
    </row>
    <row r="74" spans="1:12" x14ac:dyDescent="0.35">
      <c r="A74">
        <v>2024</v>
      </c>
      <c r="B74">
        <v>10</v>
      </c>
      <c r="C74" t="s">
        <v>73</v>
      </c>
      <c r="D74" t="s">
        <v>307</v>
      </c>
      <c r="E74" t="s">
        <v>273</v>
      </c>
      <c r="F74">
        <v>33619</v>
      </c>
      <c r="G74">
        <v>302872</v>
      </c>
      <c r="H74">
        <v>296725</v>
      </c>
      <c r="I74">
        <v>266776</v>
      </c>
      <c r="J74">
        <v>380002</v>
      </c>
      <c r="K74">
        <v>276725</v>
      </c>
      <c r="L74">
        <v>324681</v>
      </c>
    </row>
    <row r="75" spans="1:12" x14ac:dyDescent="0.35">
      <c r="A75">
        <v>2024</v>
      </c>
      <c r="B75">
        <v>11</v>
      </c>
      <c r="C75" t="s">
        <v>74</v>
      </c>
      <c r="D75" t="s">
        <v>307</v>
      </c>
      <c r="E75" t="s">
        <v>255</v>
      </c>
      <c r="F75">
        <v>31750</v>
      </c>
      <c r="G75">
        <v>514180</v>
      </c>
      <c r="H75">
        <v>489055</v>
      </c>
      <c r="I75">
        <v>398882</v>
      </c>
      <c r="J75">
        <v>797766</v>
      </c>
      <c r="K75">
        <v>431382</v>
      </c>
      <c r="L75">
        <v>582468</v>
      </c>
    </row>
    <row r="76" spans="1:12" x14ac:dyDescent="0.35">
      <c r="A76">
        <v>2024</v>
      </c>
      <c r="B76">
        <v>11</v>
      </c>
      <c r="C76" t="s">
        <v>74</v>
      </c>
      <c r="D76" t="s">
        <v>307</v>
      </c>
      <c r="E76" t="s">
        <v>257</v>
      </c>
      <c r="F76">
        <v>18952</v>
      </c>
      <c r="G76">
        <v>581874</v>
      </c>
      <c r="H76">
        <v>567079</v>
      </c>
      <c r="I76">
        <v>437072</v>
      </c>
      <c r="J76">
        <v>859717</v>
      </c>
      <c r="K76">
        <v>488550</v>
      </c>
      <c r="L76">
        <v>648292</v>
      </c>
    </row>
    <row r="77" spans="1:12" x14ac:dyDescent="0.35">
      <c r="A77">
        <v>2024</v>
      </c>
      <c r="B77">
        <v>11</v>
      </c>
      <c r="C77" t="s">
        <v>74</v>
      </c>
      <c r="D77" t="s">
        <v>307</v>
      </c>
      <c r="E77" t="s">
        <v>259</v>
      </c>
      <c r="F77">
        <v>11817</v>
      </c>
      <c r="G77">
        <v>744598</v>
      </c>
      <c r="H77">
        <v>708933</v>
      </c>
      <c r="I77">
        <v>564092</v>
      </c>
      <c r="J77">
        <v>902702</v>
      </c>
      <c r="K77">
        <v>674955</v>
      </c>
      <c r="L77">
        <v>825719</v>
      </c>
    </row>
    <row r="78" spans="1:12" x14ac:dyDescent="0.35">
      <c r="A78">
        <v>2024</v>
      </c>
      <c r="B78">
        <v>11</v>
      </c>
      <c r="C78" t="s">
        <v>74</v>
      </c>
      <c r="D78" t="s">
        <v>307</v>
      </c>
      <c r="E78" t="s">
        <v>261</v>
      </c>
      <c r="F78">
        <v>702</v>
      </c>
      <c r="G78">
        <v>895858</v>
      </c>
      <c r="H78">
        <v>902000</v>
      </c>
      <c r="I78">
        <v>763872</v>
      </c>
      <c r="J78">
        <v>1066667</v>
      </c>
      <c r="K78">
        <v>889500</v>
      </c>
      <c r="L78">
        <v>909500</v>
      </c>
    </row>
    <row r="79" spans="1:12" x14ac:dyDescent="0.35">
      <c r="A79">
        <v>2024</v>
      </c>
      <c r="B79">
        <v>11</v>
      </c>
      <c r="C79" t="s">
        <v>74</v>
      </c>
      <c r="D79" t="s">
        <v>307</v>
      </c>
      <c r="E79" t="s">
        <v>263</v>
      </c>
      <c r="F79">
        <v>319</v>
      </c>
      <c r="G79">
        <v>974615</v>
      </c>
      <c r="H79">
        <v>976201</v>
      </c>
      <c r="I79">
        <v>891400</v>
      </c>
      <c r="J79">
        <v>1008701</v>
      </c>
      <c r="K79">
        <v>968701</v>
      </c>
      <c r="L79">
        <v>981201</v>
      </c>
    </row>
    <row r="80" spans="1:12" x14ac:dyDescent="0.35">
      <c r="A80">
        <v>2024</v>
      </c>
      <c r="B80">
        <v>11</v>
      </c>
      <c r="C80" t="s">
        <v>74</v>
      </c>
      <c r="D80" t="s">
        <v>307</v>
      </c>
      <c r="E80" t="s">
        <v>267</v>
      </c>
      <c r="F80">
        <v>58742</v>
      </c>
      <c r="G80">
        <v>451649</v>
      </c>
      <c r="H80">
        <v>429436</v>
      </c>
      <c r="I80">
        <v>342132</v>
      </c>
      <c r="J80">
        <v>584647</v>
      </c>
      <c r="K80">
        <v>406936</v>
      </c>
      <c r="L80">
        <v>499523</v>
      </c>
    </row>
    <row r="81" spans="1:12" x14ac:dyDescent="0.35">
      <c r="A81">
        <v>2024</v>
      </c>
      <c r="B81">
        <v>11</v>
      </c>
      <c r="C81" t="s">
        <v>74</v>
      </c>
      <c r="D81" t="s">
        <v>307</v>
      </c>
      <c r="E81" t="s">
        <v>273</v>
      </c>
      <c r="F81">
        <v>35749</v>
      </c>
      <c r="G81">
        <v>301860</v>
      </c>
      <c r="H81">
        <v>294176</v>
      </c>
      <c r="I81">
        <v>266776</v>
      </c>
      <c r="J81">
        <v>380002</v>
      </c>
      <c r="K81">
        <v>276725</v>
      </c>
      <c r="L81">
        <v>323389</v>
      </c>
    </row>
    <row r="82" spans="1:12" x14ac:dyDescent="0.35">
      <c r="A82">
        <v>2024</v>
      </c>
      <c r="B82">
        <v>12</v>
      </c>
      <c r="C82" t="s">
        <v>75</v>
      </c>
      <c r="D82" t="s">
        <v>307</v>
      </c>
      <c r="E82" t="s">
        <v>255</v>
      </c>
      <c r="F82">
        <v>31695</v>
      </c>
      <c r="G82">
        <v>513437</v>
      </c>
      <c r="H82">
        <v>489055</v>
      </c>
      <c r="I82">
        <v>398882</v>
      </c>
      <c r="J82">
        <v>796187</v>
      </c>
      <c r="K82">
        <v>431333</v>
      </c>
      <c r="L82">
        <v>582467</v>
      </c>
    </row>
    <row r="83" spans="1:12" x14ac:dyDescent="0.35">
      <c r="A83">
        <v>2024</v>
      </c>
      <c r="B83">
        <v>12</v>
      </c>
      <c r="C83" t="s">
        <v>75</v>
      </c>
      <c r="D83" t="s">
        <v>307</v>
      </c>
      <c r="E83" t="s">
        <v>257</v>
      </c>
      <c r="F83">
        <v>19001</v>
      </c>
      <c r="G83">
        <v>581918</v>
      </c>
      <c r="H83">
        <v>567515</v>
      </c>
      <c r="I83">
        <v>437072</v>
      </c>
      <c r="J83">
        <v>842012</v>
      </c>
      <c r="K83">
        <v>488550</v>
      </c>
      <c r="L83">
        <v>648292</v>
      </c>
    </row>
    <row r="84" spans="1:12" x14ac:dyDescent="0.35">
      <c r="A84">
        <v>2024</v>
      </c>
      <c r="B84">
        <v>12</v>
      </c>
      <c r="C84" t="s">
        <v>75</v>
      </c>
      <c r="D84" t="s">
        <v>307</v>
      </c>
      <c r="E84" t="s">
        <v>259</v>
      </c>
      <c r="F84">
        <v>11839</v>
      </c>
      <c r="G84">
        <v>744178</v>
      </c>
      <c r="H84">
        <v>708933</v>
      </c>
      <c r="I84">
        <v>564092</v>
      </c>
      <c r="J84">
        <v>902702</v>
      </c>
      <c r="K84">
        <v>674955</v>
      </c>
      <c r="L84">
        <v>825719</v>
      </c>
    </row>
    <row r="85" spans="1:12" x14ac:dyDescent="0.35">
      <c r="A85">
        <v>2024</v>
      </c>
      <c r="B85">
        <v>12</v>
      </c>
      <c r="C85" t="s">
        <v>75</v>
      </c>
      <c r="D85" t="s">
        <v>307</v>
      </c>
      <c r="E85" t="s">
        <v>261</v>
      </c>
      <c r="F85">
        <v>700</v>
      </c>
      <c r="G85">
        <v>895747</v>
      </c>
      <c r="H85">
        <v>902000</v>
      </c>
      <c r="I85">
        <v>763872</v>
      </c>
      <c r="J85">
        <v>1057997</v>
      </c>
      <c r="K85">
        <v>889500</v>
      </c>
      <c r="L85">
        <v>909500</v>
      </c>
    </row>
    <row r="86" spans="1:12" x14ac:dyDescent="0.35">
      <c r="A86">
        <v>2024</v>
      </c>
      <c r="B86">
        <v>12</v>
      </c>
      <c r="C86" t="s">
        <v>75</v>
      </c>
      <c r="D86" t="s">
        <v>307</v>
      </c>
      <c r="E86" t="s">
        <v>263</v>
      </c>
      <c r="F86">
        <v>319</v>
      </c>
      <c r="G86">
        <v>974584</v>
      </c>
      <c r="H86">
        <v>976201</v>
      </c>
      <c r="I86">
        <v>891400</v>
      </c>
      <c r="J86">
        <v>1008701</v>
      </c>
      <c r="K86">
        <v>968701</v>
      </c>
      <c r="L86">
        <v>981201</v>
      </c>
    </row>
    <row r="87" spans="1:12" x14ac:dyDescent="0.35">
      <c r="A87">
        <v>2024</v>
      </c>
      <c r="B87">
        <v>12</v>
      </c>
      <c r="C87" t="s">
        <v>75</v>
      </c>
      <c r="D87" t="s">
        <v>307</v>
      </c>
      <c r="E87" t="s">
        <v>267</v>
      </c>
      <c r="F87">
        <v>58688</v>
      </c>
      <c r="G87">
        <v>451653</v>
      </c>
      <c r="H87">
        <v>429436</v>
      </c>
      <c r="I87">
        <v>342132</v>
      </c>
      <c r="J87">
        <v>584647</v>
      </c>
      <c r="K87">
        <v>406936</v>
      </c>
      <c r="L87">
        <v>499523</v>
      </c>
    </row>
    <row r="88" spans="1:12" x14ac:dyDescent="0.35">
      <c r="A88">
        <v>2024</v>
      </c>
      <c r="B88">
        <v>12</v>
      </c>
      <c r="C88" t="s">
        <v>75</v>
      </c>
      <c r="D88" t="s">
        <v>307</v>
      </c>
      <c r="E88" t="s">
        <v>273</v>
      </c>
      <c r="F88">
        <v>35889</v>
      </c>
      <c r="G88">
        <v>301821</v>
      </c>
      <c r="H88">
        <v>294176</v>
      </c>
      <c r="I88">
        <v>266776</v>
      </c>
      <c r="J88">
        <v>380002</v>
      </c>
      <c r="K88">
        <v>276725</v>
      </c>
      <c r="L88">
        <v>323389</v>
      </c>
    </row>
    <row r="89" spans="1:12" x14ac:dyDescent="0.35">
      <c r="A89">
        <v>2025</v>
      </c>
      <c r="B89">
        <v>1</v>
      </c>
      <c r="C89" t="s">
        <v>42</v>
      </c>
      <c r="D89" t="s">
        <v>307</v>
      </c>
      <c r="E89" t="s">
        <v>255</v>
      </c>
      <c r="F89">
        <v>31056</v>
      </c>
      <c r="G89">
        <v>517895</v>
      </c>
      <c r="H89">
        <v>494055</v>
      </c>
      <c r="I89">
        <v>398882</v>
      </c>
      <c r="J89">
        <v>797766</v>
      </c>
      <c r="K89">
        <v>446838</v>
      </c>
      <c r="L89">
        <v>579967</v>
      </c>
    </row>
    <row r="90" spans="1:12" x14ac:dyDescent="0.35">
      <c r="A90">
        <v>2025</v>
      </c>
      <c r="B90">
        <v>1</v>
      </c>
      <c r="C90" t="s">
        <v>42</v>
      </c>
      <c r="D90" t="s">
        <v>307</v>
      </c>
      <c r="E90" t="s">
        <v>257</v>
      </c>
      <c r="F90">
        <v>18997</v>
      </c>
      <c r="G90">
        <v>590086</v>
      </c>
      <c r="H90">
        <v>577515</v>
      </c>
      <c r="I90">
        <v>437073</v>
      </c>
      <c r="J90">
        <v>859465</v>
      </c>
      <c r="K90">
        <v>502528</v>
      </c>
      <c r="L90">
        <v>653292</v>
      </c>
    </row>
    <row r="91" spans="1:12" x14ac:dyDescent="0.35">
      <c r="A91">
        <v>2025</v>
      </c>
      <c r="B91">
        <v>1</v>
      </c>
      <c r="C91" t="s">
        <v>42</v>
      </c>
      <c r="D91" t="s">
        <v>307</v>
      </c>
      <c r="E91" t="s">
        <v>259</v>
      </c>
      <c r="F91">
        <v>11456</v>
      </c>
      <c r="G91">
        <v>743540</v>
      </c>
      <c r="H91">
        <v>708933</v>
      </c>
      <c r="I91">
        <v>569092</v>
      </c>
      <c r="J91">
        <v>910892</v>
      </c>
      <c r="K91">
        <v>677455</v>
      </c>
      <c r="L91">
        <v>823219</v>
      </c>
    </row>
    <row r="92" spans="1:12" x14ac:dyDescent="0.35">
      <c r="A92">
        <v>2025</v>
      </c>
      <c r="B92">
        <v>1</v>
      </c>
      <c r="C92" t="s">
        <v>42</v>
      </c>
      <c r="D92" t="s">
        <v>307</v>
      </c>
      <c r="E92" t="s">
        <v>261</v>
      </c>
      <c r="F92">
        <v>656</v>
      </c>
      <c r="G92">
        <v>904682</v>
      </c>
      <c r="H92">
        <v>902000</v>
      </c>
      <c r="I92">
        <v>763872</v>
      </c>
      <c r="J92">
        <v>1069076</v>
      </c>
      <c r="K92">
        <v>897000</v>
      </c>
      <c r="L92">
        <v>912000</v>
      </c>
    </row>
    <row r="93" spans="1:12" x14ac:dyDescent="0.35">
      <c r="A93">
        <v>2025</v>
      </c>
      <c r="B93">
        <v>1</v>
      </c>
      <c r="C93" t="s">
        <v>42</v>
      </c>
      <c r="D93" t="s">
        <v>307</v>
      </c>
      <c r="E93" t="s">
        <v>263</v>
      </c>
      <c r="F93">
        <v>240</v>
      </c>
      <c r="G93">
        <v>977038</v>
      </c>
      <c r="H93">
        <v>976201</v>
      </c>
      <c r="I93">
        <v>906397</v>
      </c>
      <c r="J93">
        <v>1031389</v>
      </c>
      <c r="K93">
        <v>968701</v>
      </c>
      <c r="L93">
        <v>981201</v>
      </c>
    </row>
    <row r="94" spans="1:12" x14ac:dyDescent="0.35">
      <c r="A94">
        <v>2025</v>
      </c>
      <c r="B94">
        <v>1</v>
      </c>
      <c r="C94" t="s">
        <v>42</v>
      </c>
      <c r="D94" t="s">
        <v>307</v>
      </c>
      <c r="E94" t="s">
        <v>267</v>
      </c>
      <c r="F94">
        <v>57262</v>
      </c>
      <c r="G94">
        <v>452410</v>
      </c>
      <c r="H94">
        <v>431936</v>
      </c>
      <c r="I94">
        <v>342132</v>
      </c>
      <c r="J94">
        <v>584647</v>
      </c>
      <c r="K94">
        <v>411635</v>
      </c>
      <c r="L94">
        <v>494104</v>
      </c>
    </row>
    <row r="95" spans="1:12" x14ac:dyDescent="0.35">
      <c r="A95">
        <v>2025</v>
      </c>
      <c r="B95">
        <v>1</v>
      </c>
      <c r="C95" t="s">
        <v>42</v>
      </c>
      <c r="D95" t="s">
        <v>307</v>
      </c>
      <c r="E95" t="s">
        <v>273</v>
      </c>
      <c r="F95">
        <v>36167</v>
      </c>
      <c r="G95">
        <v>304940</v>
      </c>
      <c r="H95">
        <v>298788</v>
      </c>
      <c r="I95">
        <v>266776</v>
      </c>
      <c r="J95">
        <v>380002</v>
      </c>
      <c r="K95">
        <v>282123</v>
      </c>
      <c r="L95">
        <v>324681</v>
      </c>
    </row>
    <row r="96" spans="1:12" x14ac:dyDescent="0.35">
      <c r="A96">
        <v>2025</v>
      </c>
      <c r="B96">
        <v>2</v>
      </c>
      <c r="C96" t="s">
        <v>63</v>
      </c>
      <c r="D96" t="s">
        <v>307</v>
      </c>
      <c r="E96" t="s">
        <v>255</v>
      </c>
      <c r="F96">
        <v>31155</v>
      </c>
      <c r="G96">
        <v>521376</v>
      </c>
      <c r="H96">
        <v>504055</v>
      </c>
      <c r="I96">
        <v>398882</v>
      </c>
      <c r="J96">
        <v>798872</v>
      </c>
      <c r="K96">
        <v>441333</v>
      </c>
      <c r="L96">
        <v>587467</v>
      </c>
    </row>
    <row r="97" spans="1:12" x14ac:dyDescent="0.35">
      <c r="A97">
        <v>2025</v>
      </c>
      <c r="B97">
        <v>2</v>
      </c>
      <c r="C97" t="s">
        <v>63</v>
      </c>
      <c r="D97" t="s">
        <v>307</v>
      </c>
      <c r="E97" t="s">
        <v>257</v>
      </c>
      <c r="F97">
        <v>19136</v>
      </c>
      <c r="G97">
        <v>601264</v>
      </c>
      <c r="H97">
        <v>598021</v>
      </c>
      <c r="I97">
        <v>437073</v>
      </c>
      <c r="J97">
        <v>858545</v>
      </c>
      <c r="K97">
        <v>496739</v>
      </c>
      <c r="L97">
        <v>668292</v>
      </c>
    </row>
    <row r="98" spans="1:12" x14ac:dyDescent="0.35">
      <c r="A98">
        <v>2025</v>
      </c>
      <c r="B98">
        <v>2</v>
      </c>
      <c r="C98" t="s">
        <v>63</v>
      </c>
      <c r="D98" t="s">
        <v>307</v>
      </c>
      <c r="E98" t="s">
        <v>259</v>
      </c>
      <c r="F98">
        <v>11432</v>
      </c>
      <c r="G98">
        <v>761684</v>
      </c>
      <c r="H98">
        <v>737219</v>
      </c>
      <c r="I98">
        <v>566592</v>
      </c>
      <c r="J98">
        <v>910669</v>
      </c>
      <c r="K98">
        <v>684108</v>
      </c>
      <c r="L98">
        <v>852702</v>
      </c>
    </row>
    <row r="99" spans="1:12" x14ac:dyDescent="0.35">
      <c r="A99">
        <v>2025</v>
      </c>
      <c r="B99">
        <v>2</v>
      </c>
      <c r="C99" t="s">
        <v>63</v>
      </c>
      <c r="D99" t="s">
        <v>307</v>
      </c>
      <c r="E99" t="s">
        <v>261</v>
      </c>
      <c r="F99">
        <v>655</v>
      </c>
      <c r="G99">
        <v>931270</v>
      </c>
      <c r="H99">
        <v>930190</v>
      </c>
      <c r="I99">
        <v>763872</v>
      </c>
      <c r="J99">
        <v>1072736</v>
      </c>
      <c r="K99">
        <v>902000</v>
      </c>
      <c r="L99">
        <v>970680</v>
      </c>
    </row>
    <row r="100" spans="1:12" x14ac:dyDescent="0.35">
      <c r="A100">
        <v>2025</v>
      </c>
      <c r="B100">
        <v>2</v>
      </c>
      <c r="C100" t="s">
        <v>63</v>
      </c>
      <c r="D100" t="s">
        <v>307</v>
      </c>
      <c r="E100" t="s">
        <v>263</v>
      </c>
      <c r="F100">
        <v>263</v>
      </c>
      <c r="G100">
        <v>1021061</v>
      </c>
      <c r="H100">
        <v>1026389</v>
      </c>
      <c r="I100">
        <v>891400</v>
      </c>
      <c r="J100">
        <v>1061486</v>
      </c>
      <c r="K100">
        <v>1013296</v>
      </c>
      <c r="L100">
        <v>1031389</v>
      </c>
    </row>
    <row r="101" spans="1:12" x14ac:dyDescent="0.35">
      <c r="A101">
        <v>2025</v>
      </c>
      <c r="B101">
        <v>2</v>
      </c>
      <c r="C101" t="s">
        <v>63</v>
      </c>
      <c r="D101" t="s">
        <v>307</v>
      </c>
      <c r="E101" t="s">
        <v>267</v>
      </c>
      <c r="F101">
        <v>57954</v>
      </c>
      <c r="G101">
        <v>451799</v>
      </c>
      <c r="H101">
        <v>429436</v>
      </c>
      <c r="I101">
        <v>342132</v>
      </c>
      <c r="J101">
        <v>584647</v>
      </c>
      <c r="K101">
        <v>407404</v>
      </c>
      <c r="L101">
        <v>504239</v>
      </c>
    </row>
    <row r="102" spans="1:12" x14ac:dyDescent="0.35">
      <c r="A102">
        <v>2025</v>
      </c>
      <c r="B102">
        <v>2</v>
      </c>
      <c r="C102" t="s">
        <v>63</v>
      </c>
      <c r="D102" t="s">
        <v>307</v>
      </c>
      <c r="E102" t="s">
        <v>273</v>
      </c>
      <c r="F102">
        <v>36159</v>
      </c>
      <c r="G102">
        <v>301679</v>
      </c>
      <c r="H102">
        <v>291725</v>
      </c>
      <c r="I102">
        <v>266776</v>
      </c>
      <c r="J102">
        <v>380605</v>
      </c>
      <c r="K102">
        <v>276725</v>
      </c>
      <c r="L102">
        <v>323389</v>
      </c>
    </row>
    <row r="103" spans="1:12" x14ac:dyDescent="0.35">
      <c r="A103">
        <v>2025</v>
      </c>
      <c r="B103">
        <v>3</v>
      </c>
      <c r="C103" t="s">
        <v>66</v>
      </c>
      <c r="D103" t="s">
        <v>307</v>
      </c>
      <c r="E103" t="s">
        <v>255</v>
      </c>
      <c r="F103">
        <v>31796</v>
      </c>
      <c r="G103">
        <v>515028</v>
      </c>
      <c r="H103">
        <v>491555</v>
      </c>
      <c r="I103">
        <v>398882</v>
      </c>
      <c r="J103">
        <v>796187</v>
      </c>
      <c r="K103">
        <v>436333</v>
      </c>
      <c r="L103">
        <v>582467</v>
      </c>
    </row>
    <row r="104" spans="1:12" x14ac:dyDescent="0.35">
      <c r="A104">
        <v>2025</v>
      </c>
      <c r="B104">
        <v>3</v>
      </c>
      <c r="C104" t="s">
        <v>66</v>
      </c>
      <c r="D104" t="s">
        <v>307</v>
      </c>
      <c r="E104" t="s">
        <v>257</v>
      </c>
      <c r="F104">
        <v>19690</v>
      </c>
      <c r="G104">
        <v>592627</v>
      </c>
      <c r="H104">
        <v>580015</v>
      </c>
      <c r="I104">
        <v>437073</v>
      </c>
      <c r="J104">
        <v>859493</v>
      </c>
      <c r="K104">
        <v>494239</v>
      </c>
      <c r="L104">
        <v>658564</v>
      </c>
    </row>
    <row r="105" spans="1:12" x14ac:dyDescent="0.35">
      <c r="A105">
        <v>2025</v>
      </c>
      <c r="B105">
        <v>3</v>
      </c>
      <c r="C105" t="s">
        <v>66</v>
      </c>
      <c r="D105" t="s">
        <v>307</v>
      </c>
      <c r="E105" t="s">
        <v>259</v>
      </c>
      <c r="F105">
        <v>11474</v>
      </c>
      <c r="G105">
        <v>753615</v>
      </c>
      <c r="H105">
        <v>722343</v>
      </c>
      <c r="I105">
        <v>569230</v>
      </c>
      <c r="J105">
        <v>910304</v>
      </c>
      <c r="K105">
        <v>682455</v>
      </c>
      <c r="L105">
        <v>847702</v>
      </c>
    </row>
    <row r="106" spans="1:12" x14ac:dyDescent="0.35">
      <c r="A106">
        <v>2025</v>
      </c>
      <c r="B106">
        <v>3</v>
      </c>
      <c r="C106" t="s">
        <v>66</v>
      </c>
      <c r="D106" t="s">
        <v>307</v>
      </c>
      <c r="E106" t="s">
        <v>261</v>
      </c>
      <c r="F106">
        <v>660</v>
      </c>
      <c r="G106">
        <v>909080</v>
      </c>
      <c r="H106">
        <v>912000</v>
      </c>
      <c r="I106">
        <v>763872</v>
      </c>
      <c r="J106">
        <v>1012078</v>
      </c>
      <c r="K106">
        <v>897000</v>
      </c>
      <c r="L106">
        <v>936903</v>
      </c>
    </row>
    <row r="107" spans="1:12" x14ac:dyDescent="0.35">
      <c r="A107">
        <v>2025</v>
      </c>
      <c r="B107">
        <v>3</v>
      </c>
      <c r="C107" t="s">
        <v>66</v>
      </c>
      <c r="D107" t="s">
        <v>307</v>
      </c>
      <c r="E107" t="s">
        <v>263</v>
      </c>
      <c r="F107">
        <v>272</v>
      </c>
      <c r="G107">
        <v>991782</v>
      </c>
      <c r="H107">
        <v>1001706</v>
      </c>
      <c r="I107">
        <v>891400</v>
      </c>
      <c r="J107">
        <v>1072010</v>
      </c>
      <c r="K107">
        <v>986706</v>
      </c>
      <c r="L107">
        <v>1006706</v>
      </c>
    </row>
    <row r="108" spans="1:12" x14ac:dyDescent="0.35">
      <c r="A108">
        <v>2025</v>
      </c>
      <c r="B108">
        <v>3</v>
      </c>
      <c r="C108" t="s">
        <v>66</v>
      </c>
      <c r="D108" t="s">
        <v>307</v>
      </c>
      <c r="E108" t="s">
        <v>267</v>
      </c>
      <c r="F108">
        <v>58601</v>
      </c>
      <c r="G108">
        <v>449873</v>
      </c>
      <c r="H108">
        <v>429436</v>
      </c>
      <c r="I108">
        <v>342132</v>
      </c>
      <c r="J108">
        <v>584647</v>
      </c>
      <c r="K108">
        <v>406936</v>
      </c>
      <c r="L108">
        <v>496739</v>
      </c>
    </row>
    <row r="109" spans="1:12" x14ac:dyDescent="0.35">
      <c r="A109">
        <v>2025</v>
      </c>
      <c r="B109">
        <v>3</v>
      </c>
      <c r="C109" t="s">
        <v>66</v>
      </c>
      <c r="D109" t="s">
        <v>307</v>
      </c>
      <c r="E109" t="s">
        <v>273</v>
      </c>
      <c r="F109">
        <v>36198</v>
      </c>
      <c r="G109">
        <v>301622</v>
      </c>
      <c r="H109">
        <v>291725</v>
      </c>
      <c r="I109">
        <v>266776</v>
      </c>
      <c r="J109">
        <v>380002</v>
      </c>
      <c r="K109">
        <v>276725</v>
      </c>
      <c r="L109">
        <v>323157</v>
      </c>
    </row>
    <row r="110" spans="1:12" x14ac:dyDescent="0.35">
      <c r="A110">
        <v>2025</v>
      </c>
      <c r="B110">
        <v>4</v>
      </c>
      <c r="C110" t="s">
        <v>67</v>
      </c>
      <c r="D110" t="s">
        <v>307</v>
      </c>
      <c r="E110" t="s">
        <v>255</v>
      </c>
      <c r="F110">
        <v>31155</v>
      </c>
      <c r="G110">
        <v>521394</v>
      </c>
      <c r="H110">
        <v>504055</v>
      </c>
      <c r="I110">
        <v>398882</v>
      </c>
      <c r="J110">
        <v>798872</v>
      </c>
      <c r="K110">
        <v>441333</v>
      </c>
      <c r="L110">
        <v>587467</v>
      </c>
    </row>
    <row r="111" spans="1:12" x14ac:dyDescent="0.35">
      <c r="A111">
        <v>2025</v>
      </c>
      <c r="B111">
        <v>4</v>
      </c>
      <c r="C111" t="s">
        <v>67</v>
      </c>
      <c r="D111" t="s">
        <v>307</v>
      </c>
      <c r="E111" t="s">
        <v>257</v>
      </c>
      <c r="F111">
        <v>19140</v>
      </c>
      <c r="G111">
        <v>601365</v>
      </c>
      <c r="H111">
        <v>598021</v>
      </c>
      <c r="I111">
        <v>437073</v>
      </c>
      <c r="J111">
        <v>858545</v>
      </c>
      <c r="K111">
        <v>496739</v>
      </c>
      <c r="L111">
        <v>668292</v>
      </c>
    </row>
    <row r="112" spans="1:12" x14ac:dyDescent="0.35">
      <c r="A112">
        <v>2025</v>
      </c>
      <c r="B112">
        <v>4</v>
      </c>
      <c r="C112" t="s">
        <v>67</v>
      </c>
      <c r="D112" t="s">
        <v>307</v>
      </c>
      <c r="E112" t="s">
        <v>259</v>
      </c>
      <c r="F112">
        <v>11127</v>
      </c>
      <c r="G112">
        <v>759931</v>
      </c>
      <c r="H112">
        <v>732219</v>
      </c>
      <c r="I112">
        <v>566592</v>
      </c>
      <c r="J112">
        <v>910669</v>
      </c>
      <c r="K112">
        <v>682455</v>
      </c>
      <c r="L112">
        <v>852704</v>
      </c>
    </row>
    <row r="113" spans="1:12" x14ac:dyDescent="0.35">
      <c r="A113">
        <v>2025</v>
      </c>
      <c r="B113">
        <v>4</v>
      </c>
      <c r="C113" t="s">
        <v>67</v>
      </c>
      <c r="D113" t="s">
        <v>307</v>
      </c>
      <c r="E113" t="s">
        <v>261</v>
      </c>
      <c r="F113">
        <v>655</v>
      </c>
      <c r="G113">
        <v>932019</v>
      </c>
      <c r="H113">
        <v>930190</v>
      </c>
      <c r="I113">
        <v>763872</v>
      </c>
      <c r="J113">
        <v>1072736</v>
      </c>
      <c r="K113">
        <v>902000</v>
      </c>
      <c r="L113">
        <v>970680</v>
      </c>
    </row>
    <row r="114" spans="1:12" x14ac:dyDescent="0.35">
      <c r="A114">
        <v>2025</v>
      </c>
      <c r="B114">
        <v>4</v>
      </c>
      <c r="C114" t="s">
        <v>67</v>
      </c>
      <c r="D114" t="s">
        <v>307</v>
      </c>
      <c r="E114" t="s">
        <v>263</v>
      </c>
      <c r="F114">
        <v>263</v>
      </c>
      <c r="G114">
        <v>1021061</v>
      </c>
      <c r="H114">
        <v>1026389</v>
      </c>
      <c r="I114">
        <v>891400</v>
      </c>
      <c r="J114">
        <v>1061486</v>
      </c>
      <c r="K114">
        <v>1013296</v>
      </c>
      <c r="L114">
        <v>1031389</v>
      </c>
    </row>
    <row r="115" spans="1:12" x14ac:dyDescent="0.35">
      <c r="A115">
        <v>2025</v>
      </c>
      <c r="B115">
        <v>4</v>
      </c>
      <c r="C115" t="s">
        <v>67</v>
      </c>
      <c r="D115" t="s">
        <v>307</v>
      </c>
      <c r="E115" t="s">
        <v>267</v>
      </c>
      <c r="F115">
        <v>57931</v>
      </c>
      <c r="G115">
        <v>451783</v>
      </c>
      <c r="H115">
        <v>429436</v>
      </c>
      <c r="I115">
        <v>342132</v>
      </c>
      <c r="J115">
        <v>584647</v>
      </c>
      <c r="K115">
        <v>407404</v>
      </c>
      <c r="L115">
        <v>504239</v>
      </c>
    </row>
    <row r="116" spans="1:12" x14ac:dyDescent="0.35">
      <c r="A116">
        <v>2025</v>
      </c>
      <c r="B116">
        <v>4</v>
      </c>
      <c r="C116" t="s">
        <v>67</v>
      </c>
      <c r="D116" t="s">
        <v>307</v>
      </c>
      <c r="E116" t="s">
        <v>273</v>
      </c>
      <c r="F116">
        <v>36153</v>
      </c>
      <c r="G116">
        <v>301674</v>
      </c>
      <c r="H116">
        <v>291725</v>
      </c>
      <c r="I116">
        <v>266776</v>
      </c>
      <c r="J116">
        <v>380605</v>
      </c>
      <c r="K116">
        <v>276725</v>
      </c>
      <c r="L116">
        <v>323389</v>
      </c>
    </row>
    <row r="117" spans="1:12" x14ac:dyDescent="0.35">
      <c r="A117">
        <v>2025</v>
      </c>
      <c r="B117">
        <v>5</v>
      </c>
      <c r="C117" t="s">
        <v>68</v>
      </c>
      <c r="D117" t="s">
        <v>307</v>
      </c>
      <c r="E117" t="s">
        <v>255</v>
      </c>
      <c r="F117">
        <v>32625</v>
      </c>
      <c r="G117">
        <v>560458</v>
      </c>
      <c r="H117">
        <v>562610</v>
      </c>
      <c r="I117">
        <v>398882</v>
      </c>
      <c r="J117">
        <v>798313</v>
      </c>
      <c r="K117">
        <v>486555</v>
      </c>
      <c r="L117">
        <v>627737</v>
      </c>
    </row>
    <row r="118" spans="1:12" x14ac:dyDescent="0.35">
      <c r="A118">
        <v>2025</v>
      </c>
      <c r="B118">
        <v>5</v>
      </c>
      <c r="C118" t="s">
        <v>68</v>
      </c>
      <c r="D118" t="s">
        <v>307</v>
      </c>
      <c r="E118" t="s">
        <v>257</v>
      </c>
      <c r="F118">
        <v>19904</v>
      </c>
      <c r="G118">
        <v>657738</v>
      </c>
      <c r="H118">
        <v>653292</v>
      </c>
      <c r="I118">
        <v>437073</v>
      </c>
      <c r="J118">
        <v>860223</v>
      </c>
      <c r="K118">
        <v>582763</v>
      </c>
      <c r="L118">
        <v>751686</v>
      </c>
    </row>
    <row r="119" spans="1:12" x14ac:dyDescent="0.35">
      <c r="A119">
        <v>2025</v>
      </c>
      <c r="B119">
        <v>5</v>
      </c>
      <c r="C119" t="s">
        <v>68</v>
      </c>
      <c r="D119" t="s">
        <v>307</v>
      </c>
      <c r="E119" t="s">
        <v>259</v>
      </c>
      <c r="F119">
        <v>11053</v>
      </c>
      <c r="G119">
        <v>772657</v>
      </c>
      <c r="H119">
        <v>780633</v>
      </c>
      <c r="I119">
        <v>569230</v>
      </c>
      <c r="J119">
        <v>910656</v>
      </c>
      <c r="K119">
        <v>692455</v>
      </c>
      <c r="L119">
        <v>857702</v>
      </c>
    </row>
    <row r="120" spans="1:12" x14ac:dyDescent="0.35">
      <c r="A120">
        <v>2025</v>
      </c>
      <c r="B120">
        <v>5</v>
      </c>
      <c r="C120" t="s">
        <v>68</v>
      </c>
      <c r="D120" t="s">
        <v>307</v>
      </c>
      <c r="E120" t="s">
        <v>261</v>
      </c>
      <c r="F120">
        <v>785</v>
      </c>
      <c r="G120">
        <v>900581</v>
      </c>
      <c r="H120">
        <v>902000</v>
      </c>
      <c r="I120">
        <v>763872</v>
      </c>
      <c r="J120">
        <v>1018807</v>
      </c>
      <c r="K120">
        <v>878811</v>
      </c>
      <c r="L120">
        <v>926903</v>
      </c>
    </row>
    <row r="121" spans="1:12" x14ac:dyDescent="0.35">
      <c r="A121">
        <v>2025</v>
      </c>
      <c r="B121">
        <v>5</v>
      </c>
      <c r="C121" t="s">
        <v>68</v>
      </c>
      <c r="D121" t="s">
        <v>307</v>
      </c>
      <c r="E121" t="s">
        <v>263</v>
      </c>
      <c r="F121">
        <v>363</v>
      </c>
      <c r="G121">
        <v>975277</v>
      </c>
      <c r="H121">
        <v>996706</v>
      </c>
      <c r="I121">
        <v>891397</v>
      </c>
      <c r="J121">
        <v>1071445</v>
      </c>
      <c r="K121">
        <v>921397</v>
      </c>
      <c r="L121">
        <v>1006706</v>
      </c>
    </row>
    <row r="122" spans="1:12" x14ac:dyDescent="0.35">
      <c r="A122">
        <v>2025</v>
      </c>
      <c r="B122">
        <v>5</v>
      </c>
      <c r="C122" t="s">
        <v>68</v>
      </c>
      <c r="D122" t="s">
        <v>307</v>
      </c>
      <c r="E122" t="s">
        <v>267</v>
      </c>
      <c r="F122">
        <v>57219</v>
      </c>
      <c r="G122">
        <v>470418</v>
      </c>
      <c r="H122">
        <v>461604</v>
      </c>
      <c r="I122">
        <v>342132</v>
      </c>
      <c r="J122">
        <v>584893</v>
      </c>
      <c r="K122">
        <v>415040</v>
      </c>
      <c r="L122">
        <v>538538</v>
      </c>
    </row>
    <row r="123" spans="1:12" x14ac:dyDescent="0.35">
      <c r="A123">
        <v>2025</v>
      </c>
      <c r="B123">
        <v>5</v>
      </c>
      <c r="C123" t="s">
        <v>68</v>
      </c>
      <c r="D123" t="s">
        <v>307</v>
      </c>
      <c r="E123" t="s">
        <v>273</v>
      </c>
      <c r="F123">
        <v>37306</v>
      </c>
      <c r="G123">
        <v>318590</v>
      </c>
      <c r="H123">
        <v>315889</v>
      </c>
      <c r="I123">
        <v>266776</v>
      </c>
      <c r="J123">
        <v>380002</v>
      </c>
      <c r="K123">
        <v>289225</v>
      </c>
      <c r="L123">
        <v>347181</v>
      </c>
    </row>
    <row r="124" spans="1:12" x14ac:dyDescent="0.35">
      <c r="A124">
        <v>2025</v>
      </c>
      <c r="B124">
        <v>6</v>
      </c>
      <c r="C124" t="s">
        <v>69</v>
      </c>
      <c r="D124" t="s">
        <v>307</v>
      </c>
      <c r="E124" t="s">
        <v>255</v>
      </c>
      <c r="F124">
        <v>32901</v>
      </c>
      <c r="G124">
        <v>511019</v>
      </c>
      <c r="H124">
        <v>489055</v>
      </c>
      <c r="I124">
        <v>398882</v>
      </c>
      <c r="J124">
        <v>796187</v>
      </c>
      <c r="K124">
        <v>431383</v>
      </c>
      <c r="L124">
        <v>574967</v>
      </c>
    </row>
    <row r="125" spans="1:12" x14ac:dyDescent="0.35">
      <c r="A125">
        <v>2025</v>
      </c>
      <c r="B125">
        <v>6</v>
      </c>
      <c r="C125" t="s">
        <v>69</v>
      </c>
      <c r="D125" t="s">
        <v>307</v>
      </c>
      <c r="E125" t="s">
        <v>257</v>
      </c>
      <c r="F125">
        <v>20031</v>
      </c>
      <c r="G125">
        <v>588630</v>
      </c>
      <c r="H125">
        <v>577515</v>
      </c>
      <c r="I125">
        <v>437073</v>
      </c>
      <c r="J125">
        <v>860469</v>
      </c>
      <c r="K125">
        <v>488550</v>
      </c>
      <c r="L125">
        <v>653292</v>
      </c>
    </row>
    <row r="126" spans="1:12" x14ac:dyDescent="0.35">
      <c r="A126">
        <v>2025</v>
      </c>
      <c r="B126">
        <v>6</v>
      </c>
      <c r="C126" t="s">
        <v>69</v>
      </c>
      <c r="D126" t="s">
        <v>307</v>
      </c>
      <c r="E126" t="s">
        <v>259</v>
      </c>
      <c r="F126">
        <v>11538</v>
      </c>
      <c r="G126">
        <v>750133</v>
      </c>
      <c r="H126">
        <v>716433</v>
      </c>
      <c r="I126">
        <v>564092</v>
      </c>
      <c r="J126">
        <v>908243</v>
      </c>
      <c r="K126">
        <v>679955</v>
      </c>
      <c r="L126">
        <v>843219</v>
      </c>
    </row>
    <row r="127" spans="1:12" x14ac:dyDescent="0.35">
      <c r="A127">
        <v>2025</v>
      </c>
      <c r="B127">
        <v>6</v>
      </c>
      <c r="C127" t="s">
        <v>69</v>
      </c>
      <c r="D127" t="s">
        <v>307</v>
      </c>
      <c r="E127" t="s">
        <v>261</v>
      </c>
      <c r="F127">
        <v>792</v>
      </c>
      <c r="G127">
        <v>897018</v>
      </c>
      <c r="H127">
        <v>898811</v>
      </c>
      <c r="I127">
        <v>763872</v>
      </c>
      <c r="J127">
        <v>1012078</v>
      </c>
      <c r="K127">
        <v>876311</v>
      </c>
      <c r="L127">
        <v>922000</v>
      </c>
    </row>
    <row r="128" spans="1:12" x14ac:dyDescent="0.35">
      <c r="A128">
        <v>2025</v>
      </c>
      <c r="B128">
        <v>6</v>
      </c>
      <c r="C128" t="s">
        <v>69</v>
      </c>
      <c r="D128" t="s">
        <v>307</v>
      </c>
      <c r="E128" t="s">
        <v>263</v>
      </c>
      <c r="F128">
        <v>378</v>
      </c>
      <c r="G128">
        <v>971082</v>
      </c>
      <c r="H128">
        <v>994206</v>
      </c>
      <c r="I128">
        <v>891397</v>
      </c>
      <c r="J128">
        <v>1080842</v>
      </c>
      <c r="K128">
        <v>918897</v>
      </c>
      <c r="L128">
        <v>1006706</v>
      </c>
    </row>
    <row r="129" spans="1:12" x14ac:dyDescent="0.35">
      <c r="A129">
        <v>2025</v>
      </c>
      <c r="B129">
        <v>6</v>
      </c>
      <c r="C129" t="s">
        <v>69</v>
      </c>
      <c r="D129" t="s">
        <v>307</v>
      </c>
      <c r="E129" t="s">
        <v>267</v>
      </c>
      <c r="F129">
        <v>58291</v>
      </c>
      <c r="G129">
        <v>450174</v>
      </c>
      <c r="H129">
        <v>429436</v>
      </c>
      <c r="I129">
        <v>342132</v>
      </c>
      <c r="J129">
        <v>584793</v>
      </c>
      <c r="K129">
        <v>407540</v>
      </c>
      <c r="L129">
        <v>495532</v>
      </c>
    </row>
    <row r="130" spans="1:12" x14ac:dyDescent="0.35">
      <c r="A130">
        <v>2025</v>
      </c>
      <c r="B130">
        <v>6</v>
      </c>
      <c r="C130" t="s">
        <v>69</v>
      </c>
      <c r="D130" t="s">
        <v>307</v>
      </c>
      <c r="E130" t="s">
        <v>273</v>
      </c>
      <c r="F130">
        <v>36459</v>
      </c>
      <c r="G130">
        <v>300756</v>
      </c>
      <c r="H130">
        <v>291725</v>
      </c>
      <c r="I130">
        <v>266776</v>
      </c>
      <c r="J130">
        <v>380002</v>
      </c>
      <c r="K130">
        <v>276725</v>
      </c>
      <c r="L130">
        <v>321258</v>
      </c>
    </row>
    <row r="131" spans="1:12" x14ac:dyDescent="0.35">
      <c r="A131">
        <v>2025</v>
      </c>
      <c r="B131">
        <v>7</v>
      </c>
      <c r="C131" t="s">
        <v>70</v>
      </c>
      <c r="D131" t="s">
        <v>307</v>
      </c>
      <c r="E131" t="s">
        <v>255</v>
      </c>
      <c r="F131">
        <v>33332</v>
      </c>
      <c r="G131">
        <v>511314</v>
      </c>
      <c r="H131">
        <v>489055</v>
      </c>
      <c r="I131">
        <v>398882</v>
      </c>
      <c r="J131">
        <v>798791</v>
      </c>
      <c r="K131">
        <v>433833</v>
      </c>
      <c r="L131">
        <v>574967</v>
      </c>
    </row>
    <row r="132" spans="1:12" x14ac:dyDescent="0.35">
      <c r="A132">
        <v>2025</v>
      </c>
      <c r="B132">
        <v>7</v>
      </c>
      <c r="C132" t="s">
        <v>70</v>
      </c>
      <c r="D132" t="s">
        <v>307</v>
      </c>
      <c r="E132" t="s">
        <v>257</v>
      </c>
      <c r="F132">
        <v>20191</v>
      </c>
      <c r="G132">
        <v>589171</v>
      </c>
      <c r="H132">
        <v>577515</v>
      </c>
      <c r="I132">
        <v>437073</v>
      </c>
      <c r="J132">
        <v>856781</v>
      </c>
      <c r="K132">
        <v>491739</v>
      </c>
      <c r="L132">
        <v>653292</v>
      </c>
    </row>
    <row r="133" spans="1:12" x14ac:dyDescent="0.35">
      <c r="A133">
        <v>2025</v>
      </c>
      <c r="B133">
        <v>7</v>
      </c>
      <c r="C133" t="s">
        <v>70</v>
      </c>
      <c r="D133" t="s">
        <v>307</v>
      </c>
      <c r="E133" t="s">
        <v>259</v>
      </c>
      <c r="F133">
        <v>11566</v>
      </c>
      <c r="G133">
        <v>749807</v>
      </c>
      <c r="H133">
        <v>716433</v>
      </c>
      <c r="I133">
        <v>559092</v>
      </c>
      <c r="J133">
        <v>909117</v>
      </c>
      <c r="K133">
        <v>679956</v>
      </c>
      <c r="L133">
        <v>845202</v>
      </c>
    </row>
    <row r="134" spans="1:12" x14ac:dyDescent="0.35">
      <c r="A134">
        <v>2025</v>
      </c>
      <c r="B134">
        <v>7</v>
      </c>
      <c r="C134" t="s">
        <v>70</v>
      </c>
      <c r="D134" t="s">
        <v>307</v>
      </c>
      <c r="E134" t="s">
        <v>261</v>
      </c>
      <c r="F134">
        <v>796</v>
      </c>
      <c r="G134">
        <v>896185</v>
      </c>
      <c r="H134">
        <v>897000</v>
      </c>
      <c r="I134">
        <v>763872</v>
      </c>
      <c r="J134">
        <v>1012078</v>
      </c>
      <c r="K134">
        <v>876311</v>
      </c>
      <c r="L134">
        <v>919500</v>
      </c>
    </row>
    <row r="135" spans="1:12" x14ac:dyDescent="0.35">
      <c r="A135">
        <v>2025</v>
      </c>
      <c r="B135">
        <v>7</v>
      </c>
      <c r="C135" t="s">
        <v>70</v>
      </c>
      <c r="D135" t="s">
        <v>307</v>
      </c>
      <c r="E135" t="s">
        <v>263</v>
      </c>
      <c r="F135">
        <v>382</v>
      </c>
      <c r="G135">
        <v>967793</v>
      </c>
      <c r="H135">
        <v>986706</v>
      </c>
      <c r="I135">
        <v>891397</v>
      </c>
      <c r="J135">
        <v>1075239</v>
      </c>
      <c r="K135">
        <v>916348</v>
      </c>
      <c r="L135">
        <v>1006706</v>
      </c>
    </row>
    <row r="136" spans="1:12" x14ac:dyDescent="0.35">
      <c r="A136">
        <v>2025</v>
      </c>
      <c r="B136">
        <v>7</v>
      </c>
      <c r="C136" t="s">
        <v>70</v>
      </c>
      <c r="D136" t="s">
        <v>307</v>
      </c>
      <c r="E136" t="s">
        <v>267</v>
      </c>
      <c r="F136">
        <v>57821</v>
      </c>
      <c r="G136">
        <v>449405</v>
      </c>
      <c r="H136">
        <v>427540</v>
      </c>
      <c r="I136">
        <v>342132</v>
      </c>
      <c r="J136">
        <v>584647</v>
      </c>
      <c r="K136">
        <v>407404</v>
      </c>
      <c r="L136">
        <v>494523</v>
      </c>
    </row>
    <row r="137" spans="1:12" x14ac:dyDescent="0.35">
      <c r="A137">
        <v>2025</v>
      </c>
      <c r="B137">
        <v>7</v>
      </c>
      <c r="C137" t="s">
        <v>70</v>
      </c>
      <c r="D137" t="s">
        <v>307</v>
      </c>
      <c r="E137" t="s">
        <v>273</v>
      </c>
      <c r="F137">
        <v>36616</v>
      </c>
      <c r="G137">
        <v>300698</v>
      </c>
      <c r="H137">
        <v>291725</v>
      </c>
      <c r="I137">
        <v>266776</v>
      </c>
      <c r="J137">
        <v>380002</v>
      </c>
      <c r="K137">
        <v>276725</v>
      </c>
      <c r="L137">
        <v>321258</v>
      </c>
    </row>
    <row r="138" spans="1:12" x14ac:dyDescent="0.35">
      <c r="A138">
        <v>2025</v>
      </c>
      <c r="B138">
        <v>8</v>
      </c>
      <c r="C138" t="s">
        <v>71</v>
      </c>
      <c r="D138" t="s">
        <v>307</v>
      </c>
      <c r="E138" t="s">
        <v>255</v>
      </c>
      <c r="F138">
        <v>33903</v>
      </c>
      <c r="G138">
        <v>511331</v>
      </c>
      <c r="H138">
        <v>489055</v>
      </c>
      <c r="I138">
        <v>398882</v>
      </c>
      <c r="J138">
        <v>798308</v>
      </c>
      <c r="K138">
        <v>433833</v>
      </c>
      <c r="L138">
        <v>574967</v>
      </c>
    </row>
    <row r="139" spans="1:12" x14ac:dyDescent="0.35">
      <c r="A139">
        <v>2025</v>
      </c>
      <c r="B139">
        <v>8</v>
      </c>
      <c r="C139" t="s">
        <v>71</v>
      </c>
      <c r="D139" t="s">
        <v>307</v>
      </c>
      <c r="E139" t="s">
        <v>257</v>
      </c>
      <c r="F139">
        <v>20461</v>
      </c>
      <c r="G139">
        <v>590647</v>
      </c>
      <c r="H139">
        <v>578021</v>
      </c>
      <c r="I139">
        <v>437073</v>
      </c>
      <c r="J139">
        <v>856625</v>
      </c>
      <c r="K139">
        <v>491739</v>
      </c>
      <c r="L139">
        <v>658292</v>
      </c>
    </row>
    <row r="140" spans="1:12" x14ac:dyDescent="0.35">
      <c r="A140">
        <v>2025</v>
      </c>
      <c r="B140">
        <v>8</v>
      </c>
      <c r="C140" t="s">
        <v>71</v>
      </c>
      <c r="D140" t="s">
        <v>307</v>
      </c>
      <c r="E140" t="s">
        <v>259</v>
      </c>
      <c r="F140">
        <v>11576</v>
      </c>
      <c r="G140">
        <v>749594</v>
      </c>
      <c r="H140">
        <v>716433</v>
      </c>
      <c r="I140">
        <v>564092</v>
      </c>
      <c r="J140">
        <v>908583</v>
      </c>
      <c r="K140">
        <v>679955</v>
      </c>
      <c r="L140">
        <v>843219</v>
      </c>
    </row>
    <row r="141" spans="1:12" x14ac:dyDescent="0.35">
      <c r="A141">
        <v>2025</v>
      </c>
      <c r="B141">
        <v>8</v>
      </c>
      <c r="C141" t="s">
        <v>71</v>
      </c>
      <c r="D141" t="s">
        <v>307</v>
      </c>
      <c r="E141" t="s">
        <v>261</v>
      </c>
      <c r="F141">
        <v>806</v>
      </c>
      <c r="G141">
        <v>895285</v>
      </c>
      <c r="H141">
        <v>897000</v>
      </c>
      <c r="I141">
        <v>763872</v>
      </c>
      <c r="J141">
        <v>1012078</v>
      </c>
      <c r="K141">
        <v>876311</v>
      </c>
      <c r="L141">
        <v>919500</v>
      </c>
    </row>
    <row r="142" spans="1:12" x14ac:dyDescent="0.35">
      <c r="A142">
        <v>2025</v>
      </c>
      <c r="B142">
        <v>8</v>
      </c>
      <c r="C142" t="s">
        <v>71</v>
      </c>
      <c r="D142" t="s">
        <v>307</v>
      </c>
      <c r="E142" t="s">
        <v>263</v>
      </c>
      <c r="F142">
        <v>389</v>
      </c>
      <c r="G142">
        <v>967270</v>
      </c>
      <c r="H142">
        <v>986706</v>
      </c>
      <c r="I142">
        <v>891397</v>
      </c>
      <c r="J142">
        <v>1092136</v>
      </c>
      <c r="K142">
        <v>916397</v>
      </c>
      <c r="L142">
        <v>1006706</v>
      </c>
    </row>
    <row r="143" spans="1:12" x14ac:dyDescent="0.35">
      <c r="A143">
        <v>2025</v>
      </c>
      <c r="B143">
        <v>8</v>
      </c>
      <c r="C143" t="s">
        <v>71</v>
      </c>
      <c r="D143" t="s">
        <v>307</v>
      </c>
      <c r="E143" t="s">
        <v>267</v>
      </c>
      <c r="F143">
        <v>57115</v>
      </c>
      <c r="G143">
        <v>449251</v>
      </c>
      <c r="H143">
        <v>427540</v>
      </c>
      <c r="I143">
        <v>342132</v>
      </c>
      <c r="J143">
        <v>584647</v>
      </c>
      <c r="K143">
        <v>406936</v>
      </c>
      <c r="L143">
        <v>494523</v>
      </c>
    </row>
    <row r="144" spans="1:12" x14ac:dyDescent="0.35">
      <c r="A144">
        <v>2025</v>
      </c>
      <c r="B144">
        <v>8</v>
      </c>
      <c r="C144" t="s">
        <v>71</v>
      </c>
      <c r="D144" t="s">
        <v>307</v>
      </c>
      <c r="E144" t="s">
        <v>273</v>
      </c>
      <c r="F144">
        <v>36873</v>
      </c>
      <c r="G144">
        <v>300618</v>
      </c>
      <c r="H144">
        <v>291725</v>
      </c>
      <c r="I144">
        <v>266776</v>
      </c>
      <c r="J144">
        <v>380002</v>
      </c>
      <c r="K144">
        <v>276725</v>
      </c>
      <c r="L144">
        <v>320889</v>
      </c>
    </row>
    <row r="145" spans="1:12" x14ac:dyDescent="0.35">
      <c r="A145">
        <v>2025</v>
      </c>
      <c r="B145">
        <v>9</v>
      </c>
      <c r="C145" t="s">
        <v>72</v>
      </c>
      <c r="D145" t="s">
        <v>307</v>
      </c>
      <c r="E145" t="s">
        <v>255</v>
      </c>
      <c r="F145">
        <v>34054</v>
      </c>
      <c r="G145">
        <v>509882</v>
      </c>
      <c r="H145">
        <v>486555</v>
      </c>
      <c r="I145">
        <v>398882</v>
      </c>
      <c r="J145">
        <v>797748</v>
      </c>
      <c r="K145">
        <v>433833</v>
      </c>
      <c r="L145">
        <v>572467</v>
      </c>
    </row>
    <row r="146" spans="1:12" x14ac:dyDescent="0.35">
      <c r="A146">
        <v>2025</v>
      </c>
      <c r="B146">
        <v>9</v>
      </c>
      <c r="C146" t="s">
        <v>72</v>
      </c>
      <c r="D146" t="s">
        <v>307</v>
      </c>
      <c r="E146" t="s">
        <v>257</v>
      </c>
      <c r="F146">
        <v>20587</v>
      </c>
      <c r="G146">
        <v>590485</v>
      </c>
      <c r="H146">
        <v>580015</v>
      </c>
      <c r="I146">
        <v>437073</v>
      </c>
      <c r="J146">
        <v>860125</v>
      </c>
      <c r="K146">
        <v>491739</v>
      </c>
      <c r="L146">
        <v>655792</v>
      </c>
    </row>
    <row r="147" spans="1:12" x14ac:dyDescent="0.35">
      <c r="A147">
        <v>2025</v>
      </c>
      <c r="B147">
        <v>9</v>
      </c>
      <c r="C147" t="s">
        <v>72</v>
      </c>
      <c r="D147" t="s">
        <v>307</v>
      </c>
      <c r="E147" t="s">
        <v>259</v>
      </c>
      <c r="F147">
        <v>11595</v>
      </c>
      <c r="G147">
        <v>749043</v>
      </c>
      <c r="H147">
        <v>713933</v>
      </c>
      <c r="I147">
        <v>569230</v>
      </c>
      <c r="J147">
        <v>908903</v>
      </c>
      <c r="K147">
        <v>679955</v>
      </c>
      <c r="L147">
        <v>840719</v>
      </c>
    </row>
    <row r="148" spans="1:12" x14ac:dyDescent="0.35">
      <c r="A148">
        <v>2025</v>
      </c>
      <c r="B148">
        <v>9</v>
      </c>
      <c r="C148" t="s">
        <v>72</v>
      </c>
      <c r="D148" t="s">
        <v>307</v>
      </c>
      <c r="E148" t="s">
        <v>261</v>
      </c>
      <c r="F148">
        <v>812</v>
      </c>
      <c r="G148">
        <v>894746</v>
      </c>
      <c r="H148">
        <v>897000</v>
      </c>
      <c r="I148">
        <v>763872</v>
      </c>
      <c r="J148">
        <v>1012078</v>
      </c>
      <c r="K148">
        <v>876311</v>
      </c>
      <c r="L148">
        <v>917000</v>
      </c>
    </row>
    <row r="149" spans="1:12" x14ac:dyDescent="0.35">
      <c r="A149">
        <v>2025</v>
      </c>
      <c r="B149">
        <v>9</v>
      </c>
      <c r="C149" t="s">
        <v>72</v>
      </c>
      <c r="D149" t="s">
        <v>307</v>
      </c>
      <c r="E149" t="s">
        <v>263</v>
      </c>
      <c r="F149">
        <v>393</v>
      </c>
      <c r="G149">
        <v>966200</v>
      </c>
      <c r="H149">
        <v>986706</v>
      </c>
      <c r="I149">
        <v>891397</v>
      </c>
      <c r="J149">
        <v>1094096</v>
      </c>
      <c r="K149">
        <v>913897</v>
      </c>
      <c r="L149">
        <v>1006706</v>
      </c>
    </row>
    <row r="150" spans="1:12" x14ac:dyDescent="0.35">
      <c r="A150">
        <v>2025</v>
      </c>
      <c r="B150">
        <v>9</v>
      </c>
      <c r="C150" t="s">
        <v>72</v>
      </c>
      <c r="D150" t="s">
        <v>307</v>
      </c>
      <c r="E150" t="s">
        <v>267</v>
      </c>
      <c r="F150">
        <v>56788</v>
      </c>
      <c r="G150">
        <v>450088</v>
      </c>
      <c r="H150">
        <v>427540</v>
      </c>
      <c r="I150">
        <v>342132</v>
      </c>
      <c r="J150">
        <v>584647</v>
      </c>
      <c r="K150">
        <v>406936</v>
      </c>
      <c r="L150">
        <v>499239</v>
      </c>
    </row>
    <row r="151" spans="1:12" x14ac:dyDescent="0.35">
      <c r="A151">
        <v>2025</v>
      </c>
      <c r="B151">
        <v>9</v>
      </c>
      <c r="C151" t="s">
        <v>72</v>
      </c>
      <c r="D151" t="s">
        <v>307</v>
      </c>
      <c r="E151" t="s">
        <v>273</v>
      </c>
      <c r="F151">
        <v>37183</v>
      </c>
      <c r="G151">
        <v>300675</v>
      </c>
      <c r="H151">
        <v>291725</v>
      </c>
      <c r="I151">
        <v>266776</v>
      </c>
      <c r="J151">
        <v>380391</v>
      </c>
      <c r="K151">
        <v>276725</v>
      </c>
      <c r="L151">
        <v>320889</v>
      </c>
    </row>
    <row r="152" spans="1:12" x14ac:dyDescent="0.35">
      <c r="A152">
        <v>2025</v>
      </c>
      <c r="B152">
        <v>10</v>
      </c>
      <c r="C152" t="s">
        <v>73</v>
      </c>
      <c r="D152" t="s">
        <v>307</v>
      </c>
      <c r="E152" t="s">
        <v>255</v>
      </c>
      <c r="F152">
        <v>34211</v>
      </c>
      <c r="G152">
        <v>510418</v>
      </c>
      <c r="H152">
        <v>489055</v>
      </c>
      <c r="I152">
        <v>398882</v>
      </c>
      <c r="J152">
        <v>797766</v>
      </c>
      <c r="K152">
        <v>433833</v>
      </c>
      <c r="L152">
        <v>571222</v>
      </c>
    </row>
    <row r="153" spans="1:12" x14ac:dyDescent="0.35">
      <c r="A153">
        <v>2025</v>
      </c>
      <c r="B153">
        <v>10</v>
      </c>
      <c r="C153" t="s">
        <v>73</v>
      </c>
      <c r="D153" t="s">
        <v>307</v>
      </c>
      <c r="E153" t="s">
        <v>257</v>
      </c>
      <c r="F153">
        <v>20682</v>
      </c>
      <c r="G153">
        <v>590652</v>
      </c>
      <c r="H153">
        <v>578021</v>
      </c>
      <c r="I153">
        <v>437073</v>
      </c>
      <c r="J153">
        <v>860258</v>
      </c>
      <c r="K153">
        <v>491739</v>
      </c>
      <c r="L153">
        <v>655792</v>
      </c>
    </row>
    <row r="154" spans="1:12" x14ac:dyDescent="0.35">
      <c r="A154">
        <v>2025</v>
      </c>
      <c r="B154">
        <v>10</v>
      </c>
      <c r="C154" t="s">
        <v>73</v>
      </c>
      <c r="D154" t="s">
        <v>307</v>
      </c>
      <c r="E154" t="s">
        <v>259</v>
      </c>
      <c r="F154">
        <v>11599</v>
      </c>
      <c r="G154">
        <v>748816</v>
      </c>
      <c r="H154">
        <v>713933</v>
      </c>
      <c r="I154">
        <v>569230</v>
      </c>
      <c r="J154">
        <v>911083</v>
      </c>
      <c r="K154">
        <v>679955</v>
      </c>
      <c r="L154">
        <v>840719</v>
      </c>
    </row>
    <row r="155" spans="1:12" x14ac:dyDescent="0.35">
      <c r="A155">
        <v>2025</v>
      </c>
      <c r="B155">
        <v>10</v>
      </c>
      <c r="C155" t="s">
        <v>73</v>
      </c>
      <c r="D155" t="s">
        <v>307</v>
      </c>
      <c r="E155" t="s">
        <v>261</v>
      </c>
      <c r="F155">
        <v>820</v>
      </c>
      <c r="G155">
        <v>893731</v>
      </c>
      <c r="H155">
        <v>897000</v>
      </c>
      <c r="I155">
        <v>763872</v>
      </c>
      <c r="J155">
        <v>1012078</v>
      </c>
      <c r="K155">
        <v>873811</v>
      </c>
      <c r="L155">
        <v>917000</v>
      </c>
    </row>
    <row r="156" spans="1:12" x14ac:dyDescent="0.35">
      <c r="A156">
        <v>2025</v>
      </c>
      <c r="B156">
        <v>10</v>
      </c>
      <c r="C156" t="s">
        <v>73</v>
      </c>
      <c r="D156" t="s">
        <v>307</v>
      </c>
      <c r="E156" t="s">
        <v>263</v>
      </c>
      <c r="F156">
        <v>397</v>
      </c>
      <c r="G156">
        <v>964859</v>
      </c>
      <c r="H156">
        <v>986706</v>
      </c>
      <c r="I156">
        <v>891397</v>
      </c>
      <c r="J156">
        <v>1034206</v>
      </c>
      <c r="K156">
        <v>913897</v>
      </c>
      <c r="L156">
        <v>1004206</v>
      </c>
    </row>
    <row r="157" spans="1:12" x14ac:dyDescent="0.35">
      <c r="A157">
        <v>2025</v>
      </c>
      <c r="B157">
        <v>10</v>
      </c>
      <c r="C157" t="s">
        <v>73</v>
      </c>
      <c r="D157" t="s">
        <v>307</v>
      </c>
      <c r="E157" t="s">
        <v>267</v>
      </c>
      <c r="F157">
        <v>56695</v>
      </c>
      <c r="G157">
        <v>452650</v>
      </c>
      <c r="H157">
        <v>432540</v>
      </c>
      <c r="I157">
        <v>342132</v>
      </c>
      <c r="J157">
        <v>584647</v>
      </c>
      <c r="K157">
        <v>410040</v>
      </c>
      <c r="L157">
        <v>499104</v>
      </c>
    </row>
    <row r="158" spans="1:12" x14ac:dyDescent="0.35">
      <c r="A158">
        <v>2025</v>
      </c>
      <c r="B158">
        <v>10</v>
      </c>
      <c r="C158" t="s">
        <v>73</v>
      </c>
      <c r="D158" t="s">
        <v>307</v>
      </c>
      <c r="E158" t="s">
        <v>273</v>
      </c>
      <c r="F158">
        <v>40468</v>
      </c>
      <c r="G158">
        <v>300409</v>
      </c>
      <c r="H158">
        <v>291172</v>
      </c>
      <c r="I158">
        <v>266776</v>
      </c>
      <c r="J158">
        <v>380002</v>
      </c>
      <c r="K158">
        <v>276725</v>
      </c>
      <c r="L158">
        <v>320655</v>
      </c>
    </row>
    <row r="159" spans="1:12" x14ac:dyDescent="0.35">
      <c r="A159">
        <v>2025</v>
      </c>
      <c r="B159">
        <v>11</v>
      </c>
      <c r="C159" t="s">
        <v>74</v>
      </c>
      <c r="D159" t="s">
        <v>307</v>
      </c>
      <c r="E159" t="s">
        <v>255</v>
      </c>
      <c r="F159">
        <v>34282</v>
      </c>
      <c r="G159">
        <v>511261</v>
      </c>
      <c r="H159">
        <v>489055</v>
      </c>
      <c r="I159">
        <v>398882</v>
      </c>
      <c r="J159">
        <v>797766</v>
      </c>
      <c r="K159">
        <v>436333</v>
      </c>
      <c r="L159">
        <v>574967</v>
      </c>
    </row>
    <row r="160" spans="1:12" x14ac:dyDescent="0.35">
      <c r="A160">
        <v>2025</v>
      </c>
      <c r="B160">
        <v>11</v>
      </c>
      <c r="C160" t="s">
        <v>74</v>
      </c>
      <c r="D160" t="s">
        <v>307</v>
      </c>
      <c r="E160" t="s">
        <v>257</v>
      </c>
      <c r="F160">
        <v>20708</v>
      </c>
      <c r="G160">
        <v>590870</v>
      </c>
      <c r="H160">
        <v>580015</v>
      </c>
      <c r="I160">
        <v>437073</v>
      </c>
      <c r="J160">
        <v>858021</v>
      </c>
      <c r="K160">
        <v>493550</v>
      </c>
      <c r="L160">
        <v>655792</v>
      </c>
    </row>
    <row r="161" spans="1:12" x14ac:dyDescent="0.35">
      <c r="A161">
        <v>2025</v>
      </c>
      <c r="B161">
        <v>11</v>
      </c>
      <c r="C161" t="s">
        <v>74</v>
      </c>
      <c r="D161" t="s">
        <v>307</v>
      </c>
      <c r="E161" t="s">
        <v>259</v>
      </c>
      <c r="F161">
        <v>11604</v>
      </c>
      <c r="G161">
        <v>750198</v>
      </c>
      <c r="H161">
        <v>716433</v>
      </c>
      <c r="I161">
        <v>569230</v>
      </c>
      <c r="J161">
        <v>911083</v>
      </c>
      <c r="K161">
        <v>679955</v>
      </c>
      <c r="L161">
        <v>847702</v>
      </c>
    </row>
    <row r="162" spans="1:12" x14ac:dyDescent="0.35">
      <c r="A162">
        <v>2025</v>
      </c>
      <c r="B162">
        <v>11</v>
      </c>
      <c r="C162" t="s">
        <v>74</v>
      </c>
      <c r="D162" t="s">
        <v>307</v>
      </c>
      <c r="E162" t="s">
        <v>261</v>
      </c>
      <c r="F162">
        <v>831</v>
      </c>
      <c r="G162">
        <v>893090</v>
      </c>
      <c r="H162">
        <v>897000</v>
      </c>
      <c r="I162">
        <v>763872</v>
      </c>
      <c r="J162">
        <v>1012078</v>
      </c>
      <c r="K162">
        <v>873811</v>
      </c>
      <c r="L162">
        <v>916903</v>
      </c>
    </row>
    <row r="163" spans="1:12" x14ac:dyDescent="0.35">
      <c r="A163">
        <v>2025</v>
      </c>
      <c r="B163">
        <v>11</v>
      </c>
      <c r="C163" t="s">
        <v>74</v>
      </c>
      <c r="D163" t="s">
        <v>307</v>
      </c>
      <c r="E163" t="s">
        <v>263</v>
      </c>
      <c r="F163">
        <v>397</v>
      </c>
      <c r="G163">
        <v>964930</v>
      </c>
      <c r="H163">
        <v>986706</v>
      </c>
      <c r="I163">
        <v>891397</v>
      </c>
      <c r="J163">
        <v>1120700</v>
      </c>
      <c r="K163">
        <v>916348</v>
      </c>
      <c r="L163">
        <v>1004206</v>
      </c>
    </row>
    <row r="164" spans="1:12" x14ac:dyDescent="0.35">
      <c r="A164">
        <v>2025</v>
      </c>
      <c r="B164">
        <v>11</v>
      </c>
      <c r="C164" t="s">
        <v>74</v>
      </c>
      <c r="D164" t="s">
        <v>307</v>
      </c>
      <c r="E164" t="s">
        <v>267</v>
      </c>
      <c r="F164">
        <v>56629</v>
      </c>
      <c r="G164">
        <v>452889</v>
      </c>
      <c r="H164">
        <v>433044</v>
      </c>
      <c r="I164">
        <v>342132</v>
      </c>
      <c r="J164">
        <v>584647</v>
      </c>
      <c r="K164">
        <v>410040</v>
      </c>
      <c r="L164">
        <v>499104</v>
      </c>
    </row>
    <row r="165" spans="1:12" x14ac:dyDescent="0.35">
      <c r="A165">
        <v>2025</v>
      </c>
      <c r="B165">
        <v>11</v>
      </c>
      <c r="C165" t="s">
        <v>74</v>
      </c>
      <c r="D165" t="s">
        <v>307</v>
      </c>
      <c r="E165" t="s">
        <v>273</v>
      </c>
      <c r="F165">
        <v>40729</v>
      </c>
      <c r="G165">
        <v>300579</v>
      </c>
      <c r="H165">
        <v>291172</v>
      </c>
      <c r="I165">
        <v>266776</v>
      </c>
      <c r="J165">
        <v>380002</v>
      </c>
      <c r="K165">
        <v>276725</v>
      </c>
      <c r="L165">
        <v>320655</v>
      </c>
    </row>
    <row r="166" spans="1:12" x14ac:dyDescent="0.35">
      <c r="A166">
        <v>2025</v>
      </c>
      <c r="B166">
        <v>12</v>
      </c>
      <c r="C166" t="s">
        <v>75</v>
      </c>
      <c r="D166" t="s">
        <v>307</v>
      </c>
      <c r="E166" t="s">
        <v>255</v>
      </c>
      <c r="F166">
        <v>34314</v>
      </c>
      <c r="G166">
        <v>511513</v>
      </c>
      <c r="H166">
        <v>489055</v>
      </c>
      <c r="I166">
        <v>398882</v>
      </c>
      <c r="J166">
        <v>796187</v>
      </c>
      <c r="K166">
        <v>436333</v>
      </c>
      <c r="L166">
        <v>573722</v>
      </c>
    </row>
    <row r="167" spans="1:12" x14ac:dyDescent="0.35">
      <c r="A167">
        <v>2025</v>
      </c>
      <c r="B167">
        <v>12</v>
      </c>
      <c r="C167" t="s">
        <v>75</v>
      </c>
      <c r="D167" t="s">
        <v>307</v>
      </c>
      <c r="E167" t="s">
        <v>257</v>
      </c>
      <c r="F167">
        <v>20821</v>
      </c>
      <c r="G167">
        <v>595562</v>
      </c>
      <c r="H167">
        <v>580015</v>
      </c>
      <c r="I167">
        <v>437073</v>
      </c>
      <c r="J167">
        <v>860448</v>
      </c>
      <c r="K167">
        <v>494239</v>
      </c>
      <c r="L167">
        <v>676064</v>
      </c>
    </row>
    <row r="168" spans="1:12" x14ac:dyDescent="0.35">
      <c r="A168">
        <v>2025</v>
      </c>
      <c r="B168">
        <v>12</v>
      </c>
      <c r="C168" t="s">
        <v>75</v>
      </c>
      <c r="D168" t="s">
        <v>307</v>
      </c>
      <c r="E168" t="s">
        <v>259</v>
      </c>
      <c r="F168">
        <v>11625</v>
      </c>
      <c r="G168">
        <v>754408</v>
      </c>
      <c r="H168">
        <v>726520</v>
      </c>
      <c r="I168">
        <v>559092</v>
      </c>
      <c r="J168">
        <v>902702</v>
      </c>
      <c r="K168">
        <v>689955</v>
      </c>
      <c r="L168">
        <v>847702</v>
      </c>
    </row>
    <row r="169" spans="1:12" x14ac:dyDescent="0.35">
      <c r="A169">
        <v>2025</v>
      </c>
      <c r="B169">
        <v>12</v>
      </c>
      <c r="C169" t="s">
        <v>75</v>
      </c>
      <c r="D169" t="s">
        <v>307</v>
      </c>
      <c r="E169" t="s">
        <v>261</v>
      </c>
      <c r="F169">
        <v>853</v>
      </c>
      <c r="G169">
        <v>892175</v>
      </c>
      <c r="H169">
        <v>896311</v>
      </c>
      <c r="I169">
        <v>763872</v>
      </c>
      <c r="J169">
        <v>1012078</v>
      </c>
      <c r="K169">
        <v>873811</v>
      </c>
      <c r="L169">
        <v>916903</v>
      </c>
    </row>
    <row r="170" spans="1:12" x14ac:dyDescent="0.35">
      <c r="A170">
        <v>2025</v>
      </c>
      <c r="B170">
        <v>12</v>
      </c>
      <c r="C170" t="s">
        <v>75</v>
      </c>
      <c r="D170" t="s">
        <v>307</v>
      </c>
      <c r="E170" t="s">
        <v>263</v>
      </c>
      <c r="F170">
        <v>403</v>
      </c>
      <c r="G170">
        <v>963644</v>
      </c>
      <c r="H170">
        <v>986706</v>
      </c>
      <c r="I170">
        <v>891397</v>
      </c>
      <c r="J170">
        <v>1034206</v>
      </c>
      <c r="K170">
        <v>913897</v>
      </c>
      <c r="L170">
        <v>1004206</v>
      </c>
    </row>
    <row r="171" spans="1:12" x14ac:dyDescent="0.35">
      <c r="A171">
        <v>2025</v>
      </c>
      <c r="B171">
        <v>12</v>
      </c>
      <c r="C171" t="s">
        <v>75</v>
      </c>
      <c r="D171" t="s">
        <v>307</v>
      </c>
      <c r="E171" t="s">
        <v>267</v>
      </c>
      <c r="F171">
        <v>56353</v>
      </c>
      <c r="G171">
        <v>453086</v>
      </c>
      <c r="H171">
        <v>433044</v>
      </c>
      <c r="I171">
        <v>342132</v>
      </c>
      <c r="J171">
        <v>584647</v>
      </c>
      <c r="K171">
        <v>410040</v>
      </c>
      <c r="L171">
        <v>499239</v>
      </c>
    </row>
    <row r="172" spans="1:12" x14ac:dyDescent="0.35">
      <c r="A172">
        <v>2025</v>
      </c>
      <c r="B172">
        <v>12</v>
      </c>
      <c r="C172" t="s">
        <v>75</v>
      </c>
      <c r="D172" t="s">
        <v>307</v>
      </c>
      <c r="E172" t="s">
        <v>273</v>
      </c>
      <c r="F172">
        <v>40870</v>
      </c>
      <c r="G172">
        <v>300725</v>
      </c>
      <c r="H172">
        <v>291725</v>
      </c>
      <c r="I172">
        <v>266776</v>
      </c>
      <c r="J172">
        <v>380002</v>
      </c>
      <c r="K172">
        <v>276725</v>
      </c>
      <c r="L172">
        <v>320655</v>
      </c>
    </row>
  </sheetData>
  <mergeCells count="1">
    <mergeCell ref="A1:L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L100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309</v>
      </c>
      <c r="E5" t="s">
        <v>257</v>
      </c>
      <c r="F5">
        <v>2671</v>
      </c>
      <c r="G5">
        <v>758171</v>
      </c>
      <c r="H5">
        <v>734020</v>
      </c>
      <c r="I5">
        <v>661667</v>
      </c>
      <c r="J5">
        <v>1068184</v>
      </c>
      <c r="K5">
        <v>703145</v>
      </c>
      <c r="L5">
        <v>778736</v>
      </c>
    </row>
    <row r="6" spans="1:12" x14ac:dyDescent="0.35">
      <c r="A6">
        <v>2024</v>
      </c>
      <c r="B6">
        <v>1</v>
      </c>
      <c r="C6" t="s">
        <v>42</v>
      </c>
      <c r="D6" t="s">
        <v>309</v>
      </c>
      <c r="E6" t="s">
        <v>259</v>
      </c>
      <c r="F6">
        <v>1415</v>
      </c>
      <c r="G6">
        <v>879424</v>
      </c>
      <c r="H6">
        <v>868675</v>
      </c>
      <c r="I6">
        <v>805719</v>
      </c>
      <c r="J6">
        <v>1144330</v>
      </c>
      <c r="K6">
        <v>845855</v>
      </c>
      <c r="L6">
        <v>896865</v>
      </c>
    </row>
    <row r="7" spans="1:12" x14ac:dyDescent="0.35">
      <c r="A7">
        <v>2024</v>
      </c>
      <c r="B7">
        <v>1</v>
      </c>
      <c r="C7" t="s">
        <v>42</v>
      </c>
      <c r="D7" t="s">
        <v>309</v>
      </c>
      <c r="E7" t="s">
        <v>261</v>
      </c>
      <c r="F7">
        <v>755</v>
      </c>
      <c r="G7">
        <v>1160916</v>
      </c>
      <c r="H7">
        <v>1153628</v>
      </c>
      <c r="I7">
        <v>1099465</v>
      </c>
      <c r="J7">
        <v>1362670</v>
      </c>
      <c r="K7">
        <v>1134465</v>
      </c>
      <c r="L7">
        <v>1181449</v>
      </c>
    </row>
    <row r="8" spans="1:12" x14ac:dyDescent="0.35">
      <c r="A8">
        <v>2024</v>
      </c>
      <c r="B8">
        <v>1</v>
      </c>
      <c r="C8" t="s">
        <v>42</v>
      </c>
      <c r="D8" t="s">
        <v>309</v>
      </c>
      <c r="E8" t="s">
        <v>263</v>
      </c>
      <c r="F8">
        <v>267</v>
      </c>
      <c r="G8">
        <v>1323113</v>
      </c>
      <c r="H8">
        <v>1317028</v>
      </c>
      <c r="I8">
        <v>1240417</v>
      </c>
      <c r="J8">
        <v>1436081</v>
      </c>
      <c r="K8">
        <v>1287865</v>
      </c>
      <c r="L8">
        <v>1358224</v>
      </c>
    </row>
    <row r="9" spans="1:12" x14ac:dyDescent="0.35">
      <c r="A9">
        <v>2024</v>
      </c>
      <c r="B9">
        <v>2</v>
      </c>
      <c r="C9" t="s">
        <v>63</v>
      </c>
      <c r="D9" t="s">
        <v>309</v>
      </c>
      <c r="E9" t="s">
        <v>257</v>
      </c>
      <c r="F9">
        <v>2746</v>
      </c>
      <c r="G9">
        <v>759665</v>
      </c>
      <c r="H9">
        <v>734020</v>
      </c>
      <c r="I9">
        <v>669169</v>
      </c>
      <c r="J9">
        <v>1090651</v>
      </c>
      <c r="K9">
        <v>703266</v>
      </c>
      <c r="L9">
        <v>786236</v>
      </c>
    </row>
    <row r="10" spans="1:12" x14ac:dyDescent="0.35">
      <c r="A10">
        <v>2024</v>
      </c>
      <c r="B10">
        <v>2</v>
      </c>
      <c r="C10" t="s">
        <v>63</v>
      </c>
      <c r="D10" t="s">
        <v>309</v>
      </c>
      <c r="E10" t="s">
        <v>259</v>
      </c>
      <c r="F10">
        <v>1400</v>
      </c>
      <c r="G10">
        <v>889017</v>
      </c>
      <c r="H10">
        <v>876865</v>
      </c>
      <c r="I10">
        <v>805720</v>
      </c>
      <c r="J10">
        <v>1144279</v>
      </c>
      <c r="K10">
        <v>853675</v>
      </c>
      <c r="L10">
        <v>904365</v>
      </c>
    </row>
    <row r="11" spans="1:12" x14ac:dyDescent="0.35">
      <c r="A11">
        <v>2024</v>
      </c>
      <c r="B11">
        <v>2</v>
      </c>
      <c r="C11" t="s">
        <v>63</v>
      </c>
      <c r="D11" t="s">
        <v>309</v>
      </c>
      <c r="E11" t="s">
        <v>261</v>
      </c>
      <c r="F11">
        <v>762</v>
      </c>
      <c r="G11">
        <v>1167425</v>
      </c>
      <c r="H11">
        <v>1166128</v>
      </c>
      <c r="I11">
        <v>1099465</v>
      </c>
      <c r="J11">
        <v>1362670</v>
      </c>
      <c r="K11">
        <v>1140779</v>
      </c>
      <c r="L11">
        <v>1188949</v>
      </c>
    </row>
    <row r="12" spans="1:12" x14ac:dyDescent="0.35">
      <c r="A12">
        <v>2024</v>
      </c>
      <c r="B12">
        <v>2</v>
      </c>
      <c r="C12" t="s">
        <v>63</v>
      </c>
      <c r="D12" t="s">
        <v>309</v>
      </c>
      <c r="E12" t="s">
        <v>263</v>
      </c>
      <c r="F12">
        <v>257</v>
      </c>
      <c r="G12">
        <v>1325269</v>
      </c>
      <c r="H12">
        <v>1317028</v>
      </c>
      <c r="I12">
        <v>1255417</v>
      </c>
      <c r="J12">
        <v>1433582</v>
      </c>
      <c r="K12">
        <v>1292865</v>
      </c>
      <c r="L12">
        <v>1359332</v>
      </c>
    </row>
    <row r="13" spans="1:12" x14ac:dyDescent="0.35">
      <c r="A13">
        <v>2024</v>
      </c>
      <c r="B13">
        <v>3</v>
      </c>
      <c r="C13" t="s">
        <v>66</v>
      </c>
      <c r="D13" t="s">
        <v>309</v>
      </c>
      <c r="E13" t="s">
        <v>257</v>
      </c>
      <c r="F13">
        <v>2736</v>
      </c>
      <c r="G13">
        <v>757554</v>
      </c>
      <c r="H13">
        <v>733146</v>
      </c>
      <c r="I13">
        <v>659169</v>
      </c>
      <c r="J13">
        <v>1099983</v>
      </c>
      <c r="K13">
        <v>700645</v>
      </c>
      <c r="L13">
        <v>789611</v>
      </c>
    </row>
    <row r="14" spans="1:12" x14ac:dyDescent="0.35">
      <c r="A14">
        <v>2024</v>
      </c>
      <c r="B14">
        <v>3</v>
      </c>
      <c r="C14" t="s">
        <v>66</v>
      </c>
      <c r="D14" t="s">
        <v>309</v>
      </c>
      <c r="E14" t="s">
        <v>259</v>
      </c>
      <c r="F14">
        <v>1398</v>
      </c>
      <c r="G14">
        <v>882092</v>
      </c>
      <c r="H14">
        <v>871175</v>
      </c>
      <c r="I14">
        <v>805719</v>
      </c>
      <c r="J14">
        <v>1144330</v>
      </c>
      <c r="K14">
        <v>853355</v>
      </c>
      <c r="L14">
        <v>899365</v>
      </c>
    </row>
    <row r="15" spans="1:12" x14ac:dyDescent="0.35">
      <c r="A15">
        <v>2024</v>
      </c>
      <c r="B15">
        <v>3</v>
      </c>
      <c r="C15" t="s">
        <v>66</v>
      </c>
      <c r="D15" t="s">
        <v>309</v>
      </c>
      <c r="E15" t="s">
        <v>261</v>
      </c>
      <c r="F15">
        <v>691</v>
      </c>
      <c r="G15">
        <v>1161985</v>
      </c>
      <c r="H15">
        <v>1158628</v>
      </c>
      <c r="I15">
        <v>1099699</v>
      </c>
      <c r="J15">
        <v>1362669</v>
      </c>
      <c r="K15">
        <v>1134701</v>
      </c>
      <c r="L15">
        <v>1181449</v>
      </c>
    </row>
    <row r="16" spans="1:12" x14ac:dyDescent="0.35">
      <c r="A16">
        <v>2024</v>
      </c>
      <c r="B16">
        <v>3</v>
      </c>
      <c r="C16" t="s">
        <v>66</v>
      </c>
      <c r="D16" t="s">
        <v>309</v>
      </c>
      <c r="E16" t="s">
        <v>263</v>
      </c>
      <c r="F16">
        <v>219</v>
      </c>
      <c r="G16">
        <v>1322215</v>
      </c>
      <c r="H16">
        <v>1315365</v>
      </c>
      <c r="I16">
        <v>1240417</v>
      </c>
      <c r="J16">
        <v>1436081</v>
      </c>
      <c r="K16">
        <v>1289528</v>
      </c>
      <c r="L16">
        <v>1355724</v>
      </c>
    </row>
    <row r="17" spans="1:12" x14ac:dyDescent="0.35">
      <c r="A17">
        <v>2024</v>
      </c>
      <c r="B17">
        <v>4</v>
      </c>
      <c r="C17" t="s">
        <v>67</v>
      </c>
      <c r="D17" t="s">
        <v>309</v>
      </c>
      <c r="E17" t="s">
        <v>257</v>
      </c>
      <c r="F17">
        <v>2730</v>
      </c>
      <c r="G17">
        <v>755495</v>
      </c>
      <c r="H17">
        <v>734020</v>
      </c>
      <c r="I17">
        <v>659169</v>
      </c>
      <c r="J17">
        <v>1074108</v>
      </c>
      <c r="K17">
        <v>700645</v>
      </c>
      <c r="L17">
        <v>781236</v>
      </c>
    </row>
    <row r="18" spans="1:12" x14ac:dyDescent="0.35">
      <c r="A18">
        <v>2024</v>
      </c>
      <c r="B18">
        <v>4</v>
      </c>
      <c r="C18" t="s">
        <v>67</v>
      </c>
      <c r="D18" t="s">
        <v>309</v>
      </c>
      <c r="E18" t="s">
        <v>259</v>
      </c>
      <c r="F18">
        <v>1390</v>
      </c>
      <c r="G18">
        <v>882041</v>
      </c>
      <c r="H18">
        <v>871175</v>
      </c>
      <c r="I18">
        <v>805719</v>
      </c>
      <c r="J18">
        <v>1144330</v>
      </c>
      <c r="K18">
        <v>850721</v>
      </c>
      <c r="L18">
        <v>899365</v>
      </c>
    </row>
    <row r="19" spans="1:12" x14ac:dyDescent="0.35">
      <c r="A19">
        <v>2024</v>
      </c>
      <c r="B19">
        <v>4</v>
      </c>
      <c r="C19" t="s">
        <v>67</v>
      </c>
      <c r="D19" t="s">
        <v>309</v>
      </c>
      <c r="E19" t="s">
        <v>261</v>
      </c>
      <c r="F19">
        <v>691</v>
      </c>
      <c r="G19">
        <v>1162753</v>
      </c>
      <c r="H19">
        <v>1158628</v>
      </c>
      <c r="I19">
        <v>1099465</v>
      </c>
      <c r="J19">
        <v>1362670</v>
      </c>
      <c r="K19">
        <v>1134701</v>
      </c>
      <c r="L19">
        <v>1181449</v>
      </c>
    </row>
    <row r="20" spans="1:12" x14ac:dyDescent="0.35">
      <c r="A20">
        <v>2024</v>
      </c>
      <c r="B20">
        <v>4</v>
      </c>
      <c r="C20" t="s">
        <v>67</v>
      </c>
      <c r="D20" t="s">
        <v>309</v>
      </c>
      <c r="E20" t="s">
        <v>263</v>
      </c>
      <c r="F20">
        <v>221</v>
      </c>
      <c r="G20">
        <v>1325764</v>
      </c>
      <c r="H20">
        <v>1317028</v>
      </c>
      <c r="I20">
        <v>1240417</v>
      </c>
      <c r="J20">
        <v>1436081</v>
      </c>
      <c r="K20">
        <v>1287865</v>
      </c>
      <c r="L20">
        <v>1363224</v>
      </c>
    </row>
    <row r="21" spans="1:12" x14ac:dyDescent="0.35">
      <c r="A21">
        <v>2024</v>
      </c>
      <c r="B21">
        <v>5</v>
      </c>
      <c r="C21" t="s">
        <v>68</v>
      </c>
      <c r="D21" t="s">
        <v>309</v>
      </c>
      <c r="E21" t="s">
        <v>257</v>
      </c>
      <c r="F21">
        <v>2656</v>
      </c>
      <c r="G21">
        <v>755348</v>
      </c>
      <c r="H21">
        <v>731520</v>
      </c>
      <c r="I21">
        <v>659169</v>
      </c>
      <c r="J21">
        <v>1074108</v>
      </c>
      <c r="K21">
        <v>700645</v>
      </c>
      <c r="L21">
        <v>778736</v>
      </c>
    </row>
    <row r="22" spans="1:12" x14ac:dyDescent="0.35">
      <c r="A22">
        <v>2024</v>
      </c>
      <c r="B22">
        <v>5</v>
      </c>
      <c r="C22" t="s">
        <v>68</v>
      </c>
      <c r="D22" t="s">
        <v>309</v>
      </c>
      <c r="E22" t="s">
        <v>259</v>
      </c>
      <c r="F22">
        <v>1368</v>
      </c>
      <c r="G22">
        <v>882884</v>
      </c>
      <c r="H22">
        <v>871175</v>
      </c>
      <c r="I22">
        <v>805719</v>
      </c>
      <c r="J22">
        <v>1144330</v>
      </c>
      <c r="K22">
        <v>848675</v>
      </c>
      <c r="L22">
        <v>896865</v>
      </c>
    </row>
    <row r="23" spans="1:12" x14ac:dyDescent="0.35">
      <c r="A23">
        <v>2024</v>
      </c>
      <c r="B23">
        <v>5</v>
      </c>
      <c r="C23" t="s">
        <v>68</v>
      </c>
      <c r="D23" t="s">
        <v>309</v>
      </c>
      <c r="E23" t="s">
        <v>261</v>
      </c>
      <c r="F23">
        <v>676</v>
      </c>
      <c r="G23">
        <v>1163242</v>
      </c>
      <c r="H23">
        <v>1158628</v>
      </c>
      <c r="I23">
        <v>1099465</v>
      </c>
      <c r="J23">
        <v>1362670</v>
      </c>
      <c r="K23">
        <v>1134465</v>
      </c>
      <c r="L23">
        <v>1181449</v>
      </c>
    </row>
    <row r="24" spans="1:12" x14ac:dyDescent="0.35">
      <c r="A24">
        <v>2024</v>
      </c>
      <c r="B24">
        <v>5</v>
      </c>
      <c r="C24" t="s">
        <v>68</v>
      </c>
      <c r="D24" t="s">
        <v>309</v>
      </c>
      <c r="E24" t="s">
        <v>263</v>
      </c>
      <c r="F24">
        <v>243</v>
      </c>
      <c r="G24">
        <v>1327996</v>
      </c>
      <c r="H24">
        <v>1324528</v>
      </c>
      <c r="I24">
        <v>1240417</v>
      </c>
      <c r="J24">
        <v>1436081</v>
      </c>
      <c r="K24">
        <v>1292865</v>
      </c>
      <c r="L24">
        <v>1366835</v>
      </c>
    </row>
    <row r="25" spans="1:12" x14ac:dyDescent="0.35">
      <c r="A25">
        <v>2024</v>
      </c>
      <c r="B25">
        <v>6</v>
      </c>
      <c r="C25" t="s">
        <v>69</v>
      </c>
      <c r="D25" t="s">
        <v>309</v>
      </c>
      <c r="E25" t="s">
        <v>257</v>
      </c>
      <c r="F25">
        <v>2633</v>
      </c>
      <c r="G25">
        <v>758000</v>
      </c>
      <c r="H25">
        <v>731520</v>
      </c>
      <c r="I25">
        <v>659169</v>
      </c>
      <c r="J25">
        <v>1080320</v>
      </c>
      <c r="K25">
        <v>700645</v>
      </c>
      <c r="L25">
        <v>786236</v>
      </c>
    </row>
    <row r="26" spans="1:12" x14ac:dyDescent="0.35">
      <c r="A26">
        <v>2024</v>
      </c>
      <c r="B26">
        <v>6</v>
      </c>
      <c r="C26" t="s">
        <v>69</v>
      </c>
      <c r="D26" t="s">
        <v>309</v>
      </c>
      <c r="E26" t="s">
        <v>259</v>
      </c>
      <c r="F26">
        <v>1344</v>
      </c>
      <c r="G26">
        <v>882023</v>
      </c>
      <c r="H26">
        <v>868675</v>
      </c>
      <c r="I26">
        <v>805719</v>
      </c>
      <c r="J26">
        <v>1144330</v>
      </c>
      <c r="K26">
        <v>848355</v>
      </c>
      <c r="L26">
        <v>896865</v>
      </c>
    </row>
    <row r="27" spans="1:12" x14ac:dyDescent="0.35">
      <c r="A27">
        <v>2024</v>
      </c>
      <c r="B27">
        <v>6</v>
      </c>
      <c r="C27" t="s">
        <v>69</v>
      </c>
      <c r="D27" t="s">
        <v>309</v>
      </c>
      <c r="E27" t="s">
        <v>261</v>
      </c>
      <c r="F27">
        <v>651</v>
      </c>
      <c r="G27">
        <v>1162353</v>
      </c>
      <c r="H27">
        <v>1158628</v>
      </c>
      <c r="I27">
        <v>1084701</v>
      </c>
      <c r="J27">
        <v>1362670</v>
      </c>
      <c r="K27">
        <v>1129465</v>
      </c>
      <c r="L27">
        <v>1181449</v>
      </c>
    </row>
    <row r="28" spans="1:12" x14ac:dyDescent="0.35">
      <c r="A28">
        <v>2024</v>
      </c>
      <c r="B28">
        <v>6</v>
      </c>
      <c r="C28" t="s">
        <v>69</v>
      </c>
      <c r="D28" t="s">
        <v>309</v>
      </c>
      <c r="E28" t="s">
        <v>263</v>
      </c>
      <c r="F28">
        <v>276</v>
      </c>
      <c r="G28">
        <v>1329876</v>
      </c>
      <c r="H28">
        <v>1324528</v>
      </c>
      <c r="I28">
        <v>1240417</v>
      </c>
      <c r="J28">
        <v>1436081</v>
      </c>
      <c r="K28">
        <v>1297028</v>
      </c>
      <c r="L28">
        <v>1365724</v>
      </c>
    </row>
    <row r="29" spans="1:12" x14ac:dyDescent="0.35">
      <c r="A29">
        <v>2024</v>
      </c>
      <c r="B29">
        <v>7</v>
      </c>
      <c r="C29" t="s">
        <v>70</v>
      </c>
      <c r="D29" t="s">
        <v>309</v>
      </c>
      <c r="E29" t="s">
        <v>257</v>
      </c>
      <c r="F29">
        <v>2702</v>
      </c>
      <c r="G29">
        <v>760883</v>
      </c>
      <c r="H29">
        <v>731520</v>
      </c>
      <c r="I29">
        <v>659169</v>
      </c>
      <c r="J29">
        <v>1074108</v>
      </c>
      <c r="K29">
        <v>700645</v>
      </c>
      <c r="L29">
        <v>793736</v>
      </c>
    </row>
    <row r="30" spans="1:12" x14ac:dyDescent="0.35">
      <c r="A30">
        <v>2024</v>
      </c>
      <c r="B30">
        <v>7</v>
      </c>
      <c r="C30" t="s">
        <v>70</v>
      </c>
      <c r="D30" t="s">
        <v>309</v>
      </c>
      <c r="E30" t="s">
        <v>259</v>
      </c>
      <c r="F30">
        <v>1484</v>
      </c>
      <c r="G30">
        <v>882913</v>
      </c>
      <c r="H30">
        <v>871175</v>
      </c>
      <c r="I30">
        <v>805719</v>
      </c>
      <c r="J30">
        <v>1144330</v>
      </c>
      <c r="K30">
        <v>845855</v>
      </c>
      <c r="L30">
        <v>899365</v>
      </c>
    </row>
    <row r="31" spans="1:12" x14ac:dyDescent="0.35">
      <c r="A31">
        <v>2024</v>
      </c>
      <c r="B31">
        <v>7</v>
      </c>
      <c r="C31" t="s">
        <v>70</v>
      </c>
      <c r="D31" t="s">
        <v>309</v>
      </c>
      <c r="E31" t="s">
        <v>261</v>
      </c>
      <c r="F31">
        <v>867</v>
      </c>
      <c r="G31">
        <v>1163362</v>
      </c>
      <c r="H31">
        <v>1158628</v>
      </c>
      <c r="I31">
        <v>1084701</v>
      </c>
      <c r="J31">
        <v>1394777</v>
      </c>
      <c r="K31">
        <v>1129701</v>
      </c>
      <c r="L31">
        <v>1183628</v>
      </c>
    </row>
    <row r="32" spans="1:12" x14ac:dyDescent="0.35">
      <c r="A32">
        <v>2024</v>
      </c>
      <c r="B32">
        <v>7</v>
      </c>
      <c r="C32" t="s">
        <v>70</v>
      </c>
      <c r="D32" t="s">
        <v>309</v>
      </c>
      <c r="E32" t="s">
        <v>263</v>
      </c>
      <c r="F32">
        <v>309</v>
      </c>
      <c r="G32">
        <v>1325785</v>
      </c>
      <c r="H32">
        <v>1317028</v>
      </c>
      <c r="I32">
        <v>1240417</v>
      </c>
      <c r="J32">
        <v>1436081</v>
      </c>
      <c r="K32">
        <v>1287865</v>
      </c>
      <c r="L32">
        <v>1363224</v>
      </c>
    </row>
    <row r="33" spans="1:12" x14ac:dyDescent="0.35">
      <c r="A33">
        <v>2024</v>
      </c>
      <c r="B33">
        <v>8</v>
      </c>
      <c r="C33" t="s">
        <v>71</v>
      </c>
      <c r="D33" t="s">
        <v>309</v>
      </c>
      <c r="E33" t="s">
        <v>257</v>
      </c>
      <c r="F33">
        <v>3020</v>
      </c>
      <c r="G33">
        <v>765710</v>
      </c>
      <c r="H33">
        <v>726520</v>
      </c>
      <c r="I33">
        <v>659169</v>
      </c>
      <c r="J33">
        <v>1100803</v>
      </c>
      <c r="K33">
        <v>695645</v>
      </c>
      <c r="L33">
        <v>802111</v>
      </c>
    </row>
    <row r="34" spans="1:12" x14ac:dyDescent="0.35">
      <c r="A34">
        <v>2024</v>
      </c>
      <c r="B34">
        <v>8</v>
      </c>
      <c r="C34" t="s">
        <v>71</v>
      </c>
      <c r="D34" t="s">
        <v>309</v>
      </c>
      <c r="E34" t="s">
        <v>259</v>
      </c>
      <c r="F34">
        <v>1476</v>
      </c>
      <c r="G34">
        <v>913620</v>
      </c>
      <c r="H34">
        <v>878675</v>
      </c>
      <c r="I34">
        <v>805719</v>
      </c>
      <c r="J34">
        <v>1161483</v>
      </c>
      <c r="K34">
        <v>850721</v>
      </c>
      <c r="L34">
        <v>943060</v>
      </c>
    </row>
    <row r="35" spans="1:12" x14ac:dyDescent="0.35">
      <c r="A35">
        <v>2024</v>
      </c>
      <c r="B35">
        <v>8</v>
      </c>
      <c r="C35" t="s">
        <v>71</v>
      </c>
      <c r="D35" t="s">
        <v>309</v>
      </c>
      <c r="E35" t="s">
        <v>261</v>
      </c>
      <c r="F35">
        <v>881</v>
      </c>
      <c r="G35">
        <v>1203036</v>
      </c>
      <c r="H35">
        <v>1166449</v>
      </c>
      <c r="I35">
        <v>1084701</v>
      </c>
      <c r="J35">
        <v>1424543</v>
      </c>
      <c r="K35">
        <v>1143628</v>
      </c>
      <c r="L35">
        <v>1231875</v>
      </c>
    </row>
    <row r="36" spans="1:12" x14ac:dyDescent="0.35">
      <c r="A36">
        <v>2024</v>
      </c>
      <c r="B36">
        <v>8</v>
      </c>
      <c r="C36" t="s">
        <v>71</v>
      </c>
      <c r="D36" t="s">
        <v>309</v>
      </c>
      <c r="E36" t="s">
        <v>263</v>
      </c>
      <c r="F36">
        <v>301</v>
      </c>
      <c r="G36">
        <v>1349507</v>
      </c>
      <c r="H36">
        <v>1325218</v>
      </c>
      <c r="I36">
        <v>1240417</v>
      </c>
      <c r="J36">
        <v>1514138</v>
      </c>
      <c r="K36">
        <v>1297028</v>
      </c>
      <c r="L36">
        <v>1386832</v>
      </c>
    </row>
    <row r="37" spans="1:12" x14ac:dyDescent="0.35">
      <c r="A37">
        <v>2024</v>
      </c>
      <c r="B37">
        <v>9</v>
      </c>
      <c r="C37" t="s">
        <v>72</v>
      </c>
      <c r="D37" t="s">
        <v>309</v>
      </c>
      <c r="E37" t="s">
        <v>257</v>
      </c>
      <c r="F37">
        <v>3110</v>
      </c>
      <c r="G37">
        <v>750911</v>
      </c>
      <c r="H37">
        <v>723146</v>
      </c>
      <c r="I37">
        <v>659169</v>
      </c>
      <c r="J37">
        <v>1074108</v>
      </c>
      <c r="K37">
        <v>691669</v>
      </c>
      <c r="L37">
        <v>778736</v>
      </c>
    </row>
    <row r="38" spans="1:12" x14ac:dyDescent="0.35">
      <c r="A38">
        <v>2024</v>
      </c>
      <c r="B38">
        <v>9</v>
      </c>
      <c r="C38" t="s">
        <v>72</v>
      </c>
      <c r="D38" t="s">
        <v>309</v>
      </c>
      <c r="E38" t="s">
        <v>259</v>
      </c>
      <c r="F38">
        <v>1518</v>
      </c>
      <c r="G38">
        <v>886906</v>
      </c>
      <c r="H38">
        <v>876175</v>
      </c>
      <c r="I38">
        <v>805719</v>
      </c>
      <c r="J38">
        <v>1144330</v>
      </c>
      <c r="K38">
        <v>848355</v>
      </c>
      <c r="L38">
        <v>904365</v>
      </c>
    </row>
    <row r="39" spans="1:12" x14ac:dyDescent="0.35">
      <c r="A39">
        <v>2024</v>
      </c>
      <c r="B39">
        <v>9</v>
      </c>
      <c r="C39" t="s">
        <v>72</v>
      </c>
      <c r="D39" t="s">
        <v>309</v>
      </c>
      <c r="E39" t="s">
        <v>261</v>
      </c>
      <c r="F39">
        <v>884</v>
      </c>
      <c r="G39">
        <v>1167201</v>
      </c>
      <c r="H39">
        <v>1158628</v>
      </c>
      <c r="I39">
        <v>1084701</v>
      </c>
      <c r="J39">
        <v>1362670</v>
      </c>
      <c r="K39">
        <v>1136965</v>
      </c>
      <c r="L39">
        <v>1188949</v>
      </c>
    </row>
    <row r="40" spans="1:12" x14ac:dyDescent="0.35">
      <c r="A40">
        <v>2024</v>
      </c>
      <c r="B40">
        <v>9</v>
      </c>
      <c r="C40" t="s">
        <v>72</v>
      </c>
      <c r="D40" t="s">
        <v>309</v>
      </c>
      <c r="E40" t="s">
        <v>263</v>
      </c>
      <c r="F40">
        <v>313</v>
      </c>
      <c r="G40">
        <v>1339072</v>
      </c>
      <c r="H40">
        <v>1330218</v>
      </c>
      <c r="I40">
        <v>1240417</v>
      </c>
      <c r="J40">
        <v>1436081</v>
      </c>
      <c r="K40">
        <v>1302028</v>
      </c>
      <c r="L40">
        <v>1374332</v>
      </c>
    </row>
    <row r="41" spans="1:12" x14ac:dyDescent="0.35">
      <c r="A41">
        <v>2024</v>
      </c>
      <c r="B41">
        <v>10</v>
      </c>
      <c r="C41" t="s">
        <v>73</v>
      </c>
      <c r="D41" t="s">
        <v>309</v>
      </c>
      <c r="E41" t="s">
        <v>257</v>
      </c>
      <c r="F41">
        <v>3145</v>
      </c>
      <c r="G41">
        <v>750110</v>
      </c>
      <c r="H41">
        <v>723145</v>
      </c>
      <c r="I41">
        <v>656669</v>
      </c>
      <c r="J41">
        <v>1076888</v>
      </c>
      <c r="K41">
        <v>689169</v>
      </c>
      <c r="L41">
        <v>778736</v>
      </c>
    </row>
    <row r="42" spans="1:12" x14ac:dyDescent="0.35">
      <c r="A42">
        <v>2024</v>
      </c>
      <c r="B42">
        <v>10</v>
      </c>
      <c r="C42" t="s">
        <v>73</v>
      </c>
      <c r="D42" t="s">
        <v>309</v>
      </c>
      <c r="E42" t="s">
        <v>259</v>
      </c>
      <c r="F42">
        <v>1530</v>
      </c>
      <c r="G42">
        <v>886227</v>
      </c>
      <c r="H42">
        <v>871176</v>
      </c>
      <c r="I42">
        <v>805719</v>
      </c>
      <c r="J42">
        <v>1144330</v>
      </c>
      <c r="K42">
        <v>845855</v>
      </c>
      <c r="L42">
        <v>904365</v>
      </c>
    </row>
    <row r="43" spans="1:12" x14ac:dyDescent="0.35">
      <c r="A43">
        <v>2024</v>
      </c>
      <c r="B43">
        <v>10</v>
      </c>
      <c r="C43" t="s">
        <v>73</v>
      </c>
      <c r="D43" t="s">
        <v>309</v>
      </c>
      <c r="E43" t="s">
        <v>261</v>
      </c>
      <c r="F43">
        <v>890</v>
      </c>
      <c r="G43">
        <v>1166411</v>
      </c>
      <c r="H43">
        <v>1158628</v>
      </c>
      <c r="I43">
        <v>1084701</v>
      </c>
      <c r="J43">
        <v>1362670</v>
      </c>
      <c r="K43">
        <v>1136965</v>
      </c>
      <c r="L43">
        <v>1188949</v>
      </c>
    </row>
    <row r="44" spans="1:12" x14ac:dyDescent="0.35">
      <c r="A44">
        <v>2024</v>
      </c>
      <c r="B44">
        <v>10</v>
      </c>
      <c r="C44" t="s">
        <v>73</v>
      </c>
      <c r="D44" t="s">
        <v>309</v>
      </c>
      <c r="E44" t="s">
        <v>263</v>
      </c>
      <c r="F44">
        <v>316</v>
      </c>
      <c r="G44">
        <v>1342404</v>
      </c>
      <c r="H44">
        <v>1337718</v>
      </c>
      <c r="I44">
        <v>1257865</v>
      </c>
      <c r="J44">
        <v>1436081</v>
      </c>
      <c r="K44">
        <v>1304528</v>
      </c>
      <c r="L44">
        <v>1374332</v>
      </c>
    </row>
    <row r="45" spans="1:12" x14ac:dyDescent="0.35">
      <c r="A45">
        <v>2024</v>
      </c>
      <c r="B45">
        <v>11</v>
      </c>
      <c r="C45" t="s">
        <v>74</v>
      </c>
      <c r="D45" t="s">
        <v>309</v>
      </c>
      <c r="E45" t="s">
        <v>257</v>
      </c>
      <c r="F45">
        <v>3150</v>
      </c>
      <c r="G45">
        <v>751614</v>
      </c>
      <c r="H45">
        <v>723145</v>
      </c>
      <c r="I45">
        <v>656667</v>
      </c>
      <c r="J45">
        <v>1074108</v>
      </c>
      <c r="K45">
        <v>695646</v>
      </c>
      <c r="L45">
        <v>778736</v>
      </c>
    </row>
    <row r="46" spans="1:12" x14ac:dyDescent="0.35">
      <c r="A46">
        <v>2024</v>
      </c>
      <c r="B46">
        <v>11</v>
      </c>
      <c r="C46" t="s">
        <v>74</v>
      </c>
      <c r="D46" t="s">
        <v>309</v>
      </c>
      <c r="E46" t="s">
        <v>259</v>
      </c>
      <c r="F46">
        <v>1532</v>
      </c>
      <c r="G46">
        <v>886231</v>
      </c>
      <c r="H46">
        <v>871175</v>
      </c>
      <c r="I46">
        <v>805719</v>
      </c>
      <c r="J46">
        <v>1144330</v>
      </c>
      <c r="K46">
        <v>845855</v>
      </c>
      <c r="L46">
        <v>904365</v>
      </c>
    </row>
    <row r="47" spans="1:12" x14ac:dyDescent="0.35">
      <c r="A47">
        <v>2024</v>
      </c>
      <c r="B47">
        <v>11</v>
      </c>
      <c r="C47" t="s">
        <v>74</v>
      </c>
      <c r="D47" t="s">
        <v>309</v>
      </c>
      <c r="E47" t="s">
        <v>261</v>
      </c>
      <c r="F47">
        <v>890</v>
      </c>
      <c r="G47">
        <v>1166091</v>
      </c>
      <c r="H47">
        <v>1158628</v>
      </c>
      <c r="I47">
        <v>1084701</v>
      </c>
      <c r="J47">
        <v>1362670</v>
      </c>
      <c r="K47">
        <v>1136965</v>
      </c>
      <c r="L47">
        <v>1188949</v>
      </c>
    </row>
    <row r="48" spans="1:12" x14ac:dyDescent="0.35">
      <c r="A48">
        <v>2024</v>
      </c>
      <c r="B48">
        <v>11</v>
      </c>
      <c r="C48" t="s">
        <v>74</v>
      </c>
      <c r="D48" t="s">
        <v>309</v>
      </c>
      <c r="E48" t="s">
        <v>263</v>
      </c>
      <c r="F48">
        <v>316</v>
      </c>
      <c r="G48">
        <v>1345557</v>
      </c>
      <c r="H48">
        <v>1342718</v>
      </c>
      <c r="I48">
        <v>1257865</v>
      </c>
      <c r="J48">
        <v>1436081</v>
      </c>
      <c r="K48">
        <v>1310218</v>
      </c>
      <c r="L48">
        <v>1379332</v>
      </c>
    </row>
    <row r="49" spans="1:12" x14ac:dyDescent="0.35">
      <c r="A49">
        <v>2024</v>
      </c>
      <c r="B49">
        <v>12</v>
      </c>
      <c r="C49" t="s">
        <v>75</v>
      </c>
      <c r="D49" t="s">
        <v>309</v>
      </c>
      <c r="E49" t="s">
        <v>257</v>
      </c>
      <c r="F49">
        <v>3125</v>
      </c>
      <c r="G49">
        <v>751216</v>
      </c>
      <c r="H49">
        <v>723145</v>
      </c>
      <c r="I49">
        <v>656667</v>
      </c>
      <c r="J49">
        <v>1074108</v>
      </c>
      <c r="K49">
        <v>695646</v>
      </c>
      <c r="L49">
        <v>778736</v>
      </c>
    </row>
    <row r="50" spans="1:12" x14ac:dyDescent="0.35">
      <c r="A50">
        <v>2024</v>
      </c>
      <c r="B50">
        <v>12</v>
      </c>
      <c r="C50" t="s">
        <v>75</v>
      </c>
      <c r="D50" t="s">
        <v>309</v>
      </c>
      <c r="E50" t="s">
        <v>259</v>
      </c>
      <c r="F50">
        <v>1520</v>
      </c>
      <c r="G50">
        <v>885521</v>
      </c>
      <c r="H50">
        <v>871175</v>
      </c>
      <c r="I50">
        <v>805719</v>
      </c>
      <c r="J50">
        <v>1144330</v>
      </c>
      <c r="K50">
        <v>843221</v>
      </c>
      <c r="L50">
        <v>904365</v>
      </c>
    </row>
    <row r="51" spans="1:12" x14ac:dyDescent="0.35">
      <c r="A51">
        <v>2024</v>
      </c>
      <c r="B51">
        <v>12</v>
      </c>
      <c r="C51" t="s">
        <v>75</v>
      </c>
      <c r="D51" t="s">
        <v>309</v>
      </c>
      <c r="E51" t="s">
        <v>261</v>
      </c>
      <c r="F51">
        <v>890</v>
      </c>
      <c r="G51">
        <v>1164488</v>
      </c>
      <c r="H51">
        <v>1156965</v>
      </c>
      <c r="I51">
        <v>1084701</v>
      </c>
      <c r="J51">
        <v>1362670</v>
      </c>
      <c r="K51">
        <v>1134465</v>
      </c>
      <c r="L51">
        <v>1185611</v>
      </c>
    </row>
    <row r="52" spans="1:12" x14ac:dyDescent="0.35">
      <c r="A52">
        <v>2024</v>
      </c>
      <c r="B52">
        <v>12</v>
      </c>
      <c r="C52" t="s">
        <v>75</v>
      </c>
      <c r="D52" t="s">
        <v>309</v>
      </c>
      <c r="E52" t="s">
        <v>263</v>
      </c>
      <c r="F52">
        <v>324</v>
      </c>
      <c r="G52">
        <v>1344288</v>
      </c>
      <c r="H52">
        <v>1337718</v>
      </c>
      <c r="I52">
        <v>1257865</v>
      </c>
      <c r="J52">
        <v>1436081</v>
      </c>
      <c r="K52">
        <v>1309528</v>
      </c>
      <c r="L52">
        <v>1374332</v>
      </c>
    </row>
    <row r="53" spans="1:12" x14ac:dyDescent="0.35">
      <c r="A53">
        <v>2025</v>
      </c>
      <c r="B53">
        <v>1</v>
      </c>
      <c r="C53" t="s">
        <v>42</v>
      </c>
      <c r="D53" t="s">
        <v>309</v>
      </c>
      <c r="E53" t="s">
        <v>257</v>
      </c>
      <c r="F53">
        <v>3054</v>
      </c>
      <c r="G53">
        <v>753145</v>
      </c>
      <c r="H53">
        <v>726520</v>
      </c>
      <c r="I53">
        <v>669169</v>
      </c>
      <c r="J53">
        <v>1074108</v>
      </c>
      <c r="K53">
        <v>700645</v>
      </c>
      <c r="L53">
        <v>778736</v>
      </c>
    </row>
    <row r="54" spans="1:12" x14ac:dyDescent="0.35">
      <c r="A54">
        <v>2025</v>
      </c>
      <c r="B54">
        <v>1</v>
      </c>
      <c r="C54" t="s">
        <v>42</v>
      </c>
      <c r="D54" t="s">
        <v>309</v>
      </c>
      <c r="E54" t="s">
        <v>259</v>
      </c>
      <c r="F54">
        <v>1473</v>
      </c>
      <c r="G54">
        <v>883026</v>
      </c>
      <c r="H54">
        <v>868675</v>
      </c>
      <c r="I54">
        <v>805719</v>
      </c>
      <c r="J54">
        <v>1144330</v>
      </c>
      <c r="K54">
        <v>840855</v>
      </c>
      <c r="L54">
        <v>904365</v>
      </c>
    </row>
    <row r="55" spans="1:12" x14ac:dyDescent="0.35">
      <c r="A55">
        <v>2025</v>
      </c>
      <c r="B55">
        <v>1</v>
      </c>
      <c r="C55" t="s">
        <v>42</v>
      </c>
      <c r="D55" t="s">
        <v>309</v>
      </c>
      <c r="E55" t="s">
        <v>261</v>
      </c>
      <c r="F55">
        <v>912</v>
      </c>
      <c r="G55">
        <v>1162296</v>
      </c>
      <c r="H55">
        <v>1151128</v>
      </c>
      <c r="I55">
        <v>1084701</v>
      </c>
      <c r="J55">
        <v>1362670</v>
      </c>
      <c r="K55">
        <v>1129700</v>
      </c>
      <c r="L55">
        <v>1183949</v>
      </c>
    </row>
    <row r="56" spans="1:12" x14ac:dyDescent="0.35">
      <c r="A56">
        <v>2025</v>
      </c>
      <c r="B56">
        <v>1</v>
      </c>
      <c r="C56" t="s">
        <v>42</v>
      </c>
      <c r="D56" t="s">
        <v>309</v>
      </c>
      <c r="E56" t="s">
        <v>263</v>
      </c>
      <c r="F56">
        <v>293</v>
      </c>
      <c r="G56">
        <v>1339193</v>
      </c>
      <c r="H56">
        <v>1332718</v>
      </c>
      <c r="I56">
        <v>1240417</v>
      </c>
      <c r="J56">
        <v>1436081</v>
      </c>
      <c r="K56">
        <v>1302028</v>
      </c>
      <c r="L56">
        <v>1371832</v>
      </c>
    </row>
    <row r="57" spans="1:12" x14ac:dyDescent="0.35">
      <c r="A57">
        <v>2025</v>
      </c>
      <c r="B57">
        <v>2</v>
      </c>
      <c r="C57" t="s">
        <v>63</v>
      </c>
      <c r="D57" t="s">
        <v>309</v>
      </c>
      <c r="E57" t="s">
        <v>257</v>
      </c>
      <c r="F57">
        <v>3081</v>
      </c>
      <c r="G57">
        <v>753145</v>
      </c>
      <c r="H57">
        <v>725645</v>
      </c>
      <c r="I57">
        <v>656667</v>
      </c>
      <c r="J57">
        <v>1082572</v>
      </c>
      <c r="K57">
        <v>696669</v>
      </c>
      <c r="L57">
        <v>778736</v>
      </c>
    </row>
    <row r="58" spans="1:12" x14ac:dyDescent="0.35">
      <c r="A58">
        <v>2025</v>
      </c>
      <c r="B58">
        <v>2</v>
      </c>
      <c r="C58" t="s">
        <v>63</v>
      </c>
      <c r="D58" t="s">
        <v>309</v>
      </c>
      <c r="E58" t="s">
        <v>259</v>
      </c>
      <c r="F58">
        <v>1516</v>
      </c>
      <c r="G58">
        <v>892979</v>
      </c>
      <c r="H58">
        <v>878675</v>
      </c>
      <c r="I58">
        <v>805721</v>
      </c>
      <c r="J58">
        <v>1162297</v>
      </c>
      <c r="K58">
        <v>848675</v>
      </c>
      <c r="L58">
        <v>919145</v>
      </c>
    </row>
    <row r="59" spans="1:12" x14ac:dyDescent="0.35">
      <c r="A59">
        <v>2025</v>
      </c>
      <c r="B59">
        <v>2</v>
      </c>
      <c r="C59" t="s">
        <v>63</v>
      </c>
      <c r="D59" t="s">
        <v>309</v>
      </c>
      <c r="E59" t="s">
        <v>261</v>
      </c>
      <c r="F59">
        <v>935</v>
      </c>
      <c r="G59">
        <v>1177346</v>
      </c>
      <c r="H59">
        <v>1173628</v>
      </c>
      <c r="I59">
        <v>1099700</v>
      </c>
      <c r="J59">
        <v>1415417</v>
      </c>
      <c r="K59">
        <v>1136965</v>
      </c>
      <c r="L59">
        <v>1205611</v>
      </c>
    </row>
    <row r="60" spans="1:12" x14ac:dyDescent="0.35">
      <c r="A60">
        <v>2025</v>
      </c>
      <c r="B60">
        <v>2</v>
      </c>
      <c r="C60" t="s">
        <v>63</v>
      </c>
      <c r="D60" t="s">
        <v>309</v>
      </c>
      <c r="E60" t="s">
        <v>263</v>
      </c>
      <c r="F60">
        <v>322</v>
      </c>
      <c r="G60">
        <v>1357868</v>
      </c>
      <c r="H60">
        <v>1366832</v>
      </c>
      <c r="I60">
        <v>1240417</v>
      </c>
      <c r="J60">
        <v>1504153</v>
      </c>
      <c r="K60">
        <v>1324528</v>
      </c>
      <c r="L60">
        <v>1390408</v>
      </c>
    </row>
    <row r="61" spans="1:12" x14ac:dyDescent="0.35">
      <c r="A61">
        <v>2025</v>
      </c>
      <c r="B61">
        <v>3</v>
      </c>
      <c r="C61" t="s">
        <v>66</v>
      </c>
      <c r="D61" t="s">
        <v>309</v>
      </c>
      <c r="E61" t="s">
        <v>257</v>
      </c>
      <c r="F61">
        <v>2981</v>
      </c>
      <c r="G61">
        <v>753996</v>
      </c>
      <c r="H61">
        <v>725645</v>
      </c>
      <c r="I61">
        <v>656667</v>
      </c>
      <c r="J61">
        <v>1088321</v>
      </c>
      <c r="K61">
        <v>696669</v>
      </c>
      <c r="L61">
        <v>780995</v>
      </c>
    </row>
    <row r="62" spans="1:12" x14ac:dyDescent="0.35">
      <c r="A62">
        <v>2025</v>
      </c>
      <c r="B62">
        <v>3</v>
      </c>
      <c r="C62" t="s">
        <v>66</v>
      </c>
      <c r="D62" t="s">
        <v>309</v>
      </c>
      <c r="E62" t="s">
        <v>259</v>
      </c>
      <c r="F62">
        <v>1404</v>
      </c>
      <c r="G62">
        <v>891796</v>
      </c>
      <c r="H62">
        <v>876175</v>
      </c>
      <c r="I62">
        <v>805721</v>
      </c>
      <c r="J62">
        <v>1144330</v>
      </c>
      <c r="K62">
        <v>848355</v>
      </c>
      <c r="L62">
        <v>911865</v>
      </c>
    </row>
    <row r="63" spans="1:12" x14ac:dyDescent="0.35">
      <c r="A63">
        <v>2025</v>
      </c>
      <c r="B63">
        <v>3</v>
      </c>
      <c r="C63" t="s">
        <v>66</v>
      </c>
      <c r="D63" t="s">
        <v>309</v>
      </c>
      <c r="E63" t="s">
        <v>261</v>
      </c>
      <c r="F63">
        <v>825</v>
      </c>
      <c r="G63">
        <v>1185180</v>
      </c>
      <c r="H63">
        <v>1166449</v>
      </c>
      <c r="I63">
        <v>1092201</v>
      </c>
      <c r="J63">
        <v>1380169</v>
      </c>
      <c r="K63">
        <v>1143628</v>
      </c>
      <c r="L63">
        <v>1203949</v>
      </c>
    </row>
    <row r="64" spans="1:12" x14ac:dyDescent="0.35">
      <c r="A64">
        <v>2025</v>
      </c>
      <c r="B64">
        <v>3</v>
      </c>
      <c r="C64" t="s">
        <v>66</v>
      </c>
      <c r="D64" t="s">
        <v>309</v>
      </c>
      <c r="E64" t="s">
        <v>263</v>
      </c>
      <c r="F64">
        <v>253</v>
      </c>
      <c r="G64">
        <v>1352776</v>
      </c>
      <c r="H64">
        <v>1352718</v>
      </c>
      <c r="I64">
        <v>1260415</v>
      </c>
      <c r="J64">
        <v>1508539</v>
      </c>
      <c r="K64">
        <v>1319528</v>
      </c>
      <c r="L64">
        <v>1379332</v>
      </c>
    </row>
    <row r="65" spans="1:12" x14ac:dyDescent="0.35">
      <c r="A65">
        <v>2025</v>
      </c>
      <c r="B65">
        <v>4</v>
      </c>
      <c r="C65" t="s">
        <v>67</v>
      </c>
      <c r="D65" t="s">
        <v>309</v>
      </c>
      <c r="E65" t="s">
        <v>257</v>
      </c>
      <c r="F65">
        <v>3081</v>
      </c>
      <c r="G65">
        <v>753267</v>
      </c>
      <c r="H65">
        <v>725888</v>
      </c>
      <c r="I65">
        <v>656667</v>
      </c>
      <c r="J65">
        <v>1082572</v>
      </c>
      <c r="K65">
        <v>696669</v>
      </c>
      <c r="L65">
        <v>778736</v>
      </c>
    </row>
    <row r="66" spans="1:12" x14ac:dyDescent="0.35">
      <c r="A66">
        <v>2025</v>
      </c>
      <c r="B66">
        <v>4</v>
      </c>
      <c r="C66" t="s">
        <v>67</v>
      </c>
      <c r="D66" t="s">
        <v>309</v>
      </c>
      <c r="E66" t="s">
        <v>259</v>
      </c>
      <c r="F66">
        <v>1513</v>
      </c>
      <c r="G66">
        <v>892839</v>
      </c>
      <c r="H66">
        <v>878675</v>
      </c>
      <c r="I66">
        <v>805721</v>
      </c>
      <c r="J66">
        <v>1162297</v>
      </c>
      <c r="K66">
        <v>848675</v>
      </c>
      <c r="L66">
        <v>919145</v>
      </c>
    </row>
    <row r="67" spans="1:12" x14ac:dyDescent="0.35">
      <c r="A67">
        <v>2025</v>
      </c>
      <c r="B67">
        <v>4</v>
      </c>
      <c r="C67" t="s">
        <v>67</v>
      </c>
      <c r="D67" t="s">
        <v>309</v>
      </c>
      <c r="E67" t="s">
        <v>261</v>
      </c>
      <c r="F67">
        <v>932</v>
      </c>
      <c r="G67">
        <v>1177218</v>
      </c>
      <c r="H67">
        <v>1173628</v>
      </c>
      <c r="I67">
        <v>1099700</v>
      </c>
      <c r="J67">
        <v>1415417</v>
      </c>
      <c r="K67">
        <v>1136965</v>
      </c>
      <c r="L67">
        <v>1205611</v>
      </c>
    </row>
    <row r="68" spans="1:12" x14ac:dyDescent="0.35">
      <c r="A68">
        <v>2025</v>
      </c>
      <c r="B68">
        <v>4</v>
      </c>
      <c r="C68" t="s">
        <v>67</v>
      </c>
      <c r="D68" t="s">
        <v>309</v>
      </c>
      <c r="E68" t="s">
        <v>263</v>
      </c>
      <c r="F68">
        <v>322</v>
      </c>
      <c r="G68">
        <v>1357868</v>
      </c>
      <c r="H68">
        <v>1366832</v>
      </c>
      <c r="I68">
        <v>1240417</v>
      </c>
      <c r="J68">
        <v>1504153</v>
      </c>
      <c r="K68">
        <v>1324528</v>
      </c>
      <c r="L68">
        <v>1390408</v>
      </c>
    </row>
    <row r="69" spans="1:12" x14ac:dyDescent="0.35">
      <c r="A69">
        <v>2025</v>
      </c>
      <c r="B69">
        <v>5</v>
      </c>
      <c r="C69" t="s">
        <v>68</v>
      </c>
      <c r="D69" t="s">
        <v>309</v>
      </c>
      <c r="E69" t="s">
        <v>257</v>
      </c>
      <c r="F69">
        <v>3144</v>
      </c>
      <c r="G69">
        <v>752214</v>
      </c>
      <c r="H69">
        <v>723145</v>
      </c>
      <c r="I69">
        <v>656667</v>
      </c>
      <c r="J69">
        <v>1081608</v>
      </c>
      <c r="K69">
        <v>695646</v>
      </c>
      <c r="L69">
        <v>778736</v>
      </c>
    </row>
    <row r="70" spans="1:12" x14ac:dyDescent="0.35">
      <c r="A70">
        <v>2025</v>
      </c>
      <c r="B70">
        <v>5</v>
      </c>
      <c r="C70" t="s">
        <v>68</v>
      </c>
      <c r="D70" t="s">
        <v>309</v>
      </c>
      <c r="E70" t="s">
        <v>259</v>
      </c>
      <c r="F70">
        <v>1534</v>
      </c>
      <c r="G70">
        <v>896082</v>
      </c>
      <c r="H70">
        <v>876865</v>
      </c>
      <c r="I70">
        <v>805721</v>
      </c>
      <c r="J70">
        <v>1161732</v>
      </c>
      <c r="K70">
        <v>848675</v>
      </c>
      <c r="L70">
        <v>921582</v>
      </c>
    </row>
    <row r="71" spans="1:12" x14ac:dyDescent="0.35">
      <c r="A71">
        <v>2025</v>
      </c>
      <c r="B71">
        <v>5</v>
      </c>
      <c r="C71" t="s">
        <v>68</v>
      </c>
      <c r="D71" t="s">
        <v>309</v>
      </c>
      <c r="E71" t="s">
        <v>261</v>
      </c>
      <c r="F71">
        <v>985</v>
      </c>
      <c r="G71">
        <v>1175628</v>
      </c>
      <c r="H71">
        <v>1166128</v>
      </c>
      <c r="I71">
        <v>1092201</v>
      </c>
      <c r="J71">
        <v>1380169</v>
      </c>
      <c r="K71">
        <v>1143628</v>
      </c>
      <c r="L71">
        <v>1193111</v>
      </c>
    </row>
    <row r="72" spans="1:12" x14ac:dyDescent="0.35">
      <c r="A72">
        <v>2025</v>
      </c>
      <c r="B72">
        <v>5</v>
      </c>
      <c r="C72" t="s">
        <v>68</v>
      </c>
      <c r="D72" t="s">
        <v>309</v>
      </c>
      <c r="E72" t="s">
        <v>263</v>
      </c>
      <c r="F72">
        <v>331</v>
      </c>
      <c r="G72">
        <v>1352698</v>
      </c>
      <c r="H72">
        <v>1355218</v>
      </c>
      <c r="I72">
        <v>1257865</v>
      </c>
      <c r="J72">
        <v>1457068</v>
      </c>
      <c r="K72">
        <v>1317028</v>
      </c>
      <c r="L72">
        <v>1379332</v>
      </c>
    </row>
    <row r="73" spans="1:12" x14ac:dyDescent="0.35">
      <c r="A73">
        <v>2025</v>
      </c>
      <c r="B73">
        <v>6</v>
      </c>
      <c r="C73" t="s">
        <v>69</v>
      </c>
      <c r="D73" t="s">
        <v>309</v>
      </c>
      <c r="E73" t="s">
        <v>257</v>
      </c>
      <c r="F73">
        <v>3304</v>
      </c>
      <c r="G73">
        <v>748379</v>
      </c>
      <c r="H73">
        <v>718145</v>
      </c>
      <c r="I73">
        <v>656667</v>
      </c>
      <c r="J73">
        <v>1081608</v>
      </c>
      <c r="K73">
        <v>695645</v>
      </c>
      <c r="L73">
        <v>771236</v>
      </c>
    </row>
    <row r="74" spans="1:12" x14ac:dyDescent="0.35">
      <c r="A74">
        <v>2025</v>
      </c>
      <c r="B74">
        <v>6</v>
      </c>
      <c r="C74" t="s">
        <v>69</v>
      </c>
      <c r="D74" t="s">
        <v>309</v>
      </c>
      <c r="E74" t="s">
        <v>259</v>
      </c>
      <c r="F74">
        <v>1531</v>
      </c>
      <c r="G74">
        <v>890304</v>
      </c>
      <c r="H74">
        <v>876175</v>
      </c>
      <c r="I74">
        <v>805721</v>
      </c>
      <c r="J74">
        <v>1144330</v>
      </c>
      <c r="K74">
        <v>848675</v>
      </c>
      <c r="L74">
        <v>911865</v>
      </c>
    </row>
    <row r="75" spans="1:12" x14ac:dyDescent="0.35">
      <c r="A75">
        <v>2025</v>
      </c>
      <c r="B75">
        <v>6</v>
      </c>
      <c r="C75" t="s">
        <v>69</v>
      </c>
      <c r="D75" t="s">
        <v>309</v>
      </c>
      <c r="E75" t="s">
        <v>261</v>
      </c>
      <c r="F75">
        <v>988</v>
      </c>
      <c r="G75">
        <v>1172449</v>
      </c>
      <c r="H75">
        <v>1166128</v>
      </c>
      <c r="I75">
        <v>1092201</v>
      </c>
      <c r="J75">
        <v>1387035</v>
      </c>
      <c r="K75">
        <v>1141965</v>
      </c>
      <c r="L75">
        <v>1190611</v>
      </c>
    </row>
    <row r="76" spans="1:12" x14ac:dyDescent="0.35">
      <c r="A76">
        <v>2025</v>
      </c>
      <c r="B76">
        <v>6</v>
      </c>
      <c r="C76" t="s">
        <v>69</v>
      </c>
      <c r="D76" t="s">
        <v>309</v>
      </c>
      <c r="E76" t="s">
        <v>263</v>
      </c>
      <c r="F76">
        <v>331</v>
      </c>
      <c r="G76">
        <v>1350854</v>
      </c>
      <c r="H76">
        <v>1352718</v>
      </c>
      <c r="I76">
        <v>1257865</v>
      </c>
      <c r="J76">
        <v>1451081</v>
      </c>
      <c r="K76">
        <v>1317028</v>
      </c>
      <c r="L76">
        <v>1379332</v>
      </c>
    </row>
    <row r="77" spans="1:12" x14ac:dyDescent="0.35">
      <c r="A77">
        <v>2025</v>
      </c>
      <c r="B77">
        <v>7</v>
      </c>
      <c r="C77" t="s">
        <v>70</v>
      </c>
      <c r="D77" t="s">
        <v>309</v>
      </c>
      <c r="E77" t="s">
        <v>257</v>
      </c>
      <c r="F77">
        <v>3315</v>
      </c>
      <c r="G77">
        <v>748374</v>
      </c>
      <c r="H77">
        <v>715646</v>
      </c>
      <c r="I77">
        <v>656667</v>
      </c>
      <c r="J77">
        <v>1081608</v>
      </c>
      <c r="K77">
        <v>694169</v>
      </c>
      <c r="L77">
        <v>778736</v>
      </c>
    </row>
    <row r="78" spans="1:12" x14ac:dyDescent="0.35">
      <c r="A78">
        <v>2025</v>
      </c>
      <c r="B78">
        <v>7</v>
      </c>
      <c r="C78" t="s">
        <v>70</v>
      </c>
      <c r="D78" t="s">
        <v>309</v>
      </c>
      <c r="E78" t="s">
        <v>259</v>
      </c>
      <c r="F78">
        <v>1541</v>
      </c>
      <c r="G78">
        <v>887379</v>
      </c>
      <c r="H78">
        <v>871175</v>
      </c>
      <c r="I78">
        <v>805721</v>
      </c>
      <c r="J78">
        <v>1144330</v>
      </c>
      <c r="K78">
        <v>848355</v>
      </c>
      <c r="L78">
        <v>906865</v>
      </c>
    </row>
    <row r="79" spans="1:12" x14ac:dyDescent="0.35">
      <c r="A79">
        <v>2025</v>
      </c>
      <c r="B79">
        <v>7</v>
      </c>
      <c r="C79" t="s">
        <v>70</v>
      </c>
      <c r="D79" t="s">
        <v>309</v>
      </c>
      <c r="E79" t="s">
        <v>261</v>
      </c>
      <c r="F79">
        <v>1011</v>
      </c>
      <c r="G79">
        <v>1168600</v>
      </c>
      <c r="H79">
        <v>1161128</v>
      </c>
      <c r="I79">
        <v>1092201</v>
      </c>
      <c r="J79">
        <v>1380169</v>
      </c>
      <c r="K79">
        <v>1136965</v>
      </c>
      <c r="L79">
        <v>1188949</v>
      </c>
    </row>
    <row r="80" spans="1:12" x14ac:dyDescent="0.35">
      <c r="A80">
        <v>2025</v>
      </c>
      <c r="B80">
        <v>7</v>
      </c>
      <c r="C80" t="s">
        <v>70</v>
      </c>
      <c r="D80" t="s">
        <v>309</v>
      </c>
      <c r="E80" t="s">
        <v>263</v>
      </c>
      <c r="F80">
        <v>340</v>
      </c>
      <c r="G80">
        <v>1349152</v>
      </c>
      <c r="H80">
        <v>1350724</v>
      </c>
      <c r="I80">
        <v>1257865</v>
      </c>
      <c r="J80">
        <v>1451081</v>
      </c>
      <c r="K80">
        <v>1310218</v>
      </c>
      <c r="L80">
        <v>1379332</v>
      </c>
    </row>
    <row r="81" spans="1:12" x14ac:dyDescent="0.35">
      <c r="A81">
        <v>2025</v>
      </c>
      <c r="B81">
        <v>8</v>
      </c>
      <c r="C81" t="s">
        <v>71</v>
      </c>
      <c r="D81" t="s">
        <v>309</v>
      </c>
      <c r="E81" t="s">
        <v>257</v>
      </c>
      <c r="F81">
        <v>3272</v>
      </c>
      <c r="G81">
        <v>746549</v>
      </c>
      <c r="H81">
        <v>715645</v>
      </c>
      <c r="I81">
        <v>656667</v>
      </c>
      <c r="J81">
        <v>1083146</v>
      </c>
      <c r="K81">
        <v>689169</v>
      </c>
      <c r="L81">
        <v>771236</v>
      </c>
    </row>
    <row r="82" spans="1:12" x14ac:dyDescent="0.35">
      <c r="A82">
        <v>2025</v>
      </c>
      <c r="B82">
        <v>8</v>
      </c>
      <c r="C82" t="s">
        <v>71</v>
      </c>
      <c r="D82" t="s">
        <v>309</v>
      </c>
      <c r="E82" t="s">
        <v>259</v>
      </c>
      <c r="F82">
        <v>1592</v>
      </c>
      <c r="G82">
        <v>881932</v>
      </c>
      <c r="H82">
        <v>868675</v>
      </c>
      <c r="I82">
        <v>805719</v>
      </c>
      <c r="J82">
        <v>1144330</v>
      </c>
      <c r="K82">
        <v>840721</v>
      </c>
      <c r="L82">
        <v>904365</v>
      </c>
    </row>
    <row r="83" spans="1:12" x14ac:dyDescent="0.35">
      <c r="A83">
        <v>2025</v>
      </c>
      <c r="B83">
        <v>8</v>
      </c>
      <c r="C83" t="s">
        <v>71</v>
      </c>
      <c r="D83" t="s">
        <v>309</v>
      </c>
      <c r="E83" t="s">
        <v>261</v>
      </c>
      <c r="F83">
        <v>1067</v>
      </c>
      <c r="G83">
        <v>1165460</v>
      </c>
      <c r="H83">
        <v>1158628</v>
      </c>
      <c r="I83">
        <v>1092201</v>
      </c>
      <c r="J83">
        <v>1380169</v>
      </c>
      <c r="K83">
        <v>1134465</v>
      </c>
      <c r="L83">
        <v>1188949</v>
      </c>
    </row>
    <row r="84" spans="1:12" x14ac:dyDescent="0.35">
      <c r="A84">
        <v>2025</v>
      </c>
      <c r="B84">
        <v>8</v>
      </c>
      <c r="C84" t="s">
        <v>71</v>
      </c>
      <c r="D84" t="s">
        <v>309</v>
      </c>
      <c r="E84" t="s">
        <v>263</v>
      </c>
      <c r="F84">
        <v>354</v>
      </c>
      <c r="G84">
        <v>1345622</v>
      </c>
      <c r="H84">
        <v>1347718</v>
      </c>
      <c r="I84">
        <v>1255417</v>
      </c>
      <c r="J84">
        <v>1451081</v>
      </c>
      <c r="K84">
        <v>1309528</v>
      </c>
      <c r="L84">
        <v>1378224</v>
      </c>
    </row>
    <row r="85" spans="1:12" x14ac:dyDescent="0.35">
      <c r="A85">
        <v>2025</v>
      </c>
      <c r="B85">
        <v>9</v>
      </c>
      <c r="C85" t="s">
        <v>72</v>
      </c>
      <c r="D85" t="s">
        <v>309</v>
      </c>
      <c r="E85" t="s">
        <v>257</v>
      </c>
      <c r="F85">
        <v>3339</v>
      </c>
      <c r="G85">
        <v>744192</v>
      </c>
      <c r="H85">
        <v>710645</v>
      </c>
      <c r="I85">
        <v>656667</v>
      </c>
      <c r="J85">
        <v>1098725</v>
      </c>
      <c r="K85">
        <v>689169</v>
      </c>
      <c r="L85">
        <v>766236</v>
      </c>
    </row>
    <row r="86" spans="1:12" x14ac:dyDescent="0.35">
      <c r="A86">
        <v>2025</v>
      </c>
      <c r="B86">
        <v>9</v>
      </c>
      <c r="C86" t="s">
        <v>72</v>
      </c>
      <c r="D86" t="s">
        <v>309</v>
      </c>
      <c r="E86" t="s">
        <v>259</v>
      </c>
      <c r="F86">
        <v>1626</v>
      </c>
      <c r="G86">
        <v>881006</v>
      </c>
      <c r="H86">
        <v>863675</v>
      </c>
      <c r="I86">
        <v>805719</v>
      </c>
      <c r="J86">
        <v>1144330</v>
      </c>
      <c r="K86">
        <v>838355</v>
      </c>
      <c r="L86">
        <v>904365</v>
      </c>
    </row>
    <row r="87" spans="1:12" x14ac:dyDescent="0.35">
      <c r="A87">
        <v>2025</v>
      </c>
      <c r="B87">
        <v>9</v>
      </c>
      <c r="C87" t="s">
        <v>72</v>
      </c>
      <c r="D87" t="s">
        <v>309</v>
      </c>
      <c r="E87" t="s">
        <v>261</v>
      </c>
      <c r="F87">
        <v>1076</v>
      </c>
      <c r="G87">
        <v>1163095</v>
      </c>
      <c r="H87">
        <v>1153630</v>
      </c>
      <c r="I87">
        <v>1092201</v>
      </c>
      <c r="J87">
        <v>1380169</v>
      </c>
      <c r="K87">
        <v>1134465</v>
      </c>
      <c r="L87">
        <v>1183949</v>
      </c>
    </row>
    <row r="88" spans="1:12" x14ac:dyDescent="0.35">
      <c r="A88">
        <v>2025</v>
      </c>
      <c r="B88">
        <v>9</v>
      </c>
      <c r="C88" t="s">
        <v>72</v>
      </c>
      <c r="D88" t="s">
        <v>309</v>
      </c>
      <c r="E88" t="s">
        <v>263</v>
      </c>
      <c r="F88">
        <v>368</v>
      </c>
      <c r="G88">
        <v>1341552</v>
      </c>
      <c r="H88">
        <v>1345218</v>
      </c>
      <c r="I88">
        <v>1247916</v>
      </c>
      <c r="J88">
        <v>1451081</v>
      </c>
      <c r="K88">
        <v>1302028</v>
      </c>
      <c r="L88">
        <v>1371832</v>
      </c>
    </row>
    <row r="89" spans="1:12" x14ac:dyDescent="0.35">
      <c r="A89">
        <v>2025</v>
      </c>
      <c r="B89">
        <v>10</v>
      </c>
      <c r="C89" t="s">
        <v>73</v>
      </c>
      <c r="D89" t="s">
        <v>309</v>
      </c>
      <c r="E89" t="s">
        <v>257</v>
      </c>
      <c r="F89">
        <v>3351</v>
      </c>
      <c r="G89">
        <v>745056</v>
      </c>
      <c r="H89">
        <v>710645</v>
      </c>
      <c r="I89">
        <v>656667</v>
      </c>
      <c r="J89">
        <v>1075645</v>
      </c>
      <c r="K89">
        <v>689169</v>
      </c>
      <c r="L89">
        <v>766236</v>
      </c>
    </row>
    <row r="90" spans="1:12" x14ac:dyDescent="0.35">
      <c r="A90">
        <v>2025</v>
      </c>
      <c r="B90">
        <v>10</v>
      </c>
      <c r="C90" t="s">
        <v>73</v>
      </c>
      <c r="D90" t="s">
        <v>309</v>
      </c>
      <c r="E90" t="s">
        <v>259</v>
      </c>
      <c r="F90">
        <v>1578</v>
      </c>
      <c r="G90">
        <v>895854</v>
      </c>
      <c r="H90">
        <v>876175</v>
      </c>
      <c r="I90">
        <v>805719</v>
      </c>
      <c r="J90">
        <v>1144330</v>
      </c>
      <c r="K90">
        <v>848355</v>
      </c>
      <c r="L90">
        <v>921582</v>
      </c>
    </row>
    <row r="91" spans="1:12" x14ac:dyDescent="0.35">
      <c r="A91">
        <v>2025</v>
      </c>
      <c r="B91">
        <v>10</v>
      </c>
      <c r="C91" t="s">
        <v>73</v>
      </c>
      <c r="D91" t="s">
        <v>309</v>
      </c>
      <c r="E91" t="s">
        <v>261</v>
      </c>
      <c r="F91">
        <v>1081</v>
      </c>
      <c r="G91">
        <v>1169798</v>
      </c>
      <c r="H91">
        <v>1158628</v>
      </c>
      <c r="I91">
        <v>1092201</v>
      </c>
      <c r="J91">
        <v>1423599</v>
      </c>
      <c r="K91">
        <v>1136965</v>
      </c>
      <c r="L91">
        <v>1190611</v>
      </c>
    </row>
    <row r="92" spans="1:12" x14ac:dyDescent="0.35">
      <c r="A92">
        <v>2025</v>
      </c>
      <c r="B92">
        <v>10</v>
      </c>
      <c r="C92" t="s">
        <v>73</v>
      </c>
      <c r="D92" t="s">
        <v>309</v>
      </c>
      <c r="E92" t="s">
        <v>263</v>
      </c>
      <c r="F92">
        <v>368</v>
      </c>
      <c r="G92">
        <v>1350101</v>
      </c>
      <c r="H92">
        <v>1350724</v>
      </c>
      <c r="I92">
        <v>1257865</v>
      </c>
      <c r="J92">
        <v>1459353</v>
      </c>
      <c r="K92">
        <v>1309528</v>
      </c>
      <c r="L92">
        <v>1381832</v>
      </c>
    </row>
    <row r="93" spans="1:12" x14ac:dyDescent="0.35">
      <c r="A93">
        <v>2025</v>
      </c>
      <c r="B93">
        <v>11</v>
      </c>
      <c r="C93" t="s">
        <v>74</v>
      </c>
      <c r="D93" t="s">
        <v>309</v>
      </c>
      <c r="E93" t="s">
        <v>257</v>
      </c>
      <c r="F93">
        <v>3289</v>
      </c>
      <c r="G93">
        <v>748045</v>
      </c>
      <c r="H93">
        <v>715645</v>
      </c>
      <c r="I93">
        <v>656667</v>
      </c>
      <c r="J93">
        <v>1074108</v>
      </c>
      <c r="K93">
        <v>696669</v>
      </c>
      <c r="L93">
        <v>766947</v>
      </c>
    </row>
    <row r="94" spans="1:12" x14ac:dyDescent="0.35">
      <c r="A94">
        <v>2025</v>
      </c>
      <c r="B94">
        <v>11</v>
      </c>
      <c r="C94" t="s">
        <v>74</v>
      </c>
      <c r="D94" t="s">
        <v>309</v>
      </c>
      <c r="E94" t="s">
        <v>259</v>
      </c>
      <c r="F94">
        <v>1622</v>
      </c>
      <c r="G94">
        <v>880745</v>
      </c>
      <c r="H94">
        <v>863515</v>
      </c>
      <c r="I94">
        <v>805719</v>
      </c>
      <c r="J94">
        <v>1144330</v>
      </c>
      <c r="K94">
        <v>840721</v>
      </c>
      <c r="L94">
        <v>899365</v>
      </c>
    </row>
    <row r="95" spans="1:12" x14ac:dyDescent="0.35">
      <c r="A95">
        <v>2025</v>
      </c>
      <c r="B95">
        <v>11</v>
      </c>
      <c r="C95" t="s">
        <v>74</v>
      </c>
      <c r="D95" t="s">
        <v>309</v>
      </c>
      <c r="E95" t="s">
        <v>261</v>
      </c>
      <c r="F95">
        <v>1089</v>
      </c>
      <c r="G95">
        <v>1165122</v>
      </c>
      <c r="H95">
        <v>1153628</v>
      </c>
      <c r="I95">
        <v>1084701</v>
      </c>
      <c r="J95">
        <v>1412920</v>
      </c>
      <c r="K95">
        <v>1134465</v>
      </c>
      <c r="L95">
        <v>1183949</v>
      </c>
    </row>
    <row r="96" spans="1:12" x14ac:dyDescent="0.35">
      <c r="A96">
        <v>2025</v>
      </c>
      <c r="B96">
        <v>11</v>
      </c>
      <c r="C96" t="s">
        <v>74</v>
      </c>
      <c r="D96" t="s">
        <v>309</v>
      </c>
      <c r="E96" t="s">
        <v>263</v>
      </c>
      <c r="F96">
        <v>391</v>
      </c>
      <c r="G96">
        <v>1342545</v>
      </c>
      <c r="H96">
        <v>1340218</v>
      </c>
      <c r="I96">
        <v>1257865</v>
      </c>
      <c r="J96">
        <v>1474303</v>
      </c>
      <c r="K96">
        <v>1302028</v>
      </c>
      <c r="L96">
        <v>1371832</v>
      </c>
    </row>
    <row r="97" spans="1:12" x14ac:dyDescent="0.35">
      <c r="A97">
        <v>2025</v>
      </c>
      <c r="B97">
        <v>12</v>
      </c>
      <c r="C97" t="s">
        <v>75</v>
      </c>
      <c r="D97" t="s">
        <v>309</v>
      </c>
      <c r="E97" t="s">
        <v>257</v>
      </c>
      <c r="F97">
        <v>3285</v>
      </c>
      <c r="G97">
        <v>749147</v>
      </c>
      <c r="H97">
        <v>715645</v>
      </c>
      <c r="I97">
        <v>656667</v>
      </c>
      <c r="J97">
        <v>1074108</v>
      </c>
      <c r="K97">
        <v>698145</v>
      </c>
      <c r="L97">
        <v>770190</v>
      </c>
    </row>
    <row r="98" spans="1:12" x14ac:dyDescent="0.35">
      <c r="A98">
        <v>2025</v>
      </c>
      <c r="B98">
        <v>12</v>
      </c>
      <c r="C98" t="s">
        <v>75</v>
      </c>
      <c r="D98" t="s">
        <v>309</v>
      </c>
      <c r="E98" t="s">
        <v>259</v>
      </c>
      <c r="F98">
        <v>1649</v>
      </c>
      <c r="G98">
        <v>879585</v>
      </c>
      <c r="H98">
        <v>863355</v>
      </c>
      <c r="I98">
        <v>805719</v>
      </c>
      <c r="J98">
        <v>1144330</v>
      </c>
      <c r="K98">
        <v>838355</v>
      </c>
      <c r="L98">
        <v>896865</v>
      </c>
    </row>
    <row r="99" spans="1:12" x14ac:dyDescent="0.35">
      <c r="A99">
        <v>2025</v>
      </c>
      <c r="B99">
        <v>12</v>
      </c>
      <c r="C99" t="s">
        <v>75</v>
      </c>
      <c r="D99" t="s">
        <v>309</v>
      </c>
      <c r="E99" t="s">
        <v>261</v>
      </c>
      <c r="F99">
        <v>1098</v>
      </c>
      <c r="G99">
        <v>1160974</v>
      </c>
      <c r="H99">
        <v>1151965</v>
      </c>
      <c r="I99">
        <v>1084701</v>
      </c>
      <c r="J99">
        <v>1380169</v>
      </c>
      <c r="K99">
        <v>1134465</v>
      </c>
      <c r="L99">
        <v>1181449</v>
      </c>
    </row>
    <row r="100" spans="1:12" x14ac:dyDescent="0.35">
      <c r="A100">
        <v>2025</v>
      </c>
      <c r="B100">
        <v>12</v>
      </c>
      <c r="C100" t="s">
        <v>75</v>
      </c>
      <c r="D100" t="s">
        <v>309</v>
      </c>
      <c r="E100" t="s">
        <v>263</v>
      </c>
      <c r="F100">
        <v>392</v>
      </c>
      <c r="G100">
        <v>1339148</v>
      </c>
      <c r="H100">
        <v>1337718</v>
      </c>
      <c r="I100">
        <v>1257865</v>
      </c>
      <c r="J100">
        <v>1451081</v>
      </c>
      <c r="K100">
        <v>1297028</v>
      </c>
      <c r="L100">
        <v>1371832</v>
      </c>
    </row>
  </sheetData>
  <mergeCells count="1">
    <mergeCell ref="A1:L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76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311</v>
      </c>
      <c r="E5" t="s">
        <v>255</v>
      </c>
      <c r="F5">
        <v>301</v>
      </c>
      <c r="G5">
        <v>493095</v>
      </c>
      <c r="H5">
        <v>478414</v>
      </c>
      <c r="I5">
        <v>366898</v>
      </c>
      <c r="J5">
        <v>722630</v>
      </c>
      <c r="K5">
        <v>432911</v>
      </c>
      <c r="L5">
        <v>544424</v>
      </c>
    </row>
    <row r="6" spans="1:12" x14ac:dyDescent="0.35">
      <c r="A6">
        <v>2024</v>
      </c>
      <c r="B6">
        <v>1</v>
      </c>
      <c r="C6" t="s">
        <v>42</v>
      </c>
      <c r="D6" t="s">
        <v>311</v>
      </c>
      <c r="E6" t="s">
        <v>257</v>
      </c>
      <c r="F6">
        <v>116</v>
      </c>
      <c r="G6">
        <v>633125</v>
      </c>
      <c r="H6">
        <v>650146</v>
      </c>
      <c r="I6">
        <v>411061</v>
      </c>
      <c r="J6">
        <v>812667</v>
      </c>
      <c r="K6">
        <v>534980</v>
      </c>
      <c r="L6">
        <v>737630</v>
      </c>
    </row>
    <row r="7" spans="1:12" x14ac:dyDescent="0.35">
      <c r="A7">
        <v>2024</v>
      </c>
      <c r="B7">
        <v>1</v>
      </c>
      <c r="C7" t="s">
        <v>42</v>
      </c>
      <c r="D7" t="s">
        <v>311</v>
      </c>
      <c r="E7" t="s">
        <v>267</v>
      </c>
      <c r="F7">
        <v>630</v>
      </c>
      <c r="G7">
        <v>377939</v>
      </c>
      <c r="H7">
        <v>364634</v>
      </c>
      <c r="I7">
        <v>309915</v>
      </c>
      <c r="J7">
        <v>547431</v>
      </c>
      <c r="K7">
        <v>347134</v>
      </c>
      <c r="L7">
        <v>394351</v>
      </c>
    </row>
    <row r="8" spans="1:12" x14ac:dyDescent="0.35">
      <c r="A8">
        <v>2024</v>
      </c>
      <c r="B8">
        <v>2</v>
      </c>
      <c r="C8" t="s">
        <v>63</v>
      </c>
      <c r="D8" t="s">
        <v>311</v>
      </c>
      <c r="E8" t="s">
        <v>255</v>
      </c>
      <c r="F8">
        <v>332</v>
      </c>
      <c r="G8">
        <v>483815</v>
      </c>
      <c r="H8">
        <v>473414</v>
      </c>
      <c r="I8">
        <v>366898</v>
      </c>
      <c r="J8">
        <v>722630</v>
      </c>
      <c r="K8">
        <v>417909</v>
      </c>
      <c r="L8">
        <v>539931</v>
      </c>
    </row>
    <row r="9" spans="1:12" x14ac:dyDescent="0.35">
      <c r="A9">
        <v>2024</v>
      </c>
      <c r="B9">
        <v>2</v>
      </c>
      <c r="C9" t="s">
        <v>63</v>
      </c>
      <c r="D9" t="s">
        <v>311</v>
      </c>
      <c r="E9" t="s">
        <v>257</v>
      </c>
      <c r="F9">
        <v>130</v>
      </c>
      <c r="G9">
        <v>624266</v>
      </c>
      <c r="H9">
        <v>646538</v>
      </c>
      <c r="I9">
        <v>411061</v>
      </c>
      <c r="J9">
        <v>812667</v>
      </c>
      <c r="K9">
        <v>519105</v>
      </c>
      <c r="L9">
        <v>737628</v>
      </c>
    </row>
    <row r="10" spans="1:12" x14ac:dyDescent="0.35">
      <c r="A10">
        <v>2024</v>
      </c>
      <c r="B10">
        <v>2</v>
      </c>
      <c r="C10" t="s">
        <v>63</v>
      </c>
      <c r="D10" t="s">
        <v>311</v>
      </c>
      <c r="E10" t="s">
        <v>267</v>
      </c>
      <c r="F10">
        <v>631</v>
      </c>
      <c r="G10">
        <v>378614</v>
      </c>
      <c r="H10">
        <v>370741</v>
      </c>
      <c r="I10">
        <v>309915</v>
      </c>
      <c r="J10">
        <v>547431</v>
      </c>
      <c r="K10">
        <v>349634</v>
      </c>
      <c r="L10">
        <v>396800</v>
      </c>
    </row>
    <row r="11" spans="1:12" x14ac:dyDescent="0.35">
      <c r="A11">
        <v>2024</v>
      </c>
      <c r="B11">
        <v>3</v>
      </c>
      <c r="C11" t="s">
        <v>66</v>
      </c>
      <c r="D11" t="s">
        <v>311</v>
      </c>
      <c r="E11" t="s">
        <v>255</v>
      </c>
      <c r="F11">
        <v>307</v>
      </c>
      <c r="G11">
        <v>497937</v>
      </c>
      <c r="H11">
        <v>480915</v>
      </c>
      <c r="I11">
        <v>366898</v>
      </c>
      <c r="J11">
        <v>722630</v>
      </c>
      <c r="K11">
        <v>427909</v>
      </c>
      <c r="L11">
        <v>560435</v>
      </c>
    </row>
    <row r="12" spans="1:12" x14ac:dyDescent="0.35">
      <c r="A12">
        <v>2024</v>
      </c>
      <c r="B12">
        <v>3</v>
      </c>
      <c r="C12" t="s">
        <v>66</v>
      </c>
      <c r="D12" t="s">
        <v>311</v>
      </c>
      <c r="E12" t="s">
        <v>257</v>
      </c>
      <c r="F12">
        <v>130</v>
      </c>
      <c r="G12">
        <v>628890</v>
      </c>
      <c r="H12">
        <v>647787</v>
      </c>
      <c r="I12">
        <v>411061</v>
      </c>
      <c r="J12">
        <v>812667</v>
      </c>
      <c r="K12">
        <v>527479</v>
      </c>
      <c r="L12">
        <v>737628</v>
      </c>
    </row>
    <row r="13" spans="1:12" x14ac:dyDescent="0.35">
      <c r="A13">
        <v>2024</v>
      </c>
      <c r="B13">
        <v>3</v>
      </c>
      <c r="C13" t="s">
        <v>66</v>
      </c>
      <c r="D13" t="s">
        <v>311</v>
      </c>
      <c r="E13" t="s">
        <v>267</v>
      </c>
      <c r="F13">
        <v>603</v>
      </c>
      <c r="G13">
        <v>386236</v>
      </c>
      <c r="H13">
        <v>373241</v>
      </c>
      <c r="I13">
        <v>309915</v>
      </c>
      <c r="J13">
        <v>547431</v>
      </c>
      <c r="K13">
        <v>354634</v>
      </c>
      <c r="L13">
        <v>400741</v>
      </c>
    </row>
    <row r="14" spans="1:12" x14ac:dyDescent="0.35">
      <c r="A14">
        <v>2024</v>
      </c>
      <c r="B14">
        <v>4</v>
      </c>
      <c r="C14" t="s">
        <v>67</v>
      </c>
      <c r="D14" t="s">
        <v>311</v>
      </c>
      <c r="E14" t="s">
        <v>255</v>
      </c>
      <c r="F14">
        <v>324</v>
      </c>
      <c r="G14">
        <v>484958</v>
      </c>
      <c r="H14">
        <v>470915</v>
      </c>
      <c r="I14">
        <v>366898</v>
      </c>
      <c r="J14">
        <v>703145</v>
      </c>
      <c r="K14">
        <v>417909</v>
      </c>
      <c r="L14">
        <v>545435</v>
      </c>
    </row>
    <row r="15" spans="1:12" x14ac:dyDescent="0.35">
      <c r="A15">
        <v>2024</v>
      </c>
      <c r="B15">
        <v>4</v>
      </c>
      <c r="C15" t="s">
        <v>67</v>
      </c>
      <c r="D15" t="s">
        <v>311</v>
      </c>
      <c r="E15" t="s">
        <v>257</v>
      </c>
      <c r="F15">
        <v>133</v>
      </c>
      <c r="G15">
        <v>627046</v>
      </c>
      <c r="H15">
        <v>646679</v>
      </c>
      <c r="I15">
        <v>411061</v>
      </c>
      <c r="J15">
        <v>812667</v>
      </c>
      <c r="K15">
        <v>519105</v>
      </c>
      <c r="L15">
        <v>737630</v>
      </c>
    </row>
    <row r="16" spans="1:12" x14ac:dyDescent="0.35">
      <c r="A16">
        <v>2024</v>
      </c>
      <c r="B16">
        <v>4</v>
      </c>
      <c r="C16" t="s">
        <v>67</v>
      </c>
      <c r="D16" t="s">
        <v>311</v>
      </c>
      <c r="E16" t="s">
        <v>267</v>
      </c>
      <c r="F16">
        <v>634</v>
      </c>
      <c r="G16">
        <v>380416</v>
      </c>
      <c r="H16">
        <v>370741</v>
      </c>
      <c r="I16">
        <v>309915</v>
      </c>
      <c r="J16">
        <v>547431</v>
      </c>
      <c r="K16">
        <v>349634</v>
      </c>
      <c r="L16">
        <v>396801</v>
      </c>
    </row>
    <row r="17" spans="1:12" x14ac:dyDescent="0.35">
      <c r="A17">
        <v>2024</v>
      </c>
      <c r="B17">
        <v>5</v>
      </c>
      <c r="C17" t="s">
        <v>68</v>
      </c>
      <c r="D17" t="s">
        <v>311</v>
      </c>
      <c r="E17" t="s">
        <v>255</v>
      </c>
      <c r="F17">
        <v>325</v>
      </c>
      <c r="G17">
        <v>480570</v>
      </c>
      <c r="H17">
        <v>470914</v>
      </c>
      <c r="I17">
        <v>366898</v>
      </c>
      <c r="J17">
        <v>703145</v>
      </c>
      <c r="K17">
        <v>414905</v>
      </c>
      <c r="L17">
        <v>536924</v>
      </c>
    </row>
    <row r="18" spans="1:12" x14ac:dyDescent="0.35">
      <c r="A18">
        <v>2024</v>
      </c>
      <c r="B18">
        <v>5</v>
      </c>
      <c r="C18" t="s">
        <v>68</v>
      </c>
      <c r="D18" t="s">
        <v>311</v>
      </c>
      <c r="E18" t="s">
        <v>257</v>
      </c>
      <c r="F18">
        <v>137</v>
      </c>
      <c r="G18">
        <v>625161</v>
      </c>
      <c r="H18">
        <v>646679</v>
      </c>
      <c r="I18">
        <v>411061</v>
      </c>
      <c r="J18">
        <v>812667</v>
      </c>
      <c r="K18">
        <v>513549</v>
      </c>
      <c r="L18">
        <v>737628</v>
      </c>
    </row>
    <row r="19" spans="1:12" x14ac:dyDescent="0.35">
      <c r="A19">
        <v>2024</v>
      </c>
      <c r="B19">
        <v>5</v>
      </c>
      <c r="C19" t="s">
        <v>68</v>
      </c>
      <c r="D19" t="s">
        <v>311</v>
      </c>
      <c r="E19" t="s">
        <v>267</v>
      </c>
      <c r="F19">
        <v>631</v>
      </c>
      <c r="G19">
        <v>379143</v>
      </c>
      <c r="H19">
        <v>370741</v>
      </c>
      <c r="I19">
        <v>309915</v>
      </c>
      <c r="J19">
        <v>547431</v>
      </c>
      <c r="K19">
        <v>349634</v>
      </c>
      <c r="L19">
        <v>396801</v>
      </c>
    </row>
    <row r="20" spans="1:12" x14ac:dyDescent="0.35">
      <c r="A20">
        <v>2024</v>
      </c>
      <c r="B20">
        <v>6</v>
      </c>
      <c r="C20" t="s">
        <v>69</v>
      </c>
      <c r="D20" t="s">
        <v>311</v>
      </c>
      <c r="E20" t="s">
        <v>255</v>
      </c>
      <c r="F20">
        <v>325</v>
      </c>
      <c r="G20">
        <v>480639</v>
      </c>
      <c r="H20">
        <v>470914</v>
      </c>
      <c r="I20">
        <v>366898</v>
      </c>
      <c r="J20">
        <v>703145</v>
      </c>
      <c r="K20">
        <v>417404</v>
      </c>
      <c r="L20">
        <v>536924</v>
      </c>
    </row>
    <row r="21" spans="1:12" x14ac:dyDescent="0.35">
      <c r="A21">
        <v>2024</v>
      </c>
      <c r="B21">
        <v>6</v>
      </c>
      <c r="C21" t="s">
        <v>69</v>
      </c>
      <c r="D21" t="s">
        <v>311</v>
      </c>
      <c r="E21" t="s">
        <v>257</v>
      </c>
      <c r="F21">
        <v>138</v>
      </c>
      <c r="G21">
        <v>626556</v>
      </c>
      <c r="H21">
        <v>647787</v>
      </c>
      <c r="I21">
        <v>411061</v>
      </c>
      <c r="J21">
        <v>812667</v>
      </c>
      <c r="K21">
        <v>513549</v>
      </c>
      <c r="L21">
        <v>742628</v>
      </c>
    </row>
    <row r="22" spans="1:12" x14ac:dyDescent="0.35">
      <c r="A22">
        <v>2024</v>
      </c>
      <c r="B22">
        <v>6</v>
      </c>
      <c r="C22" t="s">
        <v>69</v>
      </c>
      <c r="D22" t="s">
        <v>311</v>
      </c>
      <c r="E22" t="s">
        <v>267</v>
      </c>
      <c r="F22">
        <v>630</v>
      </c>
      <c r="G22">
        <v>378890</v>
      </c>
      <c r="H22">
        <v>370741</v>
      </c>
      <c r="I22">
        <v>309915</v>
      </c>
      <c r="J22">
        <v>547431</v>
      </c>
      <c r="K22">
        <v>349634</v>
      </c>
      <c r="L22">
        <v>396800</v>
      </c>
    </row>
    <row r="23" spans="1:12" x14ac:dyDescent="0.35">
      <c r="A23">
        <v>2024</v>
      </c>
      <c r="B23">
        <v>7</v>
      </c>
      <c r="C23" t="s">
        <v>70</v>
      </c>
      <c r="D23" t="s">
        <v>311</v>
      </c>
      <c r="E23" t="s">
        <v>255</v>
      </c>
      <c r="F23">
        <v>325</v>
      </c>
      <c r="G23">
        <v>480725</v>
      </c>
      <c r="H23">
        <v>470914</v>
      </c>
      <c r="I23">
        <v>366898</v>
      </c>
      <c r="J23">
        <v>703145</v>
      </c>
      <c r="K23">
        <v>417404</v>
      </c>
      <c r="L23">
        <v>536924</v>
      </c>
    </row>
    <row r="24" spans="1:12" x14ac:dyDescent="0.35">
      <c r="A24">
        <v>2024</v>
      </c>
      <c r="B24">
        <v>7</v>
      </c>
      <c r="C24" t="s">
        <v>70</v>
      </c>
      <c r="D24" t="s">
        <v>311</v>
      </c>
      <c r="E24" t="s">
        <v>257</v>
      </c>
      <c r="F24">
        <v>138</v>
      </c>
      <c r="G24">
        <v>626501</v>
      </c>
      <c r="H24">
        <v>647787</v>
      </c>
      <c r="I24">
        <v>411061</v>
      </c>
      <c r="J24">
        <v>812667</v>
      </c>
      <c r="K24">
        <v>513549</v>
      </c>
      <c r="L24">
        <v>742628</v>
      </c>
    </row>
    <row r="25" spans="1:12" x14ac:dyDescent="0.35">
      <c r="A25">
        <v>2024</v>
      </c>
      <c r="B25">
        <v>7</v>
      </c>
      <c r="C25" t="s">
        <v>70</v>
      </c>
      <c r="D25" t="s">
        <v>311</v>
      </c>
      <c r="E25" t="s">
        <v>267</v>
      </c>
      <c r="F25">
        <v>629</v>
      </c>
      <c r="G25">
        <v>380782</v>
      </c>
      <c r="H25">
        <v>370741</v>
      </c>
      <c r="I25">
        <v>309915</v>
      </c>
      <c r="J25">
        <v>547431</v>
      </c>
      <c r="K25">
        <v>349634</v>
      </c>
      <c r="L25">
        <v>396850</v>
      </c>
    </row>
    <row r="26" spans="1:12" x14ac:dyDescent="0.35">
      <c r="A26">
        <v>2024</v>
      </c>
      <c r="B26">
        <v>8</v>
      </c>
      <c r="C26" t="s">
        <v>71</v>
      </c>
      <c r="D26" t="s">
        <v>311</v>
      </c>
      <c r="E26" t="s">
        <v>255</v>
      </c>
      <c r="F26">
        <v>325</v>
      </c>
      <c r="G26">
        <v>480633</v>
      </c>
      <c r="H26">
        <v>470914</v>
      </c>
      <c r="I26">
        <v>366898</v>
      </c>
      <c r="J26">
        <v>703145</v>
      </c>
      <c r="K26">
        <v>417404</v>
      </c>
      <c r="L26">
        <v>536924</v>
      </c>
    </row>
    <row r="27" spans="1:12" x14ac:dyDescent="0.35">
      <c r="A27">
        <v>2024</v>
      </c>
      <c r="B27">
        <v>8</v>
      </c>
      <c r="C27" t="s">
        <v>71</v>
      </c>
      <c r="D27" t="s">
        <v>311</v>
      </c>
      <c r="E27" t="s">
        <v>257</v>
      </c>
      <c r="F27">
        <v>138</v>
      </c>
      <c r="G27">
        <v>635159</v>
      </c>
      <c r="H27">
        <v>652645</v>
      </c>
      <c r="I27">
        <v>411061</v>
      </c>
      <c r="J27">
        <v>812667</v>
      </c>
      <c r="K27">
        <v>529978</v>
      </c>
      <c r="L27">
        <v>747915</v>
      </c>
    </row>
    <row r="28" spans="1:12" x14ac:dyDescent="0.35">
      <c r="A28">
        <v>2024</v>
      </c>
      <c r="B28">
        <v>8</v>
      </c>
      <c r="C28" t="s">
        <v>71</v>
      </c>
      <c r="D28" t="s">
        <v>311</v>
      </c>
      <c r="E28" t="s">
        <v>267</v>
      </c>
      <c r="F28">
        <v>626</v>
      </c>
      <c r="G28">
        <v>380251</v>
      </c>
      <c r="H28">
        <v>370742</v>
      </c>
      <c r="I28">
        <v>309915</v>
      </c>
      <c r="J28">
        <v>549828</v>
      </c>
      <c r="K28">
        <v>349634</v>
      </c>
      <c r="L28">
        <v>396850</v>
      </c>
    </row>
    <row r="29" spans="1:12" x14ac:dyDescent="0.35">
      <c r="A29">
        <v>2024</v>
      </c>
      <c r="B29">
        <v>9</v>
      </c>
      <c r="C29" t="s">
        <v>72</v>
      </c>
      <c r="D29" t="s">
        <v>311</v>
      </c>
      <c r="E29" t="s">
        <v>255</v>
      </c>
      <c r="F29">
        <v>325</v>
      </c>
      <c r="G29">
        <v>480633</v>
      </c>
      <c r="H29">
        <v>470914</v>
      </c>
      <c r="I29">
        <v>366898</v>
      </c>
      <c r="J29">
        <v>703145</v>
      </c>
      <c r="K29">
        <v>417404</v>
      </c>
      <c r="L29">
        <v>536924</v>
      </c>
    </row>
    <row r="30" spans="1:12" x14ac:dyDescent="0.35">
      <c r="A30">
        <v>2024</v>
      </c>
      <c r="B30">
        <v>9</v>
      </c>
      <c r="C30" t="s">
        <v>72</v>
      </c>
      <c r="D30" t="s">
        <v>311</v>
      </c>
      <c r="E30" t="s">
        <v>257</v>
      </c>
      <c r="F30">
        <v>138</v>
      </c>
      <c r="G30">
        <v>628258</v>
      </c>
      <c r="H30">
        <v>647787</v>
      </c>
      <c r="I30">
        <v>411061</v>
      </c>
      <c r="J30">
        <v>812667</v>
      </c>
      <c r="K30">
        <v>513549</v>
      </c>
      <c r="L30">
        <v>742628</v>
      </c>
    </row>
    <row r="31" spans="1:12" x14ac:dyDescent="0.35">
      <c r="A31">
        <v>2024</v>
      </c>
      <c r="B31">
        <v>9</v>
      </c>
      <c r="C31" t="s">
        <v>72</v>
      </c>
      <c r="D31" t="s">
        <v>311</v>
      </c>
      <c r="E31" t="s">
        <v>267</v>
      </c>
      <c r="F31">
        <v>626</v>
      </c>
      <c r="G31">
        <v>380438</v>
      </c>
      <c r="H31">
        <v>370742</v>
      </c>
      <c r="I31">
        <v>309915</v>
      </c>
      <c r="J31">
        <v>544930</v>
      </c>
      <c r="K31">
        <v>349634</v>
      </c>
      <c r="L31">
        <v>399300</v>
      </c>
    </row>
    <row r="32" spans="1:12" x14ac:dyDescent="0.35">
      <c r="A32">
        <v>2024</v>
      </c>
      <c r="B32">
        <v>10</v>
      </c>
      <c r="C32" t="s">
        <v>73</v>
      </c>
      <c r="D32" t="s">
        <v>311</v>
      </c>
      <c r="E32" t="s">
        <v>255</v>
      </c>
      <c r="F32">
        <v>323</v>
      </c>
      <c r="G32">
        <v>479017</v>
      </c>
      <c r="H32">
        <v>468921</v>
      </c>
      <c r="I32">
        <v>366898</v>
      </c>
      <c r="J32">
        <v>703145</v>
      </c>
      <c r="K32">
        <v>417404</v>
      </c>
      <c r="L32">
        <v>532431</v>
      </c>
    </row>
    <row r="33" spans="1:12" x14ac:dyDescent="0.35">
      <c r="A33">
        <v>2024</v>
      </c>
      <c r="B33">
        <v>10</v>
      </c>
      <c r="C33" t="s">
        <v>73</v>
      </c>
      <c r="D33" t="s">
        <v>311</v>
      </c>
      <c r="E33" t="s">
        <v>257</v>
      </c>
      <c r="F33">
        <v>145</v>
      </c>
      <c r="G33">
        <v>632697</v>
      </c>
      <c r="H33">
        <v>648897</v>
      </c>
      <c r="I33">
        <v>411061</v>
      </c>
      <c r="J33">
        <v>812667</v>
      </c>
      <c r="K33">
        <v>527479</v>
      </c>
      <c r="L33">
        <v>742628</v>
      </c>
    </row>
    <row r="34" spans="1:12" x14ac:dyDescent="0.35">
      <c r="A34">
        <v>2024</v>
      </c>
      <c r="B34">
        <v>10</v>
      </c>
      <c r="C34" t="s">
        <v>73</v>
      </c>
      <c r="D34" t="s">
        <v>311</v>
      </c>
      <c r="E34" t="s">
        <v>267</v>
      </c>
      <c r="F34">
        <v>625</v>
      </c>
      <c r="G34">
        <v>379744</v>
      </c>
      <c r="H34">
        <v>370741</v>
      </c>
      <c r="I34">
        <v>309915</v>
      </c>
      <c r="J34">
        <v>544930</v>
      </c>
      <c r="K34">
        <v>349634</v>
      </c>
      <c r="L34">
        <v>396801</v>
      </c>
    </row>
    <row r="35" spans="1:12" x14ac:dyDescent="0.35">
      <c r="A35">
        <v>2024</v>
      </c>
      <c r="B35">
        <v>11</v>
      </c>
      <c r="C35" t="s">
        <v>74</v>
      </c>
      <c r="D35" t="s">
        <v>311</v>
      </c>
      <c r="E35" t="s">
        <v>255</v>
      </c>
      <c r="F35">
        <v>328</v>
      </c>
      <c r="G35">
        <v>478653</v>
      </c>
      <c r="H35">
        <v>468921</v>
      </c>
      <c r="I35">
        <v>366898</v>
      </c>
      <c r="J35">
        <v>703145</v>
      </c>
      <c r="K35">
        <v>414905</v>
      </c>
      <c r="L35">
        <v>532431</v>
      </c>
    </row>
    <row r="36" spans="1:12" x14ac:dyDescent="0.35">
      <c r="A36">
        <v>2024</v>
      </c>
      <c r="B36">
        <v>11</v>
      </c>
      <c r="C36" t="s">
        <v>74</v>
      </c>
      <c r="D36" t="s">
        <v>311</v>
      </c>
      <c r="E36" t="s">
        <v>257</v>
      </c>
      <c r="F36">
        <v>145</v>
      </c>
      <c r="G36">
        <v>632780</v>
      </c>
      <c r="H36">
        <v>648897</v>
      </c>
      <c r="I36">
        <v>411061</v>
      </c>
      <c r="J36">
        <v>812667</v>
      </c>
      <c r="K36">
        <v>527479</v>
      </c>
      <c r="L36">
        <v>742628</v>
      </c>
    </row>
    <row r="37" spans="1:12" x14ac:dyDescent="0.35">
      <c r="A37">
        <v>2024</v>
      </c>
      <c r="B37">
        <v>11</v>
      </c>
      <c r="C37" t="s">
        <v>74</v>
      </c>
      <c r="D37" t="s">
        <v>311</v>
      </c>
      <c r="E37" t="s">
        <v>267</v>
      </c>
      <c r="F37">
        <v>618</v>
      </c>
      <c r="G37">
        <v>378690</v>
      </c>
      <c r="H37">
        <v>370741</v>
      </c>
      <c r="I37">
        <v>309915</v>
      </c>
      <c r="J37">
        <v>544930</v>
      </c>
      <c r="K37">
        <v>349634</v>
      </c>
      <c r="L37">
        <v>396800</v>
      </c>
    </row>
    <row r="38" spans="1:12" x14ac:dyDescent="0.35">
      <c r="A38">
        <v>2024</v>
      </c>
      <c r="B38">
        <v>12</v>
      </c>
      <c r="C38" t="s">
        <v>75</v>
      </c>
      <c r="D38" t="s">
        <v>311</v>
      </c>
      <c r="E38" t="s">
        <v>255</v>
      </c>
      <c r="F38">
        <v>338</v>
      </c>
      <c r="G38">
        <v>477436</v>
      </c>
      <c r="H38">
        <v>468920</v>
      </c>
      <c r="I38">
        <v>366898</v>
      </c>
      <c r="J38">
        <v>703145</v>
      </c>
      <c r="K38">
        <v>407405</v>
      </c>
      <c r="L38">
        <v>532431</v>
      </c>
    </row>
    <row r="39" spans="1:12" x14ac:dyDescent="0.35">
      <c r="A39">
        <v>2024</v>
      </c>
      <c r="B39">
        <v>12</v>
      </c>
      <c r="C39" t="s">
        <v>75</v>
      </c>
      <c r="D39" t="s">
        <v>311</v>
      </c>
      <c r="E39" t="s">
        <v>257</v>
      </c>
      <c r="F39">
        <v>150</v>
      </c>
      <c r="G39">
        <v>625406</v>
      </c>
      <c r="H39">
        <v>641396</v>
      </c>
      <c r="I39">
        <v>411061</v>
      </c>
      <c r="J39">
        <v>812667</v>
      </c>
      <c r="K39">
        <v>498550</v>
      </c>
      <c r="L39">
        <v>737628</v>
      </c>
    </row>
    <row r="40" spans="1:12" x14ac:dyDescent="0.35">
      <c r="A40">
        <v>2024</v>
      </c>
      <c r="B40">
        <v>12</v>
      </c>
      <c r="C40" t="s">
        <v>75</v>
      </c>
      <c r="D40" t="s">
        <v>311</v>
      </c>
      <c r="E40" t="s">
        <v>267</v>
      </c>
      <c r="F40">
        <v>642</v>
      </c>
      <c r="G40">
        <v>377551</v>
      </c>
      <c r="H40">
        <v>369492</v>
      </c>
      <c r="I40">
        <v>309915</v>
      </c>
      <c r="J40">
        <v>545436</v>
      </c>
      <c r="K40">
        <v>347134</v>
      </c>
      <c r="L40">
        <v>396801</v>
      </c>
    </row>
    <row r="41" spans="1:12" x14ac:dyDescent="0.35">
      <c r="A41">
        <v>2025</v>
      </c>
      <c r="B41">
        <v>1</v>
      </c>
      <c r="C41" t="s">
        <v>42</v>
      </c>
      <c r="D41" t="s">
        <v>311</v>
      </c>
      <c r="E41" t="s">
        <v>255</v>
      </c>
      <c r="F41">
        <v>341</v>
      </c>
      <c r="G41">
        <v>496412</v>
      </c>
      <c r="H41">
        <v>478919</v>
      </c>
      <c r="I41">
        <v>366900</v>
      </c>
      <c r="J41">
        <v>723965</v>
      </c>
      <c r="K41">
        <v>417911</v>
      </c>
      <c r="L41">
        <v>557429</v>
      </c>
    </row>
    <row r="42" spans="1:12" x14ac:dyDescent="0.35">
      <c r="A42">
        <v>2025</v>
      </c>
      <c r="B42">
        <v>1</v>
      </c>
      <c r="C42" t="s">
        <v>42</v>
      </c>
      <c r="D42" t="s">
        <v>311</v>
      </c>
      <c r="E42" t="s">
        <v>257</v>
      </c>
      <c r="F42">
        <v>146</v>
      </c>
      <c r="G42">
        <v>630293</v>
      </c>
      <c r="H42">
        <v>647646</v>
      </c>
      <c r="I42">
        <v>416061</v>
      </c>
      <c r="J42">
        <v>812667</v>
      </c>
      <c r="K42">
        <v>522480</v>
      </c>
      <c r="L42">
        <v>737628</v>
      </c>
    </row>
    <row r="43" spans="1:12" x14ac:dyDescent="0.35">
      <c r="A43">
        <v>2025</v>
      </c>
      <c r="B43">
        <v>1</v>
      </c>
      <c r="C43" t="s">
        <v>42</v>
      </c>
      <c r="D43" t="s">
        <v>311</v>
      </c>
      <c r="E43" t="s">
        <v>267</v>
      </c>
      <c r="F43">
        <v>646</v>
      </c>
      <c r="G43">
        <v>395075</v>
      </c>
      <c r="H43">
        <v>375741</v>
      </c>
      <c r="I43">
        <v>309915</v>
      </c>
      <c r="J43">
        <v>551001</v>
      </c>
      <c r="K43">
        <v>357132</v>
      </c>
      <c r="L43">
        <v>422909</v>
      </c>
    </row>
    <row r="44" spans="1:12" x14ac:dyDescent="0.35">
      <c r="A44">
        <v>2025</v>
      </c>
      <c r="B44">
        <v>2</v>
      </c>
      <c r="C44" t="s">
        <v>63</v>
      </c>
      <c r="D44" t="s">
        <v>311</v>
      </c>
      <c r="E44" t="s">
        <v>255</v>
      </c>
      <c r="F44">
        <v>344</v>
      </c>
      <c r="G44">
        <v>481254</v>
      </c>
      <c r="H44">
        <v>475169</v>
      </c>
      <c r="I44">
        <v>366898</v>
      </c>
      <c r="J44">
        <v>698145</v>
      </c>
      <c r="K44">
        <v>422404</v>
      </c>
      <c r="L44">
        <v>542431</v>
      </c>
    </row>
    <row r="45" spans="1:12" x14ac:dyDescent="0.35">
      <c r="A45">
        <v>2025</v>
      </c>
      <c r="B45">
        <v>2</v>
      </c>
      <c r="C45" t="s">
        <v>63</v>
      </c>
      <c r="D45" t="s">
        <v>311</v>
      </c>
      <c r="E45" t="s">
        <v>257</v>
      </c>
      <c r="F45">
        <v>160</v>
      </c>
      <c r="G45">
        <v>632608</v>
      </c>
      <c r="H45">
        <v>641070</v>
      </c>
      <c r="I45">
        <v>416061</v>
      </c>
      <c r="J45">
        <v>817666</v>
      </c>
      <c r="K45">
        <v>537479</v>
      </c>
      <c r="L45">
        <v>730130</v>
      </c>
    </row>
    <row r="46" spans="1:12" x14ac:dyDescent="0.35">
      <c r="A46">
        <v>2025</v>
      </c>
      <c r="B46">
        <v>2</v>
      </c>
      <c r="C46" t="s">
        <v>63</v>
      </c>
      <c r="D46" t="s">
        <v>311</v>
      </c>
      <c r="E46" t="s">
        <v>267</v>
      </c>
      <c r="F46">
        <v>656</v>
      </c>
      <c r="G46">
        <v>381856</v>
      </c>
      <c r="H46">
        <v>373241</v>
      </c>
      <c r="I46">
        <v>309915</v>
      </c>
      <c r="J46">
        <v>545436</v>
      </c>
      <c r="K46">
        <v>349634</v>
      </c>
      <c r="L46">
        <v>407404</v>
      </c>
    </row>
    <row r="47" spans="1:12" x14ac:dyDescent="0.35">
      <c r="A47">
        <v>2025</v>
      </c>
      <c r="B47">
        <v>3</v>
      </c>
      <c r="C47" t="s">
        <v>66</v>
      </c>
      <c r="D47" t="s">
        <v>311</v>
      </c>
      <c r="E47" t="s">
        <v>255</v>
      </c>
      <c r="F47">
        <v>344</v>
      </c>
      <c r="G47">
        <v>481290</v>
      </c>
      <c r="H47">
        <v>475169</v>
      </c>
      <c r="I47">
        <v>366898</v>
      </c>
      <c r="J47">
        <v>698145</v>
      </c>
      <c r="K47">
        <v>422404</v>
      </c>
      <c r="L47">
        <v>542431</v>
      </c>
    </row>
    <row r="48" spans="1:12" x14ac:dyDescent="0.35">
      <c r="A48">
        <v>2025</v>
      </c>
      <c r="B48">
        <v>3</v>
      </c>
      <c r="C48" t="s">
        <v>66</v>
      </c>
      <c r="D48" t="s">
        <v>311</v>
      </c>
      <c r="E48" t="s">
        <v>257</v>
      </c>
      <c r="F48">
        <v>160</v>
      </c>
      <c r="G48">
        <v>631505</v>
      </c>
      <c r="H48">
        <v>641070</v>
      </c>
      <c r="I48">
        <v>416061</v>
      </c>
      <c r="J48">
        <v>817666</v>
      </c>
      <c r="K48">
        <v>522480</v>
      </c>
      <c r="L48">
        <v>730130</v>
      </c>
    </row>
    <row r="49" spans="1:12" x14ac:dyDescent="0.35">
      <c r="A49">
        <v>2025</v>
      </c>
      <c r="B49">
        <v>3</v>
      </c>
      <c r="C49" t="s">
        <v>66</v>
      </c>
      <c r="D49" t="s">
        <v>311</v>
      </c>
      <c r="E49" t="s">
        <v>267</v>
      </c>
      <c r="F49">
        <v>654</v>
      </c>
      <c r="G49">
        <v>382035</v>
      </c>
      <c r="H49">
        <v>373241</v>
      </c>
      <c r="I49">
        <v>309915</v>
      </c>
      <c r="J49">
        <v>545436</v>
      </c>
      <c r="K49">
        <v>349634</v>
      </c>
      <c r="L49">
        <v>407404</v>
      </c>
    </row>
    <row r="50" spans="1:12" x14ac:dyDescent="0.35">
      <c r="A50">
        <v>2025</v>
      </c>
      <c r="B50">
        <v>4</v>
      </c>
      <c r="C50" t="s">
        <v>67</v>
      </c>
      <c r="D50" t="s">
        <v>311</v>
      </c>
      <c r="E50" t="s">
        <v>255</v>
      </c>
      <c r="F50">
        <v>344</v>
      </c>
      <c r="G50">
        <v>481254</v>
      </c>
      <c r="H50">
        <v>475169</v>
      </c>
      <c r="I50">
        <v>366898</v>
      </c>
      <c r="J50">
        <v>698145</v>
      </c>
      <c r="K50">
        <v>422404</v>
      </c>
      <c r="L50">
        <v>542431</v>
      </c>
    </row>
    <row r="51" spans="1:12" x14ac:dyDescent="0.35">
      <c r="A51">
        <v>2025</v>
      </c>
      <c r="B51">
        <v>4</v>
      </c>
      <c r="C51" t="s">
        <v>67</v>
      </c>
      <c r="D51" t="s">
        <v>311</v>
      </c>
      <c r="E51" t="s">
        <v>257</v>
      </c>
      <c r="F51">
        <v>160</v>
      </c>
      <c r="G51">
        <v>632608</v>
      </c>
      <c r="H51">
        <v>641070</v>
      </c>
      <c r="I51">
        <v>416061</v>
      </c>
      <c r="J51">
        <v>817666</v>
      </c>
      <c r="K51">
        <v>537479</v>
      </c>
      <c r="L51">
        <v>730130</v>
      </c>
    </row>
    <row r="52" spans="1:12" x14ac:dyDescent="0.35">
      <c r="A52">
        <v>2025</v>
      </c>
      <c r="B52">
        <v>4</v>
      </c>
      <c r="C52" t="s">
        <v>67</v>
      </c>
      <c r="D52" t="s">
        <v>311</v>
      </c>
      <c r="E52" t="s">
        <v>267</v>
      </c>
      <c r="F52">
        <v>656</v>
      </c>
      <c r="G52">
        <v>381856</v>
      </c>
      <c r="H52">
        <v>373241</v>
      </c>
      <c r="I52">
        <v>309915</v>
      </c>
      <c r="J52">
        <v>545436</v>
      </c>
      <c r="K52">
        <v>349634</v>
      </c>
      <c r="L52">
        <v>407404</v>
      </c>
    </row>
    <row r="53" spans="1:12" x14ac:dyDescent="0.35">
      <c r="A53">
        <v>2025</v>
      </c>
      <c r="B53">
        <v>5</v>
      </c>
      <c r="C53" t="s">
        <v>68</v>
      </c>
      <c r="D53" t="s">
        <v>311</v>
      </c>
      <c r="E53" t="s">
        <v>255</v>
      </c>
      <c r="F53">
        <v>343</v>
      </c>
      <c r="G53">
        <v>482112</v>
      </c>
      <c r="H53">
        <v>476419</v>
      </c>
      <c r="I53">
        <v>366898</v>
      </c>
      <c r="J53">
        <v>698145</v>
      </c>
      <c r="K53">
        <v>422404</v>
      </c>
      <c r="L53">
        <v>544424</v>
      </c>
    </row>
    <row r="54" spans="1:12" x14ac:dyDescent="0.35">
      <c r="A54">
        <v>2025</v>
      </c>
      <c r="B54">
        <v>5</v>
      </c>
      <c r="C54" t="s">
        <v>68</v>
      </c>
      <c r="D54" t="s">
        <v>311</v>
      </c>
      <c r="E54" t="s">
        <v>257</v>
      </c>
      <c r="F54">
        <v>161</v>
      </c>
      <c r="G54">
        <v>632682</v>
      </c>
      <c r="H54">
        <v>643897</v>
      </c>
      <c r="I54">
        <v>406061</v>
      </c>
      <c r="J54">
        <v>817666</v>
      </c>
      <c r="K54">
        <v>522480</v>
      </c>
      <c r="L54">
        <v>733280</v>
      </c>
    </row>
    <row r="55" spans="1:12" x14ac:dyDescent="0.35">
      <c r="A55">
        <v>2025</v>
      </c>
      <c r="B55">
        <v>5</v>
      </c>
      <c r="C55" t="s">
        <v>68</v>
      </c>
      <c r="D55" t="s">
        <v>311</v>
      </c>
      <c r="E55" t="s">
        <v>267</v>
      </c>
      <c r="F55">
        <v>653</v>
      </c>
      <c r="G55">
        <v>382887</v>
      </c>
      <c r="H55">
        <v>373241</v>
      </c>
      <c r="I55">
        <v>309915</v>
      </c>
      <c r="J55">
        <v>545436</v>
      </c>
      <c r="K55">
        <v>349634</v>
      </c>
      <c r="L55">
        <v>407404</v>
      </c>
    </row>
    <row r="56" spans="1:12" x14ac:dyDescent="0.35">
      <c r="A56">
        <v>2025</v>
      </c>
      <c r="B56">
        <v>6</v>
      </c>
      <c r="C56" t="s">
        <v>69</v>
      </c>
      <c r="D56" t="s">
        <v>311</v>
      </c>
      <c r="E56" t="s">
        <v>255</v>
      </c>
      <c r="F56">
        <v>342</v>
      </c>
      <c r="G56">
        <v>498485</v>
      </c>
      <c r="H56">
        <v>491419</v>
      </c>
      <c r="I56">
        <v>366898</v>
      </c>
      <c r="J56">
        <v>704559</v>
      </c>
      <c r="K56">
        <v>422909</v>
      </c>
      <c r="L56">
        <v>557935</v>
      </c>
    </row>
    <row r="57" spans="1:12" x14ac:dyDescent="0.35">
      <c r="A57">
        <v>2025</v>
      </c>
      <c r="B57">
        <v>6</v>
      </c>
      <c r="C57" t="s">
        <v>69</v>
      </c>
      <c r="D57" t="s">
        <v>311</v>
      </c>
      <c r="E57" t="s">
        <v>257</v>
      </c>
      <c r="F57">
        <v>159</v>
      </c>
      <c r="G57">
        <v>636418</v>
      </c>
      <c r="H57">
        <v>648895</v>
      </c>
      <c r="I57">
        <v>406061</v>
      </c>
      <c r="J57">
        <v>849332</v>
      </c>
      <c r="K57">
        <v>522480</v>
      </c>
      <c r="L57">
        <v>747629</v>
      </c>
    </row>
    <row r="58" spans="1:12" x14ac:dyDescent="0.35">
      <c r="A58">
        <v>2025</v>
      </c>
      <c r="B58">
        <v>6</v>
      </c>
      <c r="C58" t="s">
        <v>69</v>
      </c>
      <c r="D58" t="s">
        <v>311</v>
      </c>
      <c r="E58" t="s">
        <v>267</v>
      </c>
      <c r="F58">
        <v>653</v>
      </c>
      <c r="G58">
        <v>388892</v>
      </c>
      <c r="H58">
        <v>376849</v>
      </c>
      <c r="I58">
        <v>309915</v>
      </c>
      <c r="J58">
        <v>546556</v>
      </c>
      <c r="K58">
        <v>353241</v>
      </c>
      <c r="L58">
        <v>421800</v>
      </c>
    </row>
    <row r="59" spans="1:12" x14ac:dyDescent="0.35">
      <c r="A59">
        <v>2025</v>
      </c>
      <c r="B59">
        <v>7</v>
      </c>
      <c r="C59" t="s">
        <v>70</v>
      </c>
      <c r="D59" t="s">
        <v>311</v>
      </c>
      <c r="E59" t="s">
        <v>255</v>
      </c>
      <c r="F59">
        <v>357</v>
      </c>
      <c r="G59">
        <v>489380</v>
      </c>
      <c r="H59">
        <v>483919</v>
      </c>
      <c r="I59">
        <v>366898</v>
      </c>
      <c r="J59">
        <v>716531</v>
      </c>
      <c r="K59">
        <v>422404</v>
      </c>
      <c r="L59">
        <v>549930</v>
      </c>
    </row>
    <row r="60" spans="1:12" x14ac:dyDescent="0.35">
      <c r="A60">
        <v>2025</v>
      </c>
      <c r="B60">
        <v>7</v>
      </c>
      <c r="C60" t="s">
        <v>70</v>
      </c>
      <c r="D60" t="s">
        <v>311</v>
      </c>
      <c r="E60" t="s">
        <v>257</v>
      </c>
      <c r="F60">
        <v>167</v>
      </c>
      <c r="G60">
        <v>637232</v>
      </c>
      <c r="H60">
        <v>660744</v>
      </c>
      <c r="I60">
        <v>406061</v>
      </c>
      <c r="J60">
        <v>851336</v>
      </c>
      <c r="K60">
        <v>524105</v>
      </c>
      <c r="L60">
        <v>750130</v>
      </c>
    </row>
    <row r="61" spans="1:12" x14ac:dyDescent="0.35">
      <c r="A61">
        <v>2025</v>
      </c>
      <c r="B61">
        <v>7</v>
      </c>
      <c r="C61" t="s">
        <v>70</v>
      </c>
      <c r="D61" t="s">
        <v>311</v>
      </c>
      <c r="E61" t="s">
        <v>267</v>
      </c>
      <c r="F61">
        <v>587</v>
      </c>
      <c r="G61">
        <v>380283</v>
      </c>
      <c r="H61">
        <v>373241</v>
      </c>
      <c r="I61">
        <v>309915</v>
      </c>
      <c r="J61">
        <v>545436</v>
      </c>
      <c r="K61">
        <v>349634</v>
      </c>
      <c r="L61">
        <v>400742</v>
      </c>
    </row>
    <row r="62" spans="1:12" x14ac:dyDescent="0.35">
      <c r="A62">
        <v>2025</v>
      </c>
      <c r="B62">
        <v>8</v>
      </c>
      <c r="C62" t="s">
        <v>71</v>
      </c>
      <c r="D62" t="s">
        <v>311</v>
      </c>
      <c r="E62" t="s">
        <v>255</v>
      </c>
      <c r="F62">
        <v>365</v>
      </c>
      <c r="G62">
        <v>475011</v>
      </c>
      <c r="H62">
        <v>463415</v>
      </c>
      <c r="I62">
        <v>366898</v>
      </c>
      <c r="J62">
        <v>698145</v>
      </c>
      <c r="K62">
        <v>407404</v>
      </c>
      <c r="L62">
        <v>531924</v>
      </c>
    </row>
    <row r="63" spans="1:12" x14ac:dyDescent="0.35">
      <c r="A63">
        <v>2025</v>
      </c>
      <c r="B63">
        <v>8</v>
      </c>
      <c r="C63" t="s">
        <v>71</v>
      </c>
      <c r="D63" t="s">
        <v>311</v>
      </c>
      <c r="E63" t="s">
        <v>257</v>
      </c>
      <c r="F63">
        <v>178</v>
      </c>
      <c r="G63">
        <v>617101</v>
      </c>
      <c r="H63">
        <v>635288</v>
      </c>
      <c r="I63">
        <v>406061</v>
      </c>
      <c r="J63">
        <v>817666</v>
      </c>
      <c r="K63">
        <v>498549</v>
      </c>
      <c r="L63">
        <v>738280</v>
      </c>
    </row>
    <row r="64" spans="1:12" x14ac:dyDescent="0.35">
      <c r="A64">
        <v>2025</v>
      </c>
      <c r="B64">
        <v>8</v>
      </c>
      <c r="C64" t="s">
        <v>71</v>
      </c>
      <c r="D64" t="s">
        <v>311</v>
      </c>
      <c r="E64" t="s">
        <v>267</v>
      </c>
      <c r="F64">
        <v>611</v>
      </c>
      <c r="G64">
        <v>377957</v>
      </c>
      <c r="H64">
        <v>370741</v>
      </c>
      <c r="I64">
        <v>309915</v>
      </c>
      <c r="J64">
        <v>548738</v>
      </c>
      <c r="K64">
        <v>344915</v>
      </c>
      <c r="L64">
        <v>399351</v>
      </c>
    </row>
    <row r="65" spans="1:12" x14ac:dyDescent="0.35">
      <c r="A65">
        <v>2025</v>
      </c>
      <c r="B65">
        <v>9</v>
      </c>
      <c r="C65" t="s">
        <v>72</v>
      </c>
      <c r="D65" t="s">
        <v>311</v>
      </c>
      <c r="E65" t="s">
        <v>255</v>
      </c>
      <c r="F65">
        <v>392</v>
      </c>
      <c r="G65">
        <v>470385</v>
      </c>
      <c r="H65">
        <v>450914</v>
      </c>
      <c r="I65">
        <v>366898</v>
      </c>
      <c r="J65">
        <v>698145</v>
      </c>
      <c r="K65">
        <v>407404</v>
      </c>
      <c r="L65">
        <v>524929</v>
      </c>
    </row>
    <row r="66" spans="1:12" x14ac:dyDescent="0.35">
      <c r="A66">
        <v>2025</v>
      </c>
      <c r="B66">
        <v>9</v>
      </c>
      <c r="C66" t="s">
        <v>72</v>
      </c>
      <c r="D66" t="s">
        <v>311</v>
      </c>
      <c r="E66" t="s">
        <v>257</v>
      </c>
      <c r="F66">
        <v>179</v>
      </c>
      <c r="G66">
        <v>615571</v>
      </c>
      <c r="H66">
        <v>633895</v>
      </c>
      <c r="I66">
        <v>406061</v>
      </c>
      <c r="J66">
        <v>817666</v>
      </c>
      <c r="K66">
        <v>498550</v>
      </c>
      <c r="L66">
        <v>727630</v>
      </c>
    </row>
    <row r="67" spans="1:12" x14ac:dyDescent="0.35">
      <c r="A67">
        <v>2025</v>
      </c>
      <c r="B67">
        <v>9</v>
      </c>
      <c r="C67" t="s">
        <v>72</v>
      </c>
      <c r="D67" t="s">
        <v>311</v>
      </c>
      <c r="E67" t="s">
        <v>267</v>
      </c>
      <c r="F67">
        <v>584</v>
      </c>
      <c r="G67">
        <v>375334</v>
      </c>
      <c r="H67">
        <v>368384</v>
      </c>
      <c r="I67">
        <v>309915</v>
      </c>
      <c r="J67">
        <v>537430</v>
      </c>
      <c r="K67">
        <v>342134</v>
      </c>
      <c r="L67">
        <v>394350</v>
      </c>
    </row>
    <row r="68" spans="1:12" x14ac:dyDescent="0.35">
      <c r="A68">
        <v>2025</v>
      </c>
      <c r="B68">
        <v>10</v>
      </c>
      <c r="C68" t="s">
        <v>73</v>
      </c>
      <c r="D68" t="s">
        <v>311</v>
      </c>
      <c r="E68" t="s">
        <v>255</v>
      </c>
      <c r="F68">
        <v>391</v>
      </c>
      <c r="G68">
        <v>470876</v>
      </c>
      <c r="H68">
        <v>450914</v>
      </c>
      <c r="I68">
        <v>366899</v>
      </c>
      <c r="J68">
        <v>698145</v>
      </c>
      <c r="K68">
        <v>407404</v>
      </c>
      <c r="L68">
        <v>524930</v>
      </c>
    </row>
    <row r="69" spans="1:12" x14ac:dyDescent="0.35">
      <c r="A69">
        <v>2025</v>
      </c>
      <c r="B69">
        <v>10</v>
      </c>
      <c r="C69" t="s">
        <v>73</v>
      </c>
      <c r="D69" t="s">
        <v>311</v>
      </c>
      <c r="E69" t="s">
        <v>257</v>
      </c>
      <c r="F69">
        <v>178</v>
      </c>
      <c r="G69">
        <v>615066</v>
      </c>
      <c r="H69">
        <v>631538</v>
      </c>
      <c r="I69">
        <v>406061</v>
      </c>
      <c r="J69">
        <v>817666</v>
      </c>
      <c r="K69">
        <v>498549</v>
      </c>
      <c r="L69">
        <v>727630</v>
      </c>
    </row>
    <row r="70" spans="1:12" x14ac:dyDescent="0.35">
      <c r="A70">
        <v>2025</v>
      </c>
      <c r="B70">
        <v>10</v>
      </c>
      <c r="C70" t="s">
        <v>73</v>
      </c>
      <c r="D70" t="s">
        <v>311</v>
      </c>
      <c r="E70" t="s">
        <v>267</v>
      </c>
      <c r="F70">
        <v>585</v>
      </c>
      <c r="G70">
        <v>375541</v>
      </c>
      <c r="H70">
        <v>369634</v>
      </c>
      <c r="I70">
        <v>309915</v>
      </c>
      <c r="J70">
        <v>537430</v>
      </c>
      <c r="K70">
        <v>342134</v>
      </c>
      <c r="L70">
        <v>394351</v>
      </c>
    </row>
    <row r="71" spans="1:12" x14ac:dyDescent="0.35">
      <c r="A71">
        <v>2025</v>
      </c>
      <c r="B71">
        <v>11</v>
      </c>
      <c r="C71" t="s">
        <v>74</v>
      </c>
      <c r="D71" t="s">
        <v>311</v>
      </c>
      <c r="E71" t="s">
        <v>255</v>
      </c>
      <c r="F71">
        <v>391</v>
      </c>
      <c r="G71">
        <v>470889</v>
      </c>
      <c r="H71">
        <v>450914</v>
      </c>
      <c r="I71">
        <v>366899</v>
      </c>
      <c r="J71">
        <v>698145</v>
      </c>
      <c r="K71">
        <v>407404</v>
      </c>
      <c r="L71">
        <v>524930</v>
      </c>
    </row>
    <row r="72" spans="1:12" x14ac:dyDescent="0.35">
      <c r="A72">
        <v>2025</v>
      </c>
      <c r="B72">
        <v>11</v>
      </c>
      <c r="C72" t="s">
        <v>74</v>
      </c>
      <c r="D72" t="s">
        <v>311</v>
      </c>
      <c r="E72" t="s">
        <v>257</v>
      </c>
      <c r="F72">
        <v>178</v>
      </c>
      <c r="G72">
        <v>615193</v>
      </c>
      <c r="H72">
        <v>631538</v>
      </c>
      <c r="I72">
        <v>411062</v>
      </c>
      <c r="J72">
        <v>817666</v>
      </c>
      <c r="K72">
        <v>498549</v>
      </c>
      <c r="L72">
        <v>727630</v>
      </c>
    </row>
    <row r="73" spans="1:12" x14ac:dyDescent="0.35">
      <c r="A73">
        <v>2025</v>
      </c>
      <c r="B73">
        <v>11</v>
      </c>
      <c r="C73" t="s">
        <v>74</v>
      </c>
      <c r="D73" t="s">
        <v>311</v>
      </c>
      <c r="E73" t="s">
        <v>267</v>
      </c>
      <c r="F73">
        <v>585</v>
      </c>
      <c r="G73">
        <v>375678</v>
      </c>
      <c r="H73">
        <v>369634</v>
      </c>
      <c r="I73">
        <v>309915</v>
      </c>
      <c r="J73">
        <v>537430</v>
      </c>
      <c r="K73">
        <v>342134</v>
      </c>
      <c r="L73">
        <v>394351</v>
      </c>
    </row>
    <row r="74" spans="1:12" x14ac:dyDescent="0.35">
      <c r="A74">
        <v>2025</v>
      </c>
      <c r="B74">
        <v>12</v>
      </c>
      <c r="C74" t="s">
        <v>75</v>
      </c>
      <c r="D74" t="s">
        <v>311</v>
      </c>
      <c r="E74" t="s">
        <v>255</v>
      </c>
      <c r="F74">
        <v>391</v>
      </c>
      <c r="G74">
        <v>470979</v>
      </c>
      <c r="H74">
        <v>453414</v>
      </c>
      <c r="I74">
        <v>366899</v>
      </c>
      <c r="J74">
        <v>698145</v>
      </c>
      <c r="K74">
        <v>407404</v>
      </c>
      <c r="L74">
        <v>524930</v>
      </c>
    </row>
    <row r="75" spans="1:12" x14ac:dyDescent="0.35">
      <c r="A75">
        <v>2025</v>
      </c>
      <c r="B75">
        <v>12</v>
      </c>
      <c r="C75" t="s">
        <v>75</v>
      </c>
      <c r="D75" t="s">
        <v>311</v>
      </c>
      <c r="E75" t="s">
        <v>257</v>
      </c>
      <c r="F75">
        <v>178</v>
      </c>
      <c r="G75">
        <v>615227</v>
      </c>
      <c r="H75">
        <v>631538</v>
      </c>
      <c r="I75">
        <v>411062</v>
      </c>
      <c r="J75">
        <v>817666</v>
      </c>
      <c r="K75">
        <v>498549</v>
      </c>
      <c r="L75">
        <v>727630</v>
      </c>
    </row>
    <row r="76" spans="1:12" x14ac:dyDescent="0.35">
      <c r="A76">
        <v>2025</v>
      </c>
      <c r="B76">
        <v>12</v>
      </c>
      <c r="C76" t="s">
        <v>75</v>
      </c>
      <c r="D76" t="s">
        <v>311</v>
      </c>
      <c r="E76" t="s">
        <v>267</v>
      </c>
      <c r="F76">
        <v>585</v>
      </c>
      <c r="G76">
        <v>375712</v>
      </c>
      <c r="H76">
        <v>369634</v>
      </c>
      <c r="I76">
        <v>309915</v>
      </c>
      <c r="J76">
        <v>537430</v>
      </c>
      <c r="K76">
        <v>342134</v>
      </c>
      <c r="L76">
        <v>394351</v>
      </c>
    </row>
  </sheetData>
  <mergeCells count="1">
    <mergeCell ref="A1:L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196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313</v>
      </c>
      <c r="E5" t="s">
        <v>255</v>
      </c>
      <c r="F5">
        <v>568</v>
      </c>
      <c r="G5">
        <v>358167</v>
      </c>
      <c r="H5">
        <v>343573</v>
      </c>
      <c r="I5">
        <v>297836</v>
      </c>
      <c r="J5">
        <v>575804</v>
      </c>
      <c r="K5">
        <v>321073</v>
      </c>
      <c r="L5">
        <v>397822</v>
      </c>
    </row>
    <row r="6" spans="1:12" x14ac:dyDescent="0.35">
      <c r="A6">
        <v>2024</v>
      </c>
      <c r="B6">
        <v>1</v>
      </c>
      <c r="C6" t="s">
        <v>42</v>
      </c>
      <c r="D6" t="s">
        <v>313</v>
      </c>
      <c r="E6" t="s">
        <v>257</v>
      </c>
      <c r="F6">
        <v>831</v>
      </c>
      <c r="G6">
        <v>382803</v>
      </c>
      <c r="H6">
        <v>364866</v>
      </c>
      <c r="I6">
        <v>325286</v>
      </c>
      <c r="J6">
        <v>661853</v>
      </c>
      <c r="K6">
        <v>342368</v>
      </c>
      <c r="L6">
        <v>400322</v>
      </c>
    </row>
    <row r="7" spans="1:12" x14ac:dyDescent="0.35">
      <c r="A7">
        <v>2024</v>
      </c>
      <c r="B7">
        <v>1</v>
      </c>
      <c r="C7" t="s">
        <v>42</v>
      </c>
      <c r="D7" t="s">
        <v>313</v>
      </c>
      <c r="E7" t="s">
        <v>259</v>
      </c>
      <c r="F7">
        <v>175</v>
      </c>
      <c r="G7">
        <v>577146</v>
      </c>
      <c r="H7">
        <v>583538</v>
      </c>
      <c r="I7">
        <v>384768</v>
      </c>
      <c r="J7">
        <v>705140</v>
      </c>
      <c r="K7">
        <v>505680</v>
      </c>
      <c r="L7">
        <v>628944</v>
      </c>
    </row>
    <row r="8" spans="1:12" x14ac:dyDescent="0.35">
      <c r="A8">
        <v>2024</v>
      </c>
      <c r="B8">
        <v>1</v>
      </c>
      <c r="C8" t="s">
        <v>42</v>
      </c>
      <c r="D8" t="s">
        <v>313</v>
      </c>
      <c r="E8" t="s">
        <v>261</v>
      </c>
      <c r="F8">
        <v>19</v>
      </c>
      <c r="G8">
        <v>635767</v>
      </c>
      <c r="H8">
        <v>665879</v>
      </c>
      <c r="I8">
        <v>462626</v>
      </c>
      <c r="J8">
        <v>723379</v>
      </c>
      <c r="K8">
        <v>621581</v>
      </c>
      <c r="L8">
        <v>688379</v>
      </c>
    </row>
    <row r="9" spans="1:12" x14ac:dyDescent="0.35">
      <c r="A9">
        <v>2024</v>
      </c>
      <c r="B9">
        <v>1</v>
      </c>
      <c r="C9" t="s">
        <v>42</v>
      </c>
      <c r="D9" t="s">
        <v>313</v>
      </c>
      <c r="E9" t="s">
        <v>263</v>
      </c>
      <c r="F9">
        <v>6</v>
      </c>
      <c r="G9">
        <v>693615</v>
      </c>
      <c r="H9">
        <v>695411</v>
      </c>
      <c r="I9">
        <v>616213</v>
      </c>
      <c r="J9">
        <v>740916</v>
      </c>
      <c r="K9">
        <v>692590</v>
      </c>
      <c r="L9">
        <v>721149</v>
      </c>
    </row>
    <row r="10" spans="1:12" x14ac:dyDescent="0.35">
      <c r="A10">
        <v>2024</v>
      </c>
      <c r="B10">
        <v>1</v>
      </c>
      <c r="C10" t="s">
        <v>42</v>
      </c>
      <c r="D10" t="s">
        <v>313</v>
      </c>
      <c r="E10" t="s">
        <v>265</v>
      </c>
      <c r="F10">
        <v>15</v>
      </c>
      <c r="G10">
        <v>280361</v>
      </c>
      <c r="H10">
        <v>280297</v>
      </c>
      <c r="I10">
        <v>239743</v>
      </c>
      <c r="J10">
        <v>328339</v>
      </c>
      <c r="K10">
        <v>262797</v>
      </c>
      <c r="L10">
        <v>309780</v>
      </c>
    </row>
    <row r="11" spans="1:12" x14ac:dyDescent="0.35">
      <c r="A11">
        <v>2024</v>
      </c>
      <c r="B11">
        <v>1</v>
      </c>
      <c r="C11" t="s">
        <v>42</v>
      </c>
      <c r="D11" t="s">
        <v>313</v>
      </c>
      <c r="E11" t="s">
        <v>267</v>
      </c>
      <c r="F11">
        <v>1592</v>
      </c>
      <c r="G11">
        <v>299369</v>
      </c>
      <c r="H11">
        <v>290752</v>
      </c>
      <c r="I11">
        <v>260064</v>
      </c>
      <c r="J11">
        <v>458463</v>
      </c>
      <c r="K11">
        <v>275986</v>
      </c>
      <c r="L11">
        <v>305986</v>
      </c>
    </row>
    <row r="12" spans="1:12" x14ac:dyDescent="0.35">
      <c r="A12">
        <v>2024</v>
      </c>
      <c r="B12">
        <v>1</v>
      </c>
      <c r="C12" t="s">
        <v>42</v>
      </c>
      <c r="D12" t="s">
        <v>313</v>
      </c>
      <c r="E12" t="s">
        <v>271</v>
      </c>
      <c r="F12">
        <v>5</v>
      </c>
      <c r="G12">
        <v>260157</v>
      </c>
      <c r="H12">
        <v>261590</v>
      </c>
      <c r="I12">
        <v>250716</v>
      </c>
      <c r="J12">
        <v>266590</v>
      </c>
      <c r="K12">
        <v>255297</v>
      </c>
      <c r="L12">
        <v>266590</v>
      </c>
    </row>
    <row r="13" spans="1:12" x14ac:dyDescent="0.35">
      <c r="A13">
        <v>2024</v>
      </c>
      <c r="B13">
        <v>2</v>
      </c>
      <c r="C13" t="s">
        <v>63</v>
      </c>
      <c r="D13" t="s">
        <v>313</v>
      </c>
      <c r="E13" t="s">
        <v>255</v>
      </c>
      <c r="F13">
        <v>577</v>
      </c>
      <c r="G13">
        <v>367345</v>
      </c>
      <c r="H13">
        <v>348155</v>
      </c>
      <c r="I13">
        <v>297836</v>
      </c>
      <c r="J13">
        <v>579285</v>
      </c>
      <c r="K13">
        <v>325336</v>
      </c>
      <c r="L13">
        <v>405322</v>
      </c>
    </row>
    <row r="14" spans="1:12" x14ac:dyDescent="0.35">
      <c r="A14">
        <v>2024</v>
      </c>
      <c r="B14">
        <v>2</v>
      </c>
      <c r="C14" t="s">
        <v>63</v>
      </c>
      <c r="D14" t="s">
        <v>313</v>
      </c>
      <c r="E14" t="s">
        <v>257</v>
      </c>
      <c r="F14">
        <v>841</v>
      </c>
      <c r="G14">
        <v>387847</v>
      </c>
      <c r="H14">
        <v>364866</v>
      </c>
      <c r="I14">
        <v>325286</v>
      </c>
      <c r="J14">
        <v>667245</v>
      </c>
      <c r="K14">
        <v>342368</v>
      </c>
      <c r="L14">
        <v>400322</v>
      </c>
    </row>
    <row r="15" spans="1:12" x14ac:dyDescent="0.35">
      <c r="A15">
        <v>2024</v>
      </c>
      <c r="B15">
        <v>2</v>
      </c>
      <c r="C15" t="s">
        <v>63</v>
      </c>
      <c r="D15" t="s">
        <v>313</v>
      </c>
      <c r="E15" t="s">
        <v>259</v>
      </c>
      <c r="F15">
        <v>175</v>
      </c>
      <c r="G15">
        <v>583161</v>
      </c>
      <c r="H15">
        <v>583538</v>
      </c>
      <c r="I15">
        <v>384768</v>
      </c>
      <c r="J15">
        <v>716368</v>
      </c>
      <c r="K15">
        <v>513180</v>
      </c>
      <c r="L15">
        <v>636444</v>
      </c>
    </row>
    <row r="16" spans="1:12" x14ac:dyDescent="0.35">
      <c r="A16">
        <v>2024</v>
      </c>
      <c r="B16">
        <v>2</v>
      </c>
      <c r="C16" t="s">
        <v>63</v>
      </c>
      <c r="D16" t="s">
        <v>313</v>
      </c>
      <c r="E16" t="s">
        <v>261</v>
      </c>
      <c r="F16">
        <v>19</v>
      </c>
      <c r="G16">
        <v>636763</v>
      </c>
      <c r="H16">
        <v>665879</v>
      </c>
      <c r="I16">
        <v>482626</v>
      </c>
      <c r="J16">
        <v>715879</v>
      </c>
      <c r="K16">
        <v>621581</v>
      </c>
      <c r="L16">
        <v>688379</v>
      </c>
    </row>
    <row r="17" spans="1:12" x14ac:dyDescent="0.35">
      <c r="A17">
        <v>2024</v>
      </c>
      <c r="B17">
        <v>2</v>
      </c>
      <c r="C17" t="s">
        <v>63</v>
      </c>
      <c r="D17" t="s">
        <v>313</v>
      </c>
      <c r="E17" t="s">
        <v>263</v>
      </c>
      <c r="F17">
        <v>6</v>
      </c>
      <c r="G17">
        <v>705421</v>
      </c>
      <c r="H17">
        <v>716541</v>
      </c>
      <c r="I17">
        <v>644791</v>
      </c>
      <c r="J17">
        <v>740916</v>
      </c>
      <c r="K17">
        <v>692590</v>
      </c>
      <c r="L17">
        <v>721149</v>
      </c>
    </row>
    <row r="18" spans="1:12" x14ac:dyDescent="0.35">
      <c r="A18">
        <v>2024</v>
      </c>
      <c r="B18">
        <v>2</v>
      </c>
      <c r="C18" t="s">
        <v>63</v>
      </c>
      <c r="D18" t="s">
        <v>313</v>
      </c>
      <c r="E18" t="s">
        <v>265</v>
      </c>
      <c r="F18">
        <v>15</v>
      </c>
      <c r="G18">
        <v>282341</v>
      </c>
      <c r="H18">
        <v>280297</v>
      </c>
      <c r="I18">
        <v>239743</v>
      </c>
      <c r="J18">
        <v>328339</v>
      </c>
      <c r="K18">
        <v>262797</v>
      </c>
      <c r="L18">
        <v>309780</v>
      </c>
    </row>
    <row r="19" spans="1:12" x14ac:dyDescent="0.35">
      <c r="A19">
        <v>2024</v>
      </c>
      <c r="B19">
        <v>2</v>
      </c>
      <c r="C19" t="s">
        <v>63</v>
      </c>
      <c r="D19" t="s">
        <v>313</v>
      </c>
      <c r="E19" t="s">
        <v>267</v>
      </c>
      <c r="F19">
        <v>1601</v>
      </c>
      <c r="G19">
        <v>300206</v>
      </c>
      <c r="H19">
        <v>290752</v>
      </c>
      <c r="I19">
        <v>260064</v>
      </c>
      <c r="J19">
        <v>467480</v>
      </c>
      <c r="K19">
        <v>275986</v>
      </c>
      <c r="L19">
        <v>310519</v>
      </c>
    </row>
    <row r="20" spans="1:12" x14ac:dyDescent="0.35">
      <c r="A20">
        <v>2024</v>
      </c>
      <c r="B20">
        <v>2</v>
      </c>
      <c r="C20" t="s">
        <v>63</v>
      </c>
      <c r="D20" t="s">
        <v>313</v>
      </c>
      <c r="E20" t="s">
        <v>271</v>
      </c>
      <c r="F20">
        <v>5</v>
      </c>
      <c r="G20">
        <v>260157</v>
      </c>
      <c r="H20">
        <v>261590</v>
      </c>
      <c r="I20">
        <v>250716</v>
      </c>
      <c r="J20">
        <v>266590</v>
      </c>
      <c r="K20">
        <v>255297</v>
      </c>
      <c r="L20">
        <v>266590</v>
      </c>
    </row>
    <row r="21" spans="1:12" x14ac:dyDescent="0.35">
      <c r="A21">
        <v>2024</v>
      </c>
      <c r="B21">
        <v>3</v>
      </c>
      <c r="C21" t="s">
        <v>66</v>
      </c>
      <c r="D21" t="s">
        <v>313</v>
      </c>
      <c r="E21" t="s">
        <v>255</v>
      </c>
      <c r="F21">
        <v>600</v>
      </c>
      <c r="G21">
        <v>362902</v>
      </c>
      <c r="H21">
        <v>348155</v>
      </c>
      <c r="I21">
        <v>297836</v>
      </c>
      <c r="J21">
        <v>575804</v>
      </c>
      <c r="K21">
        <v>321073</v>
      </c>
      <c r="L21">
        <v>400322</v>
      </c>
    </row>
    <row r="22" spans="1:12" x14ac:dyDescent="0.35">
      <c r="A22">
        <v>2024</v>
      </c>
      <c r="B22">
        <v>3</v>
      </c>
      <c r="C22" t="s">
        <v>66</v>
      </c>
      <c r="D22" t="s">
        <v>313</v>
      </c>
      <c r="E22" t="s">
        <v>257</v>
      </c>
      <c r="F22">
        <v>873</v>
      </c>
      <c r="G22">
        <v>384873</v>
      </c>
      <c r="H22">
        <v>364866</v>
      </c>
      <c r="I22">
        <v>325286</v>
      </c>
      <c r="J22">
        <v>661853</v>
      </c>
      <c r="K22">
        <v>342366</v>
      </c>
      <c r="L22">
        <v>400322</v>
      </c>
    </row>
    <row r="23" spans="1:12" x14ac:dyDescent="0.35">
      <c r="A23">
        <v>2024</v>
      </c>
      <c r="B23">
        <v>3</v>
      </c>
      <c r="C23" t="s">
        <v>66</v>
      </c>
      <c r="D23" t="s">
        <v>313</v>
      </c>
      <c r="E23" t="s">
        <v>259</v>
      </c>
      <c r="F23">
        <v>174</v>
      </c>
      <c r="G23">
        <v>578443</v>
      </c>
      <c r="H23">
        <v>583538</v>
      </c>
      <c r="I23">
        <v>384768</v>
      </c>
      <c r="J23">
        <v>705140</v>
      </c>
      <c r="K23">
        <v>505680</v>
      </c>
      <c r="L23">
        <v>628944</v>
      </c>
    </row>
    <row r="24" spans="1:12" x14ac:dyDescent="0.35">
      <c r="A24">
        <v>2024</v>
      </c>
      <c r="B24">
        <v>3</v>
      </c>
      <c r="C24" t="s">
        <v>66</v>
      </c>
      <c r="D24" t="s">
        <v>313</v>
      </c>
      <c r="E24" t="s">
        <v>261</v>
      </c>
      <c r="F24">
        <v>19</v>
      </c>
      <c r="G24">
        <v>636079</v>
      </c>
      <c r="H24">
        <v>665879</v>
      </c>
      <c r="I24">
        <v>476050</v>
      </c>
      <c r="J24">
        <v>715879</v>
      </c>
      <c r="K24">
        <v>621581</v>
      </c>
      <c r="L24">
        <v>688379</v>
      </c>
    </row>
    <row r="25" spans="1:12" x14ac:dyDescent="0.35">
      <c r="A25">
        <v>2024</v>
      </c>
      <c r="B25">
        <v>3</v>
      </c>
      <c r="C25" t="s">
        <v>66</v>
      </c>
      <c r="D25" t="s">
        <v>313</v>
      </c>
      <c r="E25" t="s">
        <v>263</v>
      </c>
      <c r="F25">
        <v>6</v>
      </c>
      <c r="G25">
        <v>699655</v>
      </c>
      <c r="H25">
        <v>706149</v>
      </c>
      <c r="I25">
        <v>630977</v>
      </c>
      <c r="J25">
        <v>740916</v>
      </c>
      <c r="K25">
        <v>692590</v>
      </c>
      <c r="L25">
        <v>721149</v>
      </c>
    </row>
    <row r="26" spans="1:12" x14ac:dyDescent="0.35">
      <c r="A26">
        <v>2024</v>
      </c>
      <c r="B26">
        <v>3</v>
      </c>
      <c r="C26" t="s">
        <v>66</v>
      </c>
      <c r="D26" t="s">
        <v>313</v>
      </c>
      <c r="E26" t="s">
        <v>265</v>
      </c>
      <c r="F26">
        <v>15</v>
      </c>
      <c r="G26">
        <v>280719</v>
      </c>
      <c r="H26">
        <v>280297</v>
      </c>
      <c r="I26">
        <v>239743</v>
      </c>
      <c r="J26">
        <v>328339</v>
      </c>
      <c r="K26">
        <v>262797</v>
      </c>
      <c r="L26">
        <v>309780</v>
      </c>
    </row>
    <row r="27" spans="1:12" x14ac:dyDescent="0.35">
      <c r="A27">
        <v>2024</v>
      </c>
      <c r="B27">
        <v>3</v>
      </c>
      <c r="C27" t="s">
        <v>66</v>
      </c>
      <c r="D27" t="s">
        <v>313</v>
      </c>
      <c r="E27" t="s">
        <v>267</v>
      </c>
      <c r="F27">
        <v>1619</v>
      </c>
      <c r="G27">
        <v>299488</v>
      </c>
      <c r="H27">
        <v>290752</v>
      </c>
      <c r="I27">
        <v>260064</v>
      </c>
      <c r="J27">
        <v>458463</v>
      </c>
      <c r="K27">
        <v>275986</v>
      </c>
      <c r="L27">
        <v>310519</v>
      </c>
    </row>
    <row r="28" spans="1:12" x14ac:dyDescent="0.35">
      <c r="A28">
        <v>2024</v>
      </c>
      <c r="B28">
        <v>3</v>
      </c>
      <c r="C28" t="s">
        <v>66</v>
      </c>
      <c r="D28" t="s">
        <v>313</v>
      </c>
      <c r="E28" t="s">
        <v>271</v>
      </c>
      <c r="F28">
        <v>5</v>
      </c>
      <c r="G28">
        <v>260157</v>
      </c>
      <c r="H28">
        <v>261590</v>
      </c>
      <c r="I28">
        <v>250716</v>
      </c>
      <c r="J28">
        <v>266590</v>
      </c>
      <c r="K28">
        <v>255297</v>
      </c>
      <c r="L28">
        <v>266590</v>
      </c>
    </row>
    <row r="29" spans="1:12" x14ac:dyDescent="0.35">
      <c r="A29">
        <v>2024</v>
      </c>
      <c r="B29">
        <v>4</v>
      </c>
      <c r="C29" t="s">
        <v>67</v>
      </c>
      <c r="D29" t="s">
        <v>313</v>
      </c>
      <c r="E29" t="s">
        <v>255</v>
      </c>
      <c r="F29">
        <v>610</v>
      </c>
      <c r="G29">
        <v>361550</v>
      </c>
      <c r="H29">
        <v>346890</v>
      </c>
      <c r="I29">
        <v>297836</v>
      </c>
      <c r="J29">
        <v>575804</v>
      </c>
      <c r="K29">
        <v>321075</v>
      </c>
      <c r="L29">
        <v>399485</v>
      </c>
    </row>
    <row r="30" spans="1:12" x14ac:dyDescent="0.35">
      <c r="A30">
        <v>2024</v>
      </c>
      <c r="B30">
        <v>4</v>
      </c>
      <c r="C30" t="s">
        <v>67</v>
      </c>
      <c r="D30" t="s">
        <v>313</v>
      </c>
      <c r="E30" t="s">
        <v>257</v>
      </c>
      <c r="F30">
        <v>880</v>
      </c>
      <c r="G30">
        <v>386266</v>
      </c>
      <c r="H30">
        <v>364866</v>
      </c>
      <c r="I30">
        <v>325286</v>
      </c>
      <c r="J30">
        <v>661853</v>
      </c>
      <c r="K30">
        <v>344866</v>
      </c>
      <c r="L30">
        <v>400322</v>
      </c>
    </row>
    <row r="31" spans="1:12" x14ac:dyDescent="0.35">
      <c r="A31">
        <v>2024</v>
      </c>
      <c r="B31">
        <v>4</v>
      </c>
      <c r="C31" t="s">
        <v>67</v>
      </c>
      <c r="D31" t="s">
        <v>313</v>
      </c>
      <c r="E31" t="s">
        <v>259</v>
      </c>
      <c r="F31">
        <v>175</v>
      </c>
      <c r="G31">
        <v>577278</v>
      </c>
      <c r="H31">
        <v>583538</v>
      </c>
      <c r="I31">
        <v>384768</v>
      </c>
      <c r="J31">
        <v>705140</v>
      </c>
      <c r="K31">
        <v>505680</v>
      </c>
      <c r="L31">
        <v>628944</v>
      </c>
    </row>
    <row r="32" spans="1:12" x14ac:dyDescent="0.35">
      <c r="A32">
        <v>2024</v>
      </c>
      <c r="B32">
        <v>4</v>
      </c>
      <c r="C32" t="s">
        <v>67</v>
      </c>
      <c r="D32" t="s">
        <v>313</v>
      </c>
      <c r="E32" t="s">
        <v>261</v>
      </c>
      <c r="F32">
        <v>19</v>
      </c>
      <c r="G32">
        <v>636079</v>
      </c>
      <c r="H32">
        <v>665879</v>
      </c>
      <c r="I32">
        <v>476050</v>
      </c>
      <c r="J32">
        <v>715879</v>
      </c>
      <c r="K32">
        <v>621581</v>
      </c>
      <c r="L32">
        <v>688379</v>
      </c>
    </row>
    <row r="33" spans="1:12" x14ac:dyDescent="0.35">
      <c r="A33">
        <v>2024</v>
      </c>
      <c r="B33">
        <v>4</v>
      </c>
      <c r="C33" t="s">
        <v>67</v>
      </c>
      <c r="D33" t="s">
        <v>313</v>
      </c>
      <c r="E33" t="s">
        <v>263</v>
      </c>
      <c r="F33">
        <v>6</v>
      </c>
      <c r="G33">
        <v>699655</v>
      </c>
      <c r="H33">
        <v>706149</v>
      </c>
      <c r="I33">
        <v>630977</v>
      </c>
      <c r="J33">
        <v>740916</v>
      </c>
      <c r="K33">
        <v>692590</v>
      </c>
      <c r="L33">
        <v>721149</v>
      </c>
    </row>
    <row r="34" spans="1:12" x14ac:dyDescent="0.35">
      <c r="A34">
        <v>2024</v>
      </c>
      <c r="B34">
        <v>4</v>
      </c>
      <c r="C34" t="s">
        <v>67</v>
      </c>
      <c r="D34" t="s">
        <v>313</v>
      </c>
      <c r="E34" t="s">
        <v>265</v>
      </c>
      <c r="F34">
        <v>15</v>
      </c>
      <c r="G34">
        <v>280719</v>
      </c>
      <c r="H34">
        <v>280297</v>
      </c>
      <c r="I34">
        <v>239743</v>
      </c>
      <c r="J34">
        <v>328339</v>
      </c>
      <c r="K34">
        <v>262797</v>
      </c>
      <c r="L34">
        <v>309780</v>
      </c>
    </row>
    <row r="35" spans="1:12" x14ac:dyDescent="0.35">
      <c r="A35">
        <v>2024</v>
      </c>
      <c r="B35">
        <v>4</v>
      </c>
      <c r="C35" t="s">
        <v>67</v>
      </c>
      <c r="D35" t="s">
        <v>313</v>
      </c>
      <c r="E35" t="s">
        <v>267</v>
      </c>
      <c r="F35">
        <v>1699</v>
      </c>
      <c r="G35">
        <v>299560</v>
      </c>
      <c r="H35">
        <v>290752</v>
      </c>
      <c r="I35">
        <v>260064</v>
      </c>
      <c r="J35">
        <v>458463</v>
      </c>
      <c r="K35">
        <v>275986</v>
      </c>
      <c r="L35">
        <v>313019</v>
      </c>
    </row>
    <row r="36" spans="1:12" x14ac:dyDescent="0.35">
      <c r="A36">
        <v>2024</v>
      </c>
      <c r="B36">
        <v>4</v>
      </c>
      <c r="C36" t="s">
        <v>67</v>
      </c>
      <c r="D36" t="s">
        <v>313</v>
      </c>
      <c r="E36" t="s">
        <v>271</v>
      </c>
      <c r="F36">
        <v>5</v>
      </c>
      <c r="G36">
        <v>260157</v>
      </c>
      <c r="H36">
        <v>261590</v>
      </c>
      <c r="I36">
        <v>250716</v>
      </c>
      <c r="J36">
        <v>266590</v>
      </c>
      <c r="K36">
        <v>255297</v>
      </c>
      <c r="L36">
        <v>266590</v>
      </c>
    </row>
    <row r="37" spans="1:12" x14ac:dyDescent="0.35">
      <c r="A37">
        <v>2024</v>
      </c>
      <c r="B37">
        <v>5</v>
      </c>
      <c r="C37" t="s">
        <v>68</v>
      </c>
      <c r="D37" t="s">
        <v>313</v>
      </c>
      <c r="E37" t="s">
        <v>255</v>
      </c>
      <c r="F37">
        <v>618</v>
      </c>
      <c r="G37">
        <v>360614</v>
      </c>
      <c r="H37">
        <v>345790</v>
      </c>
      <c r="I37">
        <v>297836</v>
      </c>
      <c r="J37">
        <v>575804</v>
      </c>
      <c r="K37">
        <v>323573</v>
      </c>
      <c r="L37">
        <v>397822</v>
      </c>
    </row>
    <row r="38" spans="1:12" x14ac:dyDescent="0.35">
      <c r="A38">
        <v>2024</v>
      </c>
      <c r="B38">
        <v>5</v>
      </c>
      <c r="C38" t="s">
        <v>68</v>
      </c>
      <c r="D38" t="s">
        <v>313</v>
      </c>
      <c r="E38" t="s">
        <v>257</v>
      </c>
      <c r="F38">
        <v>900</v>
      </c>
      <c r="G38">
        <v>385673</v>
      </c>
      <c r="H38">
        <v>364867</v>
      </c>
      <c r="I38">
        <v>325286</v>
      </c>
      <c r="J38">
        <v>661853</v>
      </c>
      <c r="K38">
        <v>345286</v>
      </c>
      <c r="L38">
        <v>400322</v>
      </c>
    </row>
    <row r="39" spans="1:12" x14ac:dyDescent="0.35">
      <c r="A39">
        <v>2024</v>
      </c>
      <c r="B39">
        <v>5</v>
      </c>
      <c r="C39" t="s">
        <v>68</v>
      </c>
      <c r="D39" t="s">
        <v>313</v>
      </c>
      <c r="E39" t="s">
        <v>259</v>
      </c>
      <c r="F39">
        <v>174</v>
      </c>
      <c r="G39">
        <v>577735</v>
      </c>
      <c r="H39">
        <v>583538</v>
      </c>
      <c r="I39">
        <v>384768</v>
      </c>
      <c r="J39">
        <v>705140</v>
      </c>
      <c r="K39">
        <v>505680</v>
      </c>
      <c r="L39">
        <v>628944</v>
      </c>
    </row>
    <row r="40" spans="1:12" x14ac:dyDescent="0.35">
      <c r="A40">
        <v>2024</v>
      </c>
      <c r="B40">
        <v>5</v>
      </c>
      <c r="C40" t="s">
        <v>68</v>
      </c>
      <c r="D40" t="s">
        <v>313</v>
      </c>
      <c r="E40" t="s">
        <v>261</v>
      </c>
      <c r="F40">
        <v>19</v>
      </c>
      <c r="G40">
        <v>636079</v>
      </c>
      <c r="H40">
        <v>665879</v>
      </c>
      <c r="I40">
        <v>476050</v>
      </c>
      <c r="J40">
        <v>715879</v>
      </c>
      <c r="K40">
        <v>621581</v>
      </c>
      <c r="L40">
        <v>688379</v>
      </c>
    </row>
    <row r="41" spans="1:12" x14ac:dyDescent="0.35">
      <c r="A41">
        <v>2024</v>
      </c>
      <c r="B41">
        <v>5</v>
      </c>
      <c r="C41" t="s">
        <v>68</v>
      </c>
      <c r="D41" t="s">
        <v>313</v>
      </c>
      <c r="E41" t="s">
        <v>263</v>
      </c>
      <c r="F41">
        <v>6</v>
      </c>
      <c r="G41">
        <v>699655</v>
      </c>
      <c r="H41">
        <v>706149</v>
      </c>
      <c r="I41">
        <v>630977</v>
      </c>
      <c r="J41">
        <v>740916</v>
      </c>
      <c r="K41">
        <v>692590</v>
      </c>
      <c r="L41">
        <v>721149</v>
      </c>
    </row>
    <row r="42" spans="1:12" x14ac:dyDescent="0.35">
      <c r="A42">
        <v>2024</v>
      </c>
      <c r="B42">
        <v>5</v>
      </c>
      <c r="C42" t="s">
        <v>68</v>
      </c>
      <c r="D42" t="s">
        <v>313</v>
      </c>
      <c r="E42" t="s">
        <v>265</v>
      </c>
      <c r="F42">
        <v>15</v>
      </c>
      <c r="G42">
        <v>281052</v>
      </c>
      <c r="H42">
        <v>280297</v>
      </c>
      <c r="I42">
        <v>239743</v>
      </c>
      <c r="J42">
        <v>328339</v>
      </c>
      <c r="K42">
        <v>262797</v>
      </c>
      <c r="L42">
        <v>309780</v>
      </c>
    </row>
    <row r="43" spans="1:12" x14ac:dyDescent="0.35">
      <c r="A43">
        <v>2024</v>
      </c>
      <c r="B43">
        <v>5</v>
      </c>
      <c r="C43" t="s">
        <v>68</v>
      </c>
      <c r="D43" t="s">
        <v>313</v>
      </c>
      <c r="E43" t="s">
        <v>267</v>
      </c>
      <c r="F43">
        <v>1728</v>
      </c>
      <c r="G43">
        <v>299090</v>
      </c>
      <c r="H43">
        <v>290752</v>
      </c>
      <c r="I43">
        <v>260064</v>
      </c>
      <c r="J43">
        <v>458463</v>
      </c>
      <c r="K43">
        <v>275986</v>
      </c>
      <c r="L43">
        <v>310519</v>
      </c>
    </row>
    <row r="44" spans="1:12" x14ac:dyDescent="0.35">
      <c r="A44">
        <v>2024</v>
      </c>
      <c r="B44">
        <v>5</v>
      </c>
      <c r="C44" t="s">
        <v>68</v>
      </c>
      <c r="D44" t="s">
        <v>313</v>
      </c>
      <c r="E44" t="s">
        <v>271</v>
      </c>
      <c r="F44">
        <v>5</v>
      </c>
      <c r="G44">
        <v>260157</v>
      </c>
      <c r="H44">
        <v>261590</v>
      </c>
      <c r="I44">
        <v>250716</v>
      </c>
      <c r="J44">
        <v>266590</v>
      </c>
      <c r="K44">
        <v>255297</v>
      </c>
      <c r="L44">
        <v>266590</v>
      </c>
    </row>
    <row r="45" spans="1:12" x14ac:dyDescent="0.35">
      <c r="A45">
        <v>2024</v>
      </c>
      <c r="B45">
        <v>6</v>
      </c>
      <c r="C45" t="s">
        <v>69</v>
      </c>
      <c r="D45" t="s">
        <v>313</v>
      </c>
      <c r="E45" t="s">
        <v>255</v>
      </c>
      <c r="F45">
        <v>636</v>
      </c>
      <c r="G45">
        <v>361241</v>
      </c>
      <c r="H45">
        <v>348108</v>
      </c>
      <c r="I45">
        <v>297836</v>
      </c>
      <c r="J45">
        <v>575804</v>
      </c>
      <c r="K45">
        <v>325655</v>
      </c>
      <c r="L45">
        <v>397822</v>
      </c>
    </row>
    <row r="46" spans="1:12" x14ac:dyDescent="0.35">
      <c r="A46">
        <v>2024</v>
      </c>
      <c r="B46">
        <v>6</v>
      </c>
      <c r="C46" t="s">
        <v>69</v>
      </c>
      <c r="D46" t="s">
        <v>313</v>
      </c>
      <c r="E46" t="s">
        <v>257</v>
      </c>
      <c r="F46">
        <v>927</v>
      </c>
      <c r="G46">
        <v>385369</v>
      </c>
      <c r="H46">
        <v>364866</v>
      </c>
      <c r="I46">
        <v>325286</v>
      </c>
      <c r="J46">
        <v>661853</v>
      </c>
      <c r="K46">
        <v>345286</v>
      </c>
      <c r="L46">
        <v>400322</v>
      </c>
    </row>
    <row r="47" spans="1:12" x14ac:dyDescent="0.35">
      <c r="A47">
        <v>2024</v>
      </c>
      <c r="B47">
        <v>6</v>
      </c>
      <c r="C47" t="s">
        <v>69</v>
      </c>
      <c r="D47" t="s">
        <v>313</v>
      </c>
      <c r="E47" t="s">
        <v>259</v>
      </c>
      <c r="F47">
        <v>176</v>
      </c>
      <c r="G47">
        <v>576616</v>
      </c>
      <c r="H47">
        <v>583538</v>
      </c>
      <c r="I47">
        <v>384768</v>
      </c>
      <c r="J47">
        <v>705140</v>
      </c>
      <c r="K47">
        <v>505680</v>
      </c>
      <c r="L47">
        <v>628944</v>
      </c>
    </row>
    <row r="48" spans="1:12" x14ac:dyDescent="0.35">
      <c r="A48">
        <v>2024</v>
      </c>
      <c r="B48">
        <v>6</v>
      </c>
      <c r="C48" t="s">
        <v>69</v>
      </c>
      <c r="D48" t="s">
        <v>313</v>
      </c>
      <c r="E48" t="s">
        <v>261</v>
      </c>
      <c r="F48">
        <v>19</v>
      </c>
      <c r="G48">
        <v>636079</v>
      </c>
      <c r="H48">
        <v>665879</v>
      </c>
      <c r="I48">
        <v>476050</v>
      </c>
      <c r="J48">
        <v>715879</v>
      </c>
      <c r="K48">
        <v>621581</v>
      </c>
      <c r="L48">
        <v>688379</v>
      </c>
    </row>
    <row r="49" spans="1:12" x14ac:dyDescent="0.35">
      <c r="A49">
        <v>2024</v>
      </c>
      <c r="B49">
        <v>6</v>
      </c>
      <c r="C49" t="s">
        <v>69</v>
      </c>
      <c r="D49" t="s">
        <v>313</v>
      </c>
      <c r="E49" t="s">
        <v>263</v>
      </c>
      <c r="F49">
        <v>6</v>
      </c>
      <c r="G49">
        <v>699655</v>
      </c>
      <c r="H49">
        <v>706149</v>
      </c>
      <c r="I49">
        <v>630977</v>
      </c>
      <c r="J49">
        <v>740916</v>
      </c>
      <c r="K49">
        <v>692590</v>
      </c>
      <c r="L49">
        <v>721149</v>
      </c>
    </row>
    <row r="50" spans="1:12" x14ac:dyDescent="0.35">
      <c r="A50">
        <v>2024</v>
      </c>
      <c r="B50">
        <v>6</v>
      </c>
      <c r="C50" t="s">
        <v>69</v>
      </c>
      <c r="D50" t="s">
        <v>313</v>
      </c>
      <c r="E50" t="s">
        <v>265</v>
      </c>
      <c r="F50">
        <v>15</v>
      </c>
      <c r="G50">
        <v>281052</v>
      </c>
      <c r="H50">
        <v>280297</v>
      </c>
      <c r="I50">
        <v>239743</v>
      </c>
      <c r="J50">
        <v>328339</v>
      </c>
      <c r="K50">
        <v>262797</v>
      </c>
      <c r="L50">
        <v>309780</v>
      </c>
    </row>
    <row r="51" spans="1:12" x14ac:dyDescent="0.35">
      <c r="A51">
        <v>2024</v>
      </c>
      <c r="B51">
        <v>6</v>
      </c>
      <c r="C51" t="s">
        <v>69</v>
      </c>
      <c r="D51" t="s">
        <v>313</v>
      </c>
      <c r="E51" t="s">
        <v>267</v>
      </c>
      <c r="F51">
        <v>1766</v>
      </c>
      <c r="G51">
        <v>299123</v>
      </c>
      <c r="H51">
        <v>290752</v>
      </c>
      <c r="I51">
        <v>259793</v>
      </c>
      <c r="J51">
        <v>458229</v>
      </c>
      <c r="K51">
        <v>275986</v>
      </c>
      <c r="L51">
        <v>308252</v>
      </c>
    </row>
    <row r="52" spans="1:12" x14ac:dyDescent="0.35">
      <c r="A52">
        <v>2024</v>
      </c>
      <c r="B52">
        <v>6</v>
      </c>
      <c r="C52" t="s">
        <v>69</v>
      </c>
      <c r="D52" t="s">
        <v>313</v>
      </c>
      <c r="E52" t="s">
        <v>271</v>
      </c>
      <c r="F52">
        <v>5</v>
      </c>
      <c r="G52">
        <v>260157</v>
      </c>
      <c r="H52">
        <v>261590</v>
      </c>
      <c r="I52">
        <v>250716</v>
      </c>
      <c r="J52">
        <v>266590</v>
      </c>
      <c r="K52">
        <v>255297</v>
      </c>
      <c r="L52">
        <v>266590</v>
      </c>
    </row>
    <row r="53" spans="1:12" x14ac:dyDescent="0.35">
      <c r="A53">
        <v>2024</v>
      </c>
      <c r="B53">
        <v>7</v>
      </c>
      <c r="C53" t="s">
        <v>70</v>
      </c>
      <c r="D53" t="s">
        <v>313</v>
      </c>
      <c r="E53" t="s">
        <v>255</v>
      </c>
      <c r="F53">
        <v>659</v>
      </c>
      <c r="G53">
        <v>363055</v>
      </c>
      <c r="H53">
        <v>348155</v>
      </c>
      <c r="I53">
        <v>297836</v>
      </c>
      <c r="J53">
        <v>568304</v>
      </c>
      <c r="K53">
        <v>325655</v>
      </c>
      <c r="L53">
        <v>399485</v>
      </c>
    </row>
    <row r="54" spans="1:12" x14ac:dyDescent="0.35">
      <c r="A54">
        <v>2024</v>
      </c>
      <c r="B54">
        <v>7</v>
      </c>
      <c r="C54" t="s">
        <v>70</v>
      </c>
      <c r="D54" t="s">
        <v>313</v>
      </c>
      <c r="E54" t="s">
        <v>257</v>
      </c>
      <c r="F54">
        <v>945</v>
      </c>
      <c r="G54">
        <v>385828</v>
      </c>
      <c r="H54">
        <v>365974</v>
      </c>
      <c r="I54">
        <v>325286</v>
      </c>
      <c r="J54">
        <v>661853</v>
      </c>
      <c r="K54">
        <v>345286</v>
      </c>
      <c r="L54">
        <v>400322</v>
      </c>
    </row>
    <row r="55" spans="1:12" x14ac:dyDescent="0.35">
      <c r="A55">
        <v>2024</v>
      </c>
      <c r="B55">
        <v>7</v>
      </c>
      <c r="C55" t="s">
        <v>70</v>
      </c>
      <c r="D55" t="s">
        <v>313</v>
      </c>
      <c r="E55" t="s">
        <v>259</v>
      </c>
      <c r="F55">
        <v>176</v>
      </c>
      <c r="G55">
        <v>576573</v>
      </c>
      <c r="H55">
        <v>583538</v>
      </c>
      <c r="I55">
        <v>384768</v>
      </c>
      <c r="J55">
        <v>705140</v>
      </c>
      <c r="K55">
        <v>505680</v>
      </c>
      <c r="L55">
        <v>628944</v>
      </c>
    </row>
    <row r="56" spans="1:12" x14ac:dyDescent="0.35">
      <c r="A56">
        <v>2024</v>
      </c>
      <c r="B56">
        <v>7</v>
      </c>
      <c r="C56" t="s">
        <v>70</v>
      </c>
      <c r="D56" t="s">
        <v>313</v>
      </c>
      <c r="E56" t="s">
        <v>261</v>
      </c>
      <c r="F56">
        <v>19</v>
      </c>
      <c r="G56">
        <v>635684</v>
      </c>
      <c r="H56">
        <v>665879</v>
      </c>
      <c r="I56">
        <v>476050</v>
      </c>
      <c r="J56">
        <v>715879</v>
      </c>
      <c r="K56">
        <v>621581</v>
      </c>
      <c r="L56">
        <v>685879</v>
      </c>
    </row>
    <row r="57" spans="1:12" x14ac:dyDescent="0.35">
      <c r="A57">
        <v>2024</v>
      </c>
      <c r="B57">
        <v>7</v>
      </c>
      <c r="C57" t="s">
        <v>70</v>
      </c>
      <c r="D57" t="s">
        <v>313</v>
      </c>
      <c r="E57" t="s">
        <v>263</v>
      </c>
      <c r="F57">
        <v>6</v>
      </c>
      <c r="G57">
        <v>699655</v>
      </c>
      <c r="H57">
        <v>706149</v>
      </c>
      <c r="I57">
        <v>630977</v>
      </c>
      <c r="J57">
        <v>740916</v>
      </c>
      <c r="K57">
        <v>692590</v>
      </c>
      <c r="L57">
        <v>721149</v>
      </c>
    </row>
    <row r="58" spans="1:12" x14ac:dyDescent="0.35">
      <c r="A58">
        <v>2024</v>
      </c>
      <c r="B58">
        <v>7</v>
      </c>
      <c r="C58" t="s">
        <v>70</v>
      </c>
      <c r="D58" t="s">
        <v>313</v>
      </c>
      <c r="E58" t="s">
        <v>265</v>
      </c>
      <c r="F58">
        <v>15</v>
      </c>
      <c r="G58">
        <v>281552</v>
      </c>
      <c r="H58">
        <v>280297</v>
      </c>
      <c r="I58">
        <v>242797</v>
      </c>
      <c r="J58">
        <v>328339</v>
      </c>
      <c r="K58">
        <v>262797</v>
      </c>
      <c r="L58">
        <v>309780</v>
      </c>
    </row>
    <row r="59" spans="1:12" x14ac:dyDescent="0.35">
      <c r="A59">
        <v>2024</v>
      </c>
      <c r="B59">
        <v>7</v>
      </c>
      <c r="C59" t="s">
        <v>70</v>
      </c>
      <c r="D59" t="s">
        <v>313</v>
      </c>
      <c r="E59" t="s">
        <v>267</v>
      </c>
      <c r="F59">
        <v>1774</v>
      </c>
      <c r="G59">
        <v>298734</v>
      </c>
      <c r="H59">
        <v>290752</v>
      </c>
      <c r="I59">
        <v>259793</v>
      </c>
      <c r="J59">
        <v>458229</v>
      </c>
      <c r="K59">
        <v>275986</v>
      </c>
      <c r="L59">
        <v>307151</v>
      </c>
    </row>
    <row r="60" spans="1:12" x14ac:dyDescent="0.35">
      <c r="A60">
        <v>2024</v>
      </c>
      <c r="B60">
        <v>7</v>
      </c>
      <c r="C60" t="s">
        <v>70</v>
      </c>
      <c r="D60" t="s">
        <v>313</v>
      </c>
      <c r="E60" t="s">
        <v>271</v>
      </c>
      <c r="F60">
        <v>5</v>
      </c>
      <c r="G60">
        <v>260157</v>
      </c>
      <c r="H60">
        <v>261590</v>
      </c>
      <c r="I60">
        <v>250716</v>
      </c>
      <c r="J60">
        <v>266590</v>
      </c>
      <c r="K60">
        <v>255297</v>
      </c>
      <c r="L60">
        <v>266590</v>
      </c>
    </row>
    <row r="61" spans="1:12" x14ac:dyDescent="0.35">
      <c r="A61">
        <v>2024</v>
      </c>
      <c r="B61">
        <v>8</v>
      </c>
      <c r="C61" t="s">
        <v>71</v>
      </c>
      <c r="D61" t="s">
        <v>313</v>
      </c>
      <c r="E61" t="s">
        <v>255</v>
      </c>
      <c r="F61">
        <v>667</v>
      </c>
      <c r="G61">
        <v>364248</v>
      </c>
      <c r="H61">
        <v>348155</v>
      </c>
      <c r="I61">
        <v>297836</v>
      </c>
      <c r="J61">
        <v>598842</v>
      </c>
      <c r="K61">
        <v>325655</v>
      </c>
      <c r="L61">
        <v>399485</v>
      </c>
    </row>
    <row r="62" spans="1:12" x14ac:dyDescent="0.35">
      <c r="A62">
        <v>2024</v>
      </c>
      <c r="B62">
        <v>8</v>
      </c>
      <c r="C62" t="s">
        <v>71</v>
      </c>
      <c r="D62" t="s">
        <v>313</v>
      </c>
      <c r="E62" t="s">
        <v>257</v>
      </c>
      <c r="F62">
        <v>956</v>
      </c>
      <c r="G62">
        <v>386870</v>
      </c>
      <c r="H62">
        <v>365974</v>
      </c>
      <c r="I62">
        <v>325286</v>
      </c>
      <c r="J62">
        <v>674492</v>
      </c>
      <c r="K62">
        <v>348763</v>
      </c>
      <c r="L62">
        <v>400322</v>
      </c>
    </row>
    <row r="63" spans="1:12" x14ac:dyDescent="0.35">
      <c r="A63">
        <v>2024</v>
      </c>
      <c r="B63">
        <v>8</v>
      </c>
      <c r="C63" t="s">
        <v>71</v>
      </c>
      <c r="D63" t="s">
        <v>313</v>
      </c>
      <c r="E63" t="s">
        <v>259</v>
      </c>
      <c r="F63">
        <v>176</v>
      </c>
      <c r="G63">
        <v>577522</v>
      </c>
      <c r="H63">
        <v>583538</v>
      </c>
      <c r="I63">
        <v>384768</v>
      </c>
      <c r="J63">
        <v>705140</v>
      </c>
      <c r="K63">
        <v>505680</v>
      </c>
      <c r="L63">
        <v>628944</v>
      </c>
    </row>
    <row r="64" spans="1:12" x14ac:dyDescent="0.35">
      <c r="A64">
        <v>2024</v>
      </c>
      <c r="B64">
        <v>8</v>
      </c>
      <c r="C64" t="s">
        <v>71</v>
      </c>
      <c r="D64" t="s">
        <v>313</v>
      </c>
      <c r="E64" t="s">
        <v>261</v>
      </c>
      <c r="F64">
        <v>19</v>
      </c>
      <c r="G64">
        <v>635289</v>
      </c>
      <c r="H64">
        <v>665879</v>
      </c>
      <c r="I64">
        <v>476050</v>
      </c>
      <c r="J64">
        <v>715879</v>
      </c>
      <c r="K64">
        <v>621581</v>
      </c>
      <c r="L64">
        <v>685879</v>
      </c>
    </row>
    <row r="65" spans="1:12" x14ac:dyDescent="0.35">
      <c r="A65">
        <v>2024</v>
      </c>
      <c r="B65">
        <v>8</v>
      </c>
      <c r="C65" t="s">
        <v>71</v>
      </c>
      <c r="D65" t="s">
        <v>313</v>
      </c>
      <c r="E65" t="s">
        <v>263</v>
      </c>
      <c r="F65">
        <v>6</v>
      </c>
      <c r="G65">
        <v>699655</v>
      </c>
      <c r="H65">
        <v>706149</v>
      </c>
      <c r="I65">
        <v>630977</v>
      </c>
      <c r="J65">
        <v>740916</v>
      </c>
      <c r="K65">
        <v>692590</v>
      </c>
      <c r="L65">
        <v>721149</v>
      </c>
    </row>
    <row r="66" spans="1:12" x14ac:dyDescent="0.35">
      <c r="A66">
        <v>2024</v>
      </c>
      <c r="B66">
        <v>8</v>
      </c>
      <c r="C66" t="s">
        <v>71</v>
      </c>
      <c r="D66" t="s">
        <v>313</v>
      </c>
      <c r="E66" t="s">
        <v>265</v>
      </c>
      <c r="F66">
        <v>15</v>
      </c>
      <c r="G66">
        <v>281552</v>
      </c>
      <c r="H66">
        <v>280297</v>
      </c>
      <c r="I66">
        <v>242797</v>
      </c>
      <c r="J66">
        <v>328339</v>
      </c>
      <c r="K66">
        <v>262797</v>
      </c>
      <c r="L66">
        <v>309780</v>
      </c>
    </row>
    <row r="67" spans="1:12" x14ac:dyDescent="0.35">
      <c r="A67">
        <v>2024</v>
      </c>
      <c r="B67">
        <v>8</v>
      </c>
      <c r="C67" t="s">
        <v>71</v>
      </c>
      <c r="D67" t="s">
        <v>313</v>
      </c>
      <c r="E67" t="s">
        <v>267</v>
      </c>
      <c r="F67">
        <v>1791</v>
      </c>
      <c r="G67">
        <v>299868</v>
      </c>
      <c r="H67">
        <v>290752</v>
      </c>
      <c r="I67">
        <v>259793</v>
      </c>
      <c r="J67">
        <v>464674</v>
      </c>
      <c r="K67">
        <v>275986</v>
      </c>
      <c r="L67">
        <v>307181</v>
      </c>
    </row>
    <row r="68" spans="1:12" x14ac:dyDescent="0.35">
      <c r="A68">
        <v>2024</v>
      </c>
      <c r="B68">
        <v>8</v>
      </c>
      <c r="C68" t="s">
        <v>71</v>
      </c>
      <c r="D68" t="s">
        <v>313</v>
      </c>
      <c r="E68" t="s">
        <v>271</v>
      </c>
      <c r="F68">
        <v>5</v>
      </c>
      <c r="G68">
        <v>260157</v>
      </c>
      <c r="H68">
        <v>261590</v>
      </c>
      <c r="I68">
        <v>250716</v>
      </c>
      <c r="J68">
        <v>266590</v>
      </c>
      <c r="K68">
        <v>255297</v>
      </c>
      <c r="L68">
        <v>266590</v>
      </c>
    </row>
    <row r="69" spans="1:12" x14ac:dyDescent="0.35">
      <c r="A69">
        <v>2024</v>
      </c>
      <c r="B69">
        <v>9</v>
      </c>
      <c r="C69" t="s">
        <v>72</v>
      </c>
      <c r="D69" t="s">
        <v>313</v>
      </c>
      <c r="E69" t="s">
        <v>255</v>
      </c>
      <c r="F69">
        <v>675</v>
      </c>
      <c r="G69">
        <v>361697</v>
      </c>
      <c r="H69">
        <v>345790</v>
      </c>
      <c r="I69">
        <v>297836</v>
      </c>
      <c r="J69">
        <v>575015</v>
      </c>
      <c r="K69">
        <v>325655</v>
      </c>
      <c r="L69">
        <v>397822</v>
      </c>
    </row>
    <row r="70" spans="1:12" x14ac:dyDescent="0.35">
      <c r="A70">
        <v>2024</v>
      </c>
      <c r="B70">
        <v>9</v>
      </c>
      <c r="C70" t="s">
        <v>72</v>
      </c>
      <c r="D70" t="s">
        <v>313</v>
      </c>
      <c r="E70" t="s">
        <v>257</v>
      </c>
      <c r="F70">
        <v>974</v>
      </c>
      <c r="G70">
        <v>385169</v>
      </c>
      <c r="H70">
        <v>364866</v>
      </c>
      <c r="I70">
        <v>325286</v>
      </c>
      <c r="J70">
        <v>675572</v>
      </c>
      <c r="K70">
        <v>345286</v>
      </c>
      <c r="L70">
        <v>400322</v>
      </c>
    </row>
    <row r="71" spans="1:12" x14ac:dyDescent="0.35">
      <c r="A71">
        <v>2024</v>
      </c>
      <c r="B71">
        <v>9</v>
      </c>
      <c r="C71" t="s">
        <v>72</v>
      </c>
      <c r="D71" t="s">
        <v>313</v>
      </c>
      <c r="E71" t="s">
        <v>259</v>
      </c>
      <c r="F71">
        <v>178</v>
      </c>
      <c r="G71">
        <v>577908</v>
      </c>
      <c r="H71">
        <v>583538</v>
      </c>
      <c r="I71">
        <v>384768</v>
      </c>
      <c r="J71">
        <v>705140</v>
      </c>
      <c r="K71">
        <v>508180</v>
      </c>
      <c r="L71">
        <v>628944</v>
      </c>
    </row>
    <row r="72" spans="1:12" x14ac:dyDescent="0.35">
      <c r="A72">
        <v>2024</v>
      </c>
      <c r="B72">
        <v>9</v>
      </c>
      <c r="C72" t="s">
        <v>72</v>
      </c>
      <c r="D72" t="s">
        <v>313</v>
      </c>
      <c r="E72" t="s">
        <v>261</v>
      </c>
      <c r="F72">
        <v>19</v>
      </c>
      <c r="G72">
        <v>635289</v>
      </c>
      <c r="H72">
        <v>665879</v>
      </c>
      <c r="I72">
        <v>476050</v>
      </c>
      <c r="J72">
        <v>715879</v>
      </c>
      <c r="K72">
        <v>621581</v>
      </c>
      <c r="L72">
        <v>685879</v>
      </c>
    </row>
    <row r="73" spans="1:12" x14ac:dyDescent="0.35">
      <c r="A73">
        <v>2024</v>
      </c>
      <c r="B73">
        <v>9</v>
      </c>
      <c r="C73" t="s">
        <v>72</v>
      </c>
      <c r="D73" t="s">
        <v>313</v>
      </c>
      <c r="E73" t="s">
        <v>263</v>
      </c>
      <c r="F73">
        <v>6</v>
      </c>
      <c r="G73">
        <v>699655</v>
      </c>
      <c r="H73">
        <v>706149</v>
      </c>
      <c r="I73">
        <v>630977</v>
      </c>
      <c r="J73">
        <v>740916</v>
      </c>
      <c r="K73">
        <v>692590</v>
      </c>
      <c r="L73">
        <v>721149</v>
      </c>
    </row>
    <row r="74" spans="1:12" x14ac:dyDescent="0.35">
      <c r="A74">
        <v>2024</v>
      </c>
      <c r="B74">
        <v>9</v>
      </c>
      <c r="C74" t="s">
        <v>72</v>
      </c>
      <c r="D74" t="s">
        <v>313</v>
      </c>
      <c r="E74" t="s">
        <v>265</v>
      </c>
      <c r="F74">
        <v>15</v>
      </c>
      <c r="G74">
        <v>283521</v>
      </c>
      <c r="H74">
        <v>280297</v>
      </c>
      <c r="I74">
        <v>242797</v>
      </c>
      <c r="J74">
        <v>328339</v>
      </c>
      <c r="K74">
        <v>271959</v>
      </c>
      <c r="L74">
        <v>309780</v>
      </c>
    </row>
    <row r="75" spans="1:12" x14ac:dyDescent="0.35">
      <c r="A75">
        <v>2024</v>
      </c>
      <c r="B75">
        <v>9</v>
      </c>
      <c r="C75" t="s">
        <v>72</v>
      </c>
      <c r="D75" t="s">
        <v>313</v>
      </c>
      <c r="E75" t="s">
        <v>267</v>
      </c>
      <c r="F75">
        <v>1804</v>
      </c>
      <c r="G75">
        <v>298890</v>
      </c>
      <c r="H75">
        <v>290752</v>
      </c>
      <c r="I75">
        <v>259793</v>
      </c>
      <c r="J75">
        <v>458229</v>
      </c>
      <c r="K75">
        <v>275986</v>
      </c>
      <c r="L75">
        <v>305986</v>
      </c>
    </row>
    <row r="76" spans="1:12" x14ac:dyDescent="0.35">
      <c r="A76">
        <v>2024</v>
      </c>
      <c r="B76">
        <v>9</v>
      </c>
      <c r="C76" t="s">
        <v>72</v>
      </c>
      <c r="D76" t="s">
        <v>313</v>
      </c>
      <c r="E76" t="s">
        <v>271</v>
      </c>
      <c r="F76">
        <v>5</v>
      </c>
      <c r="G76">
        <v>260157</v>
      </c>
      <c r="H76">
        <v>261590</v>
      </c>
      <c r="I76">
        <v>250716</v>
      </c>
      <c r="J76">
        <v>266590</v>
      </c>
      <c r="K76">
        <v>255297</v>
      </c>
      <c r="L76">
        <v>266590</v>
      </c>
    </row>
    <row r="77" spans="1:12" x14ac:dyDescent="0.35">
      <c r="A77">
        <v>2024</v>
      </c>
      <c r="B77">
        <v>10</v>
      </c>
      <c r="C77" t="s">
        <v>73</v>
      </c>
      <c r="D77" t="s">
        <v>313</v>
      </c>
      <c r="E77" t="s">
        <v>255</v>
      </c>
      <c r="F77">
        <v>675</v>
      </c>
      <c r="G77">
        <v>362007</v>
      </c>
      <c r="H77">
        <v>348155</v>
      </c>
      <c r="I77">
        <v>297836</v>
      </c>
      <c r="J77">
        <v>575015</v>
      </c>
      <c r="K77">
        <v>325655</v>
      </c>
      <c r="L77">
        <v>397822</v>
      </c>
    </row>
    <row r="78" spans="1:12" x14ac:dyDescent="0.35">
      <c r="A78">
        <v>2024</v>
      </c>
      <c r="B78">
        <v>10</v>
      </c>
      <c r="C78" t="s">
        <v>73</v>
      </c>
      <c r="D78" t="s">
        <v>313</v>
      </c>
      <c r="E78" t="s">
        <v>257</v>
      </c>
      <c r="F78">
        <v>985</v>
      </c>
      <c r="G78">
        <v>384763</v>
      </c>
      <c r="H78">
        <v>364866</v>
      </c>
      <c r="I78">
        <v>325286</v>
      </c>
      <c r="J78">
        <v>661853</v>
      </c>
      <c r="K78">
        <v>345286</v>
      </c>
      <c r="L78">
        <v>400322</v>
      </c>
    </row>
    <row r="79" spans="1:12" x14ac:dyDescent="0.35">
      <c r="A79">
        <v>2024</v>
      </c>
      <c r="B79">
        <v>10</v>
      </c>
      <c r="C79" t="s">
        <v>73</v>
      </c>
      <c r="D79" t="s">
        <v>313</v>
      </c>
      <c r="E79" t="s">
        <v>259</v>
      </c>
      <c r="F79">
        <v>177</v>
      </c>
      <c r="G79">
        <v>577591</v>
      </c>
      <c r="H79">
        <v>583538</v>
      </c>
      <c r="I79">
        <v>384768</v>
      </c>
      <c r="J79">
        <v>705140</v>
      </c>
      <c r="K79">
        <v>505680</v>
      </c>
      <c r="L79">
        <v>628944</v>
      </c>
    </row>
    <row r="80" spans="1:12" x14ac:dyDescent="0.35">
      <c r="A80">
        <v>2024</v>
      </c>
      <c r="B80">
        <v>10</v>
      </c>
      <c r="C80" t="s">
        <v>73</v>
      </c>
      <c r="D80" t="s">
        <v>313</v>
      </c>
      <c r="E80" t="s">
        <v>261</v>
      </c>
      <c r="F80">
        <v>20</v>
      </c>
      <c r="G80">
        <v>628402</v>
      </c>
      <c r="H80">
        <v>665879</v>
      </c>
      <c r="I80">
        <v>476050</v>
      </c>
      <c r="J80">
        <v>715879</v>
      </c>
      <c r="K80">
        <v>549326</v>
      </c>
      <c r="L80">
        <v>680879</v>
      </c>
    </row>
    <row r="81" spans="1:12" x14ac:dyDescent="0.35">
      <c r="A81">
        <v>2024</v>
      </c>
      <c r="B81">
        <v>10</v>
      </c>
      <c r="C81" t="s">
        <v>73</v>
      </c>
      <c r="D81" t="s">
        <v>313</v>
      </c>
      <c r="E81" t="s">
        <v>263</v>
      </c>
      <c r="F81">
        <v>6</v>
      </c>
      <c r="G81">
        <v>702116</v>
      </c>
      <c r="H81">
        <v>706149</v>
      </c>
      <c r="I81">
        <v>630977</v>
      </c>
      <c r="J81">
        <v>740916</v>
      </c>
      <c r="K81">
        <v>692590</v>
      </c>
      <c r="L81">
        <v>735916</v>
      </c>
    </row>
    <row r="82" spans="1:12" x14ac:dyDescent="0.35">
      <c r="A82">
        <v>2024</v>
      </c>
      <c r="B82">
        <v>10</v>
      </c>
      <c r="C82" t="s">
        <v>73</v>
      </c>
      <c r="D82" t="s">
        <v>313</v>
      </c>
      <c r="E82" t="s">
        <v>265</v>
      </c>
      <c r="F82">
        <v>15</v>
      </c>
      <c r="G82">
        <v>283521</v>
      </c>
      <c r="H82">
        <v>280297</v>
      </c>
      <c r="I82">
        <v>242797</v>
      </c>
      <c r="J82">
        <v>328339</v>
      </c>
      <c r="K82">
        <v>271959</v>
      </c>
      <c r="L82">
        <v>309780</v>
      </c>
    </row>
    <row r="83" spans="1:12" x14ac:dyDescent="0.35">
      <c r="A83">
        <v>2024</v>
      </c>
      <c r="B83">
        <v>10</v>
      </c>
      <c r="C83" t="s">
        <v>73</v>
      </c>
      <c r="D83" t="s">
        <v>313</v>
      </c>
      <c r="E83" t="s">
        <v>267</v>
      </c>
      <c r="F83">
        <v>1807</v>
      </c>
      <c r="G83">
        <v>299025</v>
      </c>
      <c r="H83">
        <v>290752</v>
      </c>
      <c r="I83">
        <v>259793</v>
      </c>
      <c r="J83">
        <v>458229</v>
      </c>
      <c r="K83">
        <v>275986</v>
      </c>
      <c r="L83">
        <v>305986</v>
      </c>
    </row>
    <row r="84" spans="1:12" x14ac:dyDescent="0.35">
      <c r="A84">
        <v>2024</v>
      </c>
      <c r="B84">
        <v>10</v>
      </c>
      <c r="C84" t="s">
        <v>73</v>
      </c>
      <c r="D84" t="s">
        <v>313</v>
      </c>
      <c r="E84" t="s">
        <v>271</v>
      </c>
      <c r="F84">
        <v>5</v>
      </c>
      <c r="G84">
        <v>260157</v>
      </c>
      <c r="H84">
        <v>261590</v>
      </c>
      <c r="I84">
        <v>250716</v>
      </c>
      <c r="J84">
        <v>266590</v>
      </c>
      <c r="K84">
        <v>255297</v>
      </c>
      <c r="L84">
        <v>266590</v>
      </c>
    </row>
    <row r="85" spans="1:12" x14ac:dyDescent="0.35">
      <c r="A85">
        <v>2024</v>
      </c>
      <c r="B85">
        <v>11</v>
      </c>
      <c r="C85" t="s">
        <v>74</v>
      </c>
      <c r="D85" t="s">
        <v>313</v>
      </c>
      <c r="E85" t="s">
        <v>255</v>
      </c>
      <c r="F85">
        <v>679</v>
      </c>
      <c r="G85">
        <v>362476</v>
      </c>
      <c r="H85">
        <v>348155</v>
      </c>
      <c r="I85">
        <v>297836</v>
      </c>
      <c r="J85">
        <v>575015</v>
      </c>
      <c r="K85">
        <v>325655</v>
      </c>
      <c r="L85">
        <v>399485</v>
      </c>
    </row>
    <row r="86" spans="1:12" x14ac:dyDescent="0.35">
      <c r="A86">
        <v>2024</v>
      </c>
      <c r="B86">
        <v>11</v>
      </c>
      <c r="C86" t="s">
        <v>74</v>
      </c>
      <c r="D86" t="s">
        <v>313</v>
      </c>
      <c r="E86" t="s">
        <v>257</v>
      </c>
      <c r="F86">
        <v>990</v>
      </c>
      <c r="G86">
        <v>384742</v>
      </c>
      <c r="H86">
        <v>364866</v>
      </c>
      <c r="I86">
        <v>325286</v>
      </c>
      <c r="J86">
        <v>661853</v>
      </c>
      <c r="K86">
        <v>345286</v>
      </c>
      <c r="L86">
        <v>400322</v>
      </c>
    </row>
    <row r="87" spans="1:12" x14ac:dyDescent="0.35">
      <c r="A87">
        <v>2024</v>
      </c>
      <c r="B87">
        <v>11</v>
      </c>
      <c r="C87" t="s">
        <v>74</v>
      </c>
      <c r="D87" t="s">
        <v>313</v>
      </c>
      <c r="E87" t="s">
        <v>259</v>
      </c>
      <c r="F87">
        <v>155</v>
      </c>
      <c r="G87">
        <v>575146</v>
      </c>
      <c r="H87">
        <v>583538</v>
      </c>
      <c r="I87">
        <v>399768</v>
      </c>
      <c r="J87">
        <v>692824</v>
      </c>
      <c r="K87">
        <v>505680</v>
      </c>
      <c r="L87">
        <v>625939</v>
      </c>
    </row>
    <row r="88" spans="1:12" x14ac:dyDescent="0.35">
      <c r="A88">
        <v>2024</v>
      </c>
      <c r="B88">
        <v>11</v>
      </c>
      <c r="C88" t="s">
        <v>74</v>
      </c>
      <c r="D88" t="s">
        <v>313</v>
      </c>
      <c r="E88" t="s">
        <v>261</v>
      </c>
      <c r="F88">
        <v>42</v>
      </c>
      <c r="G88">
        <v>620469</v>
      </c>
      <c r="H88">
        <v>642368</v>
      </c>
      <c r="I88">
        <v>450544</v>
      </c>
      <c r="J88">
        <v>715879</v>
      </c>
      <c r="K88">
        <v>598859</v>
      </c>
      <c r="L88">
        <v>676853</v>
      </c>
    </row>
    <row r="89" spans="1:12" x14ac:dyDescent="0.35">
      <c r="A89">
        <v>2024</v>
      </c>
      <c r="B89">
        <v>11</v>
      </c>
      <c r="C89" t="s">
        <v>74</v>
      </c>
      <c r="D89" t="s">
        <v>313</v>
      </c>
      <c r="E89" t="s">
        <v>263</v>
      </c>
      <c r="F89">
        <v>6</v>
      </c>
      <c r="G89">
        <v>702116</v>
      </c>
      <c r="H89">
        <v>706149</v>
      </c>
      <c r="I89">
        <v>630977</v>
      </c>
      <c r="J89">
        <v>740916</v>
      </c>
      <c r="K89">
        <v>692590</v>
      </c>
      <c r="L89">
        <v>735916</v>
      </c>
    </row>
    <row r="90" spans="1:12" x14ac:dyDescent="0.35">
      <c r="A90">
        <v>2024</v>
      </c>
      <c r="B90">
        <v>11</v>
      </c>
      <c r="C90" t="s">
        <v>74</v>
      </c>
      <c r="D90" t="s">
        <v>313</v>
      </c>
      <c r="E90" t="s">
        <v>265</v>
      </c>
      <c r="F90">
        <v>17</v>
      </c>
      <c r="G90">
        <v>282251</v>
      </c>
      <c r="H90">
        <v>278672</v>
      </c>
      <c r="I90">
        <v>242797</v>
      </c>
      <c r="J90">
        <v>328339</v>
      </c>
      <c r="K90">
        <v>262797</v>
      </c>
      <c r="L90">
        <v>296590</v>
      </c>
    </row>
    <row r="91" spans="1:12" x14ac:dyDescent="0.35">
      <c r="A91">
        <v>2024</v>
      </c>
      <c r="B91">
        <v>11</v>
      </c>
      <c r="C91" t="s">
        <v>74</v>
      </c>
      <c r="D91" t="s">
        <v>313</v>
      </c>
      <c r="E91" t="s">
        <v>267</v>
      </c>
      <c r="F91">
        <v>1801</v>
      </c>
      <c r="G91">
        <v>299146</v>
      </c>
      <c r="H91">
        <v>290752</v>
      </c>
      <c r="I91">
        <v>259793</v>
      </c>
      <c r="J91">
        <v>458229</v>
      </c>
      <c r="K91">
        <v>275986</v>
      </c>
      <c r="L91">
        <v>305986</v>
      </c>
    </row>
    <row r="92" spans="1:12" x14ac:dyDescent="0.35">
      <c r="A92">
        <v>2024</v>
      </c>
      <c r="B92">
        <v>11</v>
      </c>
      <c r="C92" t="s">
        <v>74</v>
      </c>
      <c r="D92" t="s">
        <v>313</v>
      </c>
      <c r="E92" t="s">
        <v>271</v>
      </c>
      <c r="F92">
        <v>5</v>
      </c>
      <c r="G92">
        <v>260157</v>
      </c>
      <c r="H92">
        <v>261590</v>
      </c>
      <c r="I92">
        <v>250716</v>
      </c>
      <c r="J92">
        <v>266590</v>
      </c>
      <c r="K92">
        <v>255297</v>
      </c>
      <c r="L92">
        <v>266590</v>
      </c>
    </row>
    <row r="93" spans="1:12" x14ac:dyDescent="0.35">
      <c r="A93">
        <v>2024</v>
      </c>
      <c r="B93">
        <v>12</v>
      </c>
      <c r="C93" t="s">
        <v>75</v>
      </c>
      <c r="D93" t="s">
        <v>313</v>
      </c>
      <c r="E93" t="s">
        <v>255</v>
      </c>
      <c r="F93">
        <v>679</v>
      </c>
      <c r="G93">
        <v>362202</v>
      </c>
      <c r="H93">
        <v>348155</v>
      </c>
      <c r="I93">
        <v>297836</v>
      </c>
      <c r="J93">
        <v>575015</v>
      </c>
      <c r="K93">
        <v>325655</v>
      </c>
      <c r="L93">
        <v>397824</v>
      </c>
    </row>
    <row r="94" spans="1:12" x14ac:dyDescent="0.35">
      <c r="A94">
        <v>2024</v>
      </c>
      <c r="B94">
        <v>12</v>
      </c>
      <c r="C94" t="s">
        <v>75</v>
      </c>
      <c r="D94" t="s">
        <v>313</v>
      </c>
      <c r="E94" t="s">
        <v>257</v>
      </c>
      <c r="F94">
        <v>990</v>
      </c>
      <c r="G94">
        <v>385045</v>
      </c>
      <c r="H94">
        <v>365421</v>
      </c>
      <c r="I94">
        <v>325286</v>
      </c>
      <c r="J94">
        <v>661853</v>
      </c>
      <c r="K94">
        <v>345286</v>
      </c>
      <c r="L94">
        <v>400322</v>
      </c>
    </row>
    <row r="95" spans="1:12" x14ac:dyDescent="0.35">
      <c r="A95">
        <v>2024</v>
      </c>
      <c r="B95">
        <v>12</v>
      </c>
      <c r="C95" t="s">
        <v>75</v>
      </c>
      <c r="D95" t="s">
        <v>313</v>
      </c>
      <c r="E95" t="s">
        <v>259</v>
      </c>
      <c r="F95">
        <v>155</v>
      </c>
      <c r="G95">
        <v>575243</v>
      </c>
      <c r="H95">
        <v>583538</v>
      </c>
      <c r="I95">
        <v>399768</v>
      </c>
      <c r="J95">
        <v>692824</v>
      </c>
      <c r="K95">
        <v>505680</v>
      </c>
      <c r="L95">
        <v>625939</v>
      </c>
    </row>
    <row r="96" spans="1:12" x14ac:dyDescent="0.35">
      <c r="A96">
        <v>2024</v>
      </c>
      <c r="B96">
        <v>12</v>
      </c>
      <c r="C96" t="s">
        <v>75</v>
      </c>
      <c r="D96" t="s">
        <v>313</v>
      </c>
      <c r="E96" t="s">
        <v>261</v>
      </c>
      <c r="F96">
        <v>42</v>
      </c>
      <c r="G96">
        <v>620290</v>
      </c>
      <c r="H96">
        <v>642368</v>
      </c>
      <c r="I96">
        <v>450544</v>
      </c>
      <c r="J96">
        <v>711851</v>
      </c>
      <c r="K96">
        <v>598859</v>
      </c>
      <c r="L96">
        <v>676853</v>
      </c>
    </row>
    <row r="97" spans="1:12" x14ac:dyDescent="0.35">
      <c r="A97">
        <v>2024</v>
      </c>
      <c r="B97">
        <v>12</v>
      </c>
      <c r="C97" t="s">
        <v>75</v>
      </c>
      <c r="D97" t="s">
        <v>313</v>
      </c>
      <c r="E97" t="s">
        <v>263</v>
      </c>
      <c r="F97">
        <v>6</v>
      </c>
      <c r="G97">
        <v>702116</v>
      </c>
      <c r="H97">
        <v>706149</v>
      </c>
      <c r="I97">
        <v>630977</v>
      </c>
      <c r="J97">
        <v>740916</v>
      </c>
      <c r="K97">
        <v>692590</v>
      </c>
      <c r="L97">
        <v>735916</v>
      </c>
    </row>
    <row r="98" spans="1:12" x14ac:dyDescent="0.35">
      <c r="A98">
        <v>2024</v>
      </c>
      <c r="B98">
        <v>12</v>
      </c>
      <c r="C98" t="s">
        <v>75</v>
      </c>
      <c r="D98" t="s">
        <v>313</v>
      </c>
      <c r="E98" t="s">
        <v>265</v>
      </c>
      <c r="F98">
        <v>15</v>
      </c>
      <c r="G98">
        <v>284506</v>
      </c>
      <c r="H98">
        <v>280297</v>
      </c>
      <c r="I98">
        <v>242797</v>
      </c>
      <c r="J98">
        <v>328339</v>
      </c>
      <c r="K98">
        <v>271959</v>
      </c>
      <c r="L98">
        <v>309780</v>
      </c>
    </row>
    <row r="99" spans="1:12" x14ac:dyDescent="0.35">
      <c r="A99">
        <v>2024</v>
      </c>
      <c r="B99">
        <v>12</v>
      </c>
      <c r="C99" t="s">
        <v>75</v>
      </c>
      <c r="D99" t="s">
        <v>313</v>
      </c>
      <c r="E99" t="s">
        <v>267</v>
      </c>
      <c r="F99">
        <v>1804</v>
      </c>
      <c r="G99">
        <v>299178</v>
      </c>
      <c r="H99">
        <v>290752</v>
      </c>
      <c r="I99">
        <v>259793</v>
      </c>
      <c r="J99">
        <v>458229</v>
      </c>
      <c r="K99">
        <v>275986</v>
      </c>
      <c r="L99">
        <v>305986</v>
      </c>
    </row>
    <row r="100" spans="1:12" x14ac:dyDescent="0.35">
      <c r="A100">
        <v>2024</v>
      </c>
      <c r="B100">
        <v>12</v>
      </c>
      <c r="C100" t="s">
        <v>75</v>
      </c>
      <c r="D100" t="s">
        <v>313</v>
      </c>
      <c r="E100" t="s">
        <v>271</v>
      </c>
      <c r="F100">
        <v>5</v>
      </c>
      <c r="G100">
        <v>260157</v>
      </c>
      <c r="H100">
        <v>261590</v>
      </c>
      <c r="I100">
        <v>250716</v>
      </c>
      <c r="J100">
        <v>266590</v>
      </c>
      <c r="K100">
        <v>255297</v>
      </c>
      <c r="L100">
        <v>266590</v>
      </c>
    </row>
    <row r="101" spans="1:12" x14ac:dyDescent="0.35">
      <c r="A101">
        <v>2025</v>
      </c>
      <c r="B101">
        <v>1</v>
      </c>
      <c r="C101" t="s">
        <v>42</v>
      </c>
      <c r="D101" t="s">
        <v>313</v>
      </c>
      <c r="E101" t="s">
        <v>255</v>
      </c>
      <c r="F101">
        <v>677</v>
      </c>
      <c r="G101">
        <v>365635</v>
      </c>
      <c r="H101">
        <v>348155</v>
      </c>
      <c r="I101">
        <v>297836</v>
      </c>
      <c r="J101">
        <v>575015</v>
      </c>
      <c r="K101">
        <v>328155</v>
      </c>
      <c r="L101">
        <v>399485</v>
      </c>
    </row>
    <row r="102" spans="1:12" x14ac:dyDescent="0.35">
      <c r="A102">
        <v>2025</v>
      </c>
      <c r="B102">
        <v>1</v>
      </c>
      <c r="C102" t="s">
        <v>42</v>
      </c>
      <c r="D102" t="s">
        <v>313</v>
      </c>
      <c r="E102" t="s">
        <v>257</v>
      </c>
      <c r="F102">
        <v>990</v>
      </c>
      <c r="G102">
        <v>387925</v>
      </c>
      <c r="H102">
        <v>365974</v>
      </c>
      <c r="I102">
        <v>325286</v>
      </c>
      <c r="J102">
        <v>660572</v>
      </c>
      <c r="K102">
        <v>349866</v>
      </c>
      <c r="L102">
        <v>403474</v>
      </c>
    </row>
    <row r="103" spans="1:12" x14ac:dyDescent="0.35">
      <c r="A103">
        <v>2025</v>
      </c>
      <c r="B103">
        <v>1</v>
      </c>
      <c r="C103" t="s">
        <v>42</v>
      </c>
      <c r="D103" t="s">
        <v>313</v>
      </c>
      <c r="E103" t="s">
        <v>259</v>
      </c>
      <c r="F103">
        <v>132</v>
      </c>
      <c r="G103">
        <v>579881</v>
      </c>
      <c r="H103">
        <v>595939</v>
      </c>
      <c r="I103">
        <v>399768</v>
      </c>
      <c r="J103">
        <v>707566</v>
      </c>
      <c r="K103">
        <v>505680</v>
      </c>
      <c r="L103">
        <v>636444</v>
      </c>
    </row>
    <row r="104" spans="1:12" x14ac:dyDescent="0.35">
      <c r="A104">
        <v>2025</v>
      </c>
      <c r="B104">
        <v>1</v>
      </c>
      <c r="C104" t="s">
        <v>42</v>
      </c>
      <c r="D104" t="s">
        <v>313</v>
      </c>
      <c r="E104" t="s">
        <v>261</v>
      </c>
      <c r="F104">
        <v>52</v>
      </c>
      <c r="G104">
        <v>633509</v>
      </c>
      <c r="H104">
        <v>642368</v>
      </c>
      <c r="I104">
        <v>476050</v>
      </c>
      <c r="J104">
        <v>729488</v>
      </c>
      <c r="K104">
        <v>598859</v>
      </c>
      <c r="L104">
        <v>670064</v>
      </c>
    </row>
    <row r="105" spans="1:12" x14ac:dyDescent="0.35">
      <c r="A105">
        <v>2025</v>
      </c>
      <c r="B105">
        <v>1</v>
      </c>
      <c r="C105" t="s">
        <v>42</v>
      </c>
      <c r="D105" t="s">
        <v>313</v>
      </c>
      <c r="E105" t="s">
        <v>263</v>
      </c>
      <c r="F105">
        <v>5</v>
      </c>
      <c r="G105">
        <v>703216</v>
      </c>
      <c r="H105">
        <v>706149</v>
      </c>
      <c r="I105">
        <v>630977</v>
      </c>
      <c r="J105">
        <v>780217</v>
      </c>
      <c r="K105">
        <v>692590</v>
      </c>
      <c r="L105">
        <v>706149</v>
      </c>
    </row>
    <row r="106" spans="1:12" x14ac:dyDescent="0.35">
      <c r="A106">
        <v>2025</v>
      </c>
      <c r="B106">
        <v>1</v>
      </c>
      <c r="C106" t="s">
        <v>42</v>
      </c>
      <c r="D106" t="s">
        <v>313</v>
      </c>
      <c r="E106" t="s">
        <v>265</v>
      </c>
      <c r="F106">
        <v>12</v>
      </c>
      <c r="G106">
        <v>279725</v>
      </c>
      <c r="H106">
        <v>277194</v>
      </c>
      <c r="I106">
        <v>242797</v>
      </c>
      <c r="J106">
        <v>328339</v>
      </c>
      <c r="K106">
        <v>262797</v>
      </c>
      <c r="L106">
        <v>296590</v>
      </c>
    </row>
    <row r="107" spans="1:12" x14ac:dyDescent="0.35">
      <c r="A107">
        <v>2025</v>
      </c>
      <c r="B107">
        <v>1</v>
      </c>
      <c r="C107" t="s">
        <v>42</v>
      </c>
      <c r="D107" t="s">
        <v>313</v>
      </c>
      <c r="E107" t="s">
        <v>267</v>
      </c>
      <c r="F107">
        <v>1804</v>
      </c>
      <c r="G107">
        <v>299954</v>
      </c>
      <c r="H107">
        <v>290752</v>
      </c>
      <c r="I107">
        <v>259793</v>
      </c>
      <c r="J107">
        <v>458229</v>
      </c>
      <c r="K107">
        <v>275986</v>
      </c>
      <c r="L107">
        <v>309086</v>
      </c>
    </row>
    <row r="108" spans="1:12" x14ac:dyDescent="0.35">
      <c r="A108">
        <v>2025</v>
      </c>
      <c r="B108">
        <v>1</v>
      </c>
      <c r="C108" t="s">
        <v>42</v>
      </c>
      <c r="D108" t="s">
        <v>313</v>
      </c>
      <c r="E108" t="s">
        <v>271</v>
      </c>
      <c r="F108">
        <v>5</v>
      </c>
      <c r="G108">
        <v>262962</v>
      </c>
      <c r="H108">
        <v>264745</v>
      </c>
      <c r="I108">
        <v>255297</v>
      </c>
      <c r="J108">
        <v>266590</v>
      </c>
      <c r="K108">
        <v>261590</v>
      </c>
      <c r="L108">
        <v>266590</v>
      </c>
    </row>
    <row r="109" spans="1:12" x14ac:dyDescent="0.35">
      <c r="A109">
        <v>2025</v>
      </c>
      <c r="B109">
        <v>2</v>
      </c>
      <c r="C109" t="s">
        <v>63</v>
      </c>
      <c r="D109" t="s">
        <v>313</v>
      </c>
      <c r="E109" t="s">
        <v>255</v>
      </c>
      <c r="F109">
        <v>685</v>
      </c>
      <c r="G109">
        <v>367194</v>
      </c>
      <c r="H109">
        <v>348155</v>
      </c>
      <c r="I109">
        <v>297836</v>
      </c>
      <c r="J109">
        <v>590345</v>
      </c>
      <c r="K109">
        <v>328573</v>
      </c>
      <c r="L109">
        <v>400322</v>
      </c>
    </row>
    <row r="110" spans="1:12" x14ac:dyDescent="0.35">
      <c r="A110">
        <v>2025</v>
      </c>
      <c r="B110">
        <v>2</v>
      </c>
      <c r="C110" t="s">
        <v>63</v>
      </c>
      <c r="D110" t="s">
        <v>313</v>
      </c>
      <c r="E110" t="s">
        <v>257</v>
      </c>
      <c r="F110">
        <v>1006</v>
      </c>
      <c r="G110">
        <v>389840</v>
      </c>
      <c r="H110">
        <v>365974</v>
      </c>
      <c r="I110">
        <v>325286</v>
      </c>
      <c r="J110">
        <v>670954</v>
      </c>
      <c r="K110">
        <v>349866</v>
      </c>
      <c r="L110">
        <v>407822</v>
      </c>
    </row>
    <row r="111" spans="1:12" x14ac:dyDescent="0.35">
      <c r="A111">
        <v>2025</v>
      </c>
      <c r="B111">
        <v>2</v>
      </c>
      <c r="C111" t="s">
        <v>63</v>
      </c>
      <c r="D111" t="s">
        <v>313</v>
      </c>
      <c r="E111" t="s">
        <v>259</v>
      </c>
      <c r="F111">
        <v>113</v>
      </c>
      <c r="G111">
        <v>579990</v>
      </c>
      <c r="H111">
        <v>590939</v>
      </c>
      <c r="I111">
        <v>430274</v>
      </c>
      <c r="J111">
        <v>713402</v>
      </c>
      <c r="K111">
        <v>505680</v>
      </c>
      <c r="L111">
        <v>633439</v>
      </c>
    </row>
    <row r="112" spans="1:12" x14ac:dyDescent="0.35">
      <c r="A112">
        <v>2025</v>
      </c>
      <c r="B112">
        <v>2</v>
      </c>
      <c r="C112" t="s">
        <v>63</v>
      </c>
      <c r="D112" t="s">
        <v>313</v>
      </c>
      <c r="E112" t="s">
        <v>261</v>
      </c>
      <c r="F112">
        <v>70</v>
      </c>
      <c r="G112">
        <v>630674</v>
      </c>
      <c r="H112">
        <v>654353</v>
      </c>
      <c r="I112">
        <v>450544</v>
      </c>
      <c r="J112">
        <v>723836</v>
      </c>
      <c r="K112">
        <v>598986</v>
      </c>
      <c r="L112">
        <v>670064</v>
      </c>
    </row>
    <row r="113" spans="1:12" x14ac:dyDescent="0.35">
      <c r="A113">
        <v>2025</v>
      </c>
      <c r="B113">
        <v>2</v>
      </c>
      <c r="C113" t="s">
        <v>63</v>
      </c>
      <c r="D113" t="s">
        <v>313</v>
      </c>
      <c r="E113" t="s">
        <v>263</v>
      </c>
      <c r="F113">
        <v>8</v>
      </c>
      <c r="G113">
        <v>714830</v>
      </c>
      <c r="H113">
        <v>706870</v>
      </c>
      <c r="I113">
        <v>630977</v>
      </c>
      <c r="J113">
        <v>779645</v>
      </c>
      <c r="K113">
        <v>706149</v>
      </c>
      <c r="L113">
        <v>735916</v>
      </c>
    </row>
    <row r="114" spans="1:12" x14ac:dyDescent="0.35">
      <c r="A114">
        <v>2025</v>
      </c>
      <c r="B114">
        <v>2</v>
      </c>
      <c r="C114" t="s">
        <v>63</v>
      </c>
      <c r="D114" t="s">
        <v>313</v>
      </c>
      <c r="E114" t="s">
        <v>265</v>
      </c>
      <c r="F114">
        <v>12</v>
      </c>
      <c r="G114">
        <v>279758</v>
      </c>
      <c r="H114">
        <v>282516</v>
      </c>
      <c r="I114">
        <v>242797</v>
      </c>
      <c r="J114">
        <v>328339</v>
      </c>
      <c r="K114">
        <v>262797</v>
      </c>
      <c r="L114">
        <v>296590</v>
      </c>
    </row>
    <row r="115" spans="1:12" x14ac:dyDescent="0.35">
      <c r="A115">
        <v>2025</v>
      </c>
      <c r="B115">
        <v>2</v>
      </c>
      <c r="C115" t="s">
        <v>63</v>
      </c>
      <c r="D115" t="s">
        <v>313</v>
      </c>
      <c r="E115" t="s">
        <v>267</v>
      </c>
      <c r="F115">
        <v>1887</v>
      </c>
      <c r="G115">
        <v>299279</v>
      </c>
      <c r="H115">
        <v>290752</v>
      </c>
      <c r="I115">
        <v>259793</v>
      </c>
      <c r="J115">
        <v>458229</v>
      </c>
      <c r="K115">
        <v>275986</v>
      </c>
      <c r="L115">
        <v>305986</v>
      </c>
    </row>
    <row r="116" spans="1:12" x14ac:dyDescent="0.35">
      <c r="A116">
        <v>2025</v>
      </c>
      <c r="B116">
        <v>2</v>
      </c>
      <c r="C116" t="s">
        <v>63</v>
      </c>
      <c r="D116" t="s">
        <v>313</v>
      </c>
      <c r="E116" t="s">
        <v>271</v>
      </c>
      <c r="F116">
        <v>5</v>
      </c>
      <c r="G116">
        <v>262573</v>
      </c>
      <c r="H116">
        <v>262797</v>
      </c>
      <c r="I116">
        <v>255297</v>
      </c>
      <c r="J116">
        <v>266590</v>
      </c>
      <c r="K116">
        <v>261590</v>
      </c>
      <c r="L116">
        <v>266590</v>
      </c>
    </row>
    <row r="117" spans="1:12" x14ac:dyDescent="0.35">
      <c r="A117">
        <v>2025</v>
      </c>
      <c r="B117">
        <v>3</v>
      </c>
      <c r="C117" t="s">
        <v>66</v>
      </c>
      <c r="D117" t="s">
        <v>313</v>
      </c>
      <c r="E117" t="s">
        <v>255</v>
      </c>
      <c r="F117">
        <v>687</v>
      </c>
      <c r="G117">
        <v>367600</v>
      </c>
      <c r="H117">
        <v>352981</v>
      </c>
      <c r="I117">
        <v>297836</v>
      </c>
      <c r="J117">
        <v>584196</v>
      </c>
      <c r="K117">
        <v>328573</v>
      </c>
      <c r="L117">
        <v>403135</v>
      </c>
    </row>
    <row r="118" spans="1:12" x14ac:dyDescent="0.35">
      <c r="A118">
        <v>2025</v>
      </c>
      <c r="B118">
        <v>3</v>
      </c>
      <c r="C118" t="s">
        <v>66</v>
      </c>
      <c r="D118" t="s">
        <v>313</v>
      </c>
      <c r="E118" t="s">
        <v>257</v>
      </c>
      <c r="F118">
        <v>1018</v>
      </c>
      <c r="G118">
        <v>390070</v>
      </c>
      <c r="H118">
        <v>365974</v>
      </c>
      <c r="I118">
        <v>325286</v>
      </c>
      <c r="J118">
        <v>652455</v>
      </c>
      <c r="K118">
        <v>349866</v>
      </c>
      <c r="L118">
        <v>408335</v>
      </c>
    </row>
    <row r="119" spans="1:12" x14ac:dyDescent="0.35">
      <c r="A119">
        <v>2025</v>
      </c>
      <c r="B119">
        <v>3</v>
      </c>
      <c r="C119" t="s">
        <v>66</v>
      </c>
      <c r="D119" t="s">
        <v>313</v>
      </c>
      <c r="E119" t="s">
        <v>259</v>
      </c>
      <c r="F119">
        <v>110</v>
      </c>
      <c r="G119">
        <v>577008</v>
      </c>
      <c r="H119">
        <v>583538</v>
      </c>
      <c r="I119">
        <v>425274</v>
      </c>
      <c r="J119">
        <v>697640</v>
      </c>
      <c r="K119">
        <v>520680</v>
      </c>
      <c r="L119">
        <v>621444</v>
      </c>
    </row>
    <row r="120" spans="1:12" x14ac:dyDescent="0.35">
      <c r="A120">
        <v>2025</v>
      </c>
      <c r="B120">
        <v>3</v>
      </c>
      <c r="C120" t="s">
        <v>66</v>
      </c>
      <c r="D120" t="s">
        <v>313</v>
      </c>
      <c r="E120" t="s">
        <v>261</v>
      </c>
      <c r="F120">
        <v>74</v>
      </c>
      <c r="G120">
        <v>629920</v>
      </c>
      <c r="H120">
        <v>643550</v>
      </c>
      <c r="I120">
        <v>450544</v>
      </c>
      <c r="J120">
        <v>719351</v>
      </c>
      <c r="K120">
        <v>606359</v>
      </c>
      <c r="L120">
        <v>664376</v>
      </c>
    </row>
    <row r="121" spans="1:12" x14ac:dyDescent="0.35">
      <c r="A121">
        <v>2025</v>
      </c>
      <c r="B121">
        <v>3</v>
      </c>
      <c r="C121" t="s">
        <v>66</v>
      </c>
      <c r="D121" t="s">
        <v>313</v>
      </c>
      <c r="E121" t="s">
        <v>263</v>
      </c>
      <c r="F121">
        <v>9</v>
      </c>
      <c r="G121">
        <v>686196</v>
      </c>
      <c r="H121">
        <v>692592</v>
      </c>
      <c r="I121">
        <v>630977</v>
      </c>
      <c r="J121">
        <v>735916</v>
      </c>
      <c r="K121">
        <v>672590</v>
      </c>
      <c r="L121">
        <v>706149</v>
      </c>
    </row>
    <row r="122" spans="1:12" x14ac:dyDescent="0.35">
      <c r="A122">
        <v>2025</v>
      </c>
      <c r="B122">
        <v>3</v>
      </c>
      <c r="C122" t="s">
        <v>66</v>
      </c>
      <c r="D122" t="s">
        <v>313</v>
      </c>
      <c r="E122" t="s">
        <v>265</v>
      </c>
      <c r="F122">
        <v>12</v>
      </c>
      <c r="G122">
        <v>280427</v>
      </c>
      <c r="H122">
        <v>279484</v>
      </c>
      <c r="I122">
        <v>242797</v>
      </c>
      <c r="J122">
        <v>328339</v>
      </c>
      <c r="K122">
        <v>262797</v>
      </c>
      <c r="L122">
        <v>296590</v>
      </c>
    </row>
    <row r="123" spans="1:12" x14ac:dyDescent="0.35">
      <c r="A123">
        <v>2025</v>
      </c>
      <c r="B123">
        <v>3</v>
      </c>
      <c r="C123" t="s">
        <v>66</v>
      </c>
      <c r="D123" t="s">
        <v>313</v>
      </c>
      <c r="E123" t="s">
        <v>267</v>
      </c>
      <c r="F123">
        <v>1979</v>
      </c>
      <c r="G123">
        <v>298563</v>
      </c>
      <c r="H123">
        <v>290752</v>
      </c>
      <c r="I123">
        <v>259793</v>
      </c>
      <c r="J123">
        <v>458229</v>
      </c>
      <c r="K123">
        <v>275986</v>
      </c>
      <c r="L123">
        <v>308019</v>
      </c>
    </row>
    <row r="124" spans="1:12" x14ac:dyDescent="0.35">
      <c r="A124">
        <v>2025</v>
      </c>
      <c r="B124">
        <v>3</v>
      </c>
      <c r="C124" t="s">
        <v>66</v>
      </c>
      <c r="D124" t="s">
        <v>313</v>
      </c>
      <c r="E124" t="s">
        <v>271</v>
      </c>
      <c r="F124">
        <v>5</v>
      </c>
      <c r="G124">
        <v>262573</v>
      </c>
      <c r="H124">
        <v>262797</v>
      </c>
      <c r="I124">
        <v>255297</v>
      </c>
      <c r="J124">
        <v>266590</v>
      </c>
      <c r="K124">
        <v>261590</v>
      </c>
      <c r="L124">
        <v>266590</v>
      </c>
    </row>
    <row r="125" spans="1:12" x14ac:dyDescent="0.35">
      <c r="A125">
        <v>2025</v>
      </c>
      <c r="B125">
        <v>4</v>
      </c>
      <c r="C125" t="s">
        <v>67</v>
      </c>
      <c r="D125" t="s">
        <v>313</v>
      </c>
      <c r="E125" t="s">
        <v>255</v>
      </c>
      <c r="F125">
        <v>685</v>
      </c>
      <c r="G125">
        <v>367269</v>
      </c>
      <c r="H125">
        <v>348155</v>
      </c>
      <c r="I125">
        <v>297836</v>
      </c>
      <c r="J125">
        <v>590345</v>
      </c>
      <c r="K125">
        <v>328573</v>
      </c>
      <c r="L125">
        <v>400322</v>
      </c>
    </row>
    <row r="126" spans="1:12" x14ac:dyDescent="0.35">
      <c r="A126">
        <v>2025</v>
      </c>
      <c r="B126">
        <v>4</v>
      </c>
      <c r="C126" t="s">
        <v>67</v>
      </c>
      <c r="D126" t="s">
        <v>313</v>
      </c>
      <c r="E126" t="s">
        <v>257</v>
      </c>
      <c r="F126">
        <v>1006</v>
      </c>
      <c r="G126">
        <v>389840</v>
      </c>
      <c r="H126">
        <v>365974</v>
      </c>
      <c r="I126">
        <v>325286</v>
      </c>
      <c r="J126">
        <v>670954</v>
      </c>
      <c r="K126">
        <v>349866</v>
      </c>
      <c r="L126">
        <v>407822</v>
      </c>
    </row>
    <row r="127" spans="1:12" x14ac:dyDescent="0.35">
      <c r="A127">
        <v>2025</v>
      </c>
      <c r="B127">
        <v>4</v>
      </c>
      <c r="C127" t="s">
        <v>67</v>
      </c>
      <c r="D127" t="s">
        <v>313</v>
      </c>
      <c r="E127" t="s">
        <v>259</v>
      </c>
      <c r="F127">
        <v>113</v>
      </c>
      <c r="G127">
        <v>581012</v>
      </c>
      <c r="H127">
        <v>591038</v>
      </c>
      <c r="I127">
        <v>430274</v>
      </c>
      <c r="J127">
        <v>713402</v>
      </c>
      <c r="K127">
        <v>505680</v>
      </c>
      <c r="L127">
        <v>637689</v>
      </c>
    </row>
    <row r="128" spans="1:12" x14ac:dyDescent="0.35">
      <c r="A128">
        <v>2025</v>
      </c>
      <c r="B128">
        <v>4</v>
      </c>
      <c r="C128" t="s">
        <v>67</v>
      </c>
      <c r="D128" t="s">
        <v>313</v>
      </c>
      <c r="E128" t="s">
        <v>261</v>
      </c>
      <c r="F128">
        <v>70</v>
      </c>
      <c r="G128">
        <v>630674</v>
      </c>
      <c r="H128">
        <v>654353</v>
      </c>
      <c r="I128">
        <v>450544</v>
      </c>
      <c r="J128">
        <v>723836</v>
      </c>
      <c r="K128">
        <v>598986</v>
      </c>
      <c r="L128">
        <v>670064</v>
      </c>
    </row>
    <row r="129" spans="1:12" x14ac:dyDescent="0.35">
      <c r="A129">
        <v>2025</v>
      </c>
      <c r="B129">
        <v>4</v>
      </c>
      <c r="C129" t="s">
        <v>67</v>
      </c>
      <c r="D129" t="s">
        <v>313</v>
      </c>
      <c r="E129" t="s">
        <v>263</v>
      </c>
      <c r="F129">
        <v>8</v>
      </c>
      <c r="G129">
        <v>714830</v>
      </c>
      <c r="H129">
        <v>706870</v>
      </c>
      <c r="I129">
        <v>630977</v>
      </c>
      <c r="J129">
        <v>779645</v>
      </c>
      <c r="K129">
        <v>706149</v>
      </c>
      <c r="L129">
        <v>735916</v>
      </c>
    </row>
    <row r="130" spans="1:12" x14ac:dyDescent="0.35">
      <c r="A130">
        <v>2025</v>
      </c>
      <c r="B130">
        <v>4</v>
      </c>
      <c r="C130" t="s">
        <v>67</v>
      </c>
      <c r="D130" t="s">
        <v>313</v>
      </c>
      <c r="E130" t="s">
        <v>265</v>
      </c>
      <c r="F130">
        <v>12</v>
      </c>
      <c r="G130">
        <v>279758</v>
      </c>
      <c r="H130">
        <v>282516</v>
      </c>
      <c r="I130">
        <v>242797</v>
      </c>
      <c r="J130">
        <v>328339</v>
      </c>
      <c r="K130">
        <v>262797</v>
      </c>
      <c r="L130">
        <v>296590</v>
      </c>
    </row>
    <row r="131" spans="1:12" x14ac:dyDescent="0.35">
      <c r="A131">
        <v>2025</v>
      </c>
      <c r="B131">
        <v>4</v>
      </c>
      <c r="C131" t="s">
        <v>67</v>
      </c>
      <c r="D131" t="s">
        <v>313</v>
      </c>
      <c r="E131" t="s">
        <v>267</v>
      </c>
      <c r="F131">
        <v>1887</v>
      </c>
      <c r="G131">
        <v>299279</v>
      </c>
      <c r="H131">
        <v>290752</v>
      </c>
      <c r="I131">
        <v>259793</v>
      </c>
      <c r="J131">
        <v>458229</v>
      </c>
      <c r="K131">
        <v>275986</v>
      </c>
      <c r="L131">
        <v>305986</v>
      </c>
    </row>
    <row r="132" spans="1:12" x14ac:dyDescent="0.35">
      <c r="A132">
        <v>2025</v>
      </c>
      <c r="B132">
        <v>4</v>
      </c>
      <c r="C132" t="s">
        <v>67</v>
      </c>
      <c r="D132" t="s">
        <v>313</v>
      </c>
      <c r="E132" t="s">
        <v>271</v>
      </c>
      <c r="F132">
        <v>5</v>
      </c>
      <c r="G132">
        <v>262573</v>
      </c>
      <c r="H132">
        <v>262797</v>
      </c>
      <c r="I132">
        <v>255297</v>
      </c>
      <c r="J132">
        <v>266590</v>
      </c>
      <c r="K132">
        <v>261590</v>
      </c>
      <c r="L132">
        <v>266590</v>
      </c>
    </row>
    <row r="133" spans="1:12" x14ac:dyDescent="0.35">
      <c r="A133">
        <v>2025</v>
      </c>
      <c r="B133">
        <v>5</v>
      </c>
      <c r="C133" t="s">
        <v>68</v>
      </c>
      <c r="D133" t="s">
        <v>313</v>
      </c>
      <c r="E133" t="s">
        <v>255</v>
      </c>
      <c r="F133">
        <v>694</v>
      </c>
      <c r="G133">
        <v>368408</v>
      </c>
      <c r="H133">
        <v>353290</v>
      </c>
      <c r="I133">
        <v>297836</v>
      </c>
      <c r="J133">
        <v>583070</v>
      </c>
      <c r="K133">
        <v>328573</v>
      </c>
      <c r="L133">
        <v>405322</v>
      </c>
    </row>
    <row r="134" spans="1:12" x14ac:dyDescent="0.35">
      <c r="A134">
        <v>2025</v>
      </c>
      <c r="B134">
        <v>5</v>
      </c>
      <c r="C134" t="s">
        <v>68</v>
      </c>
      <c r="D134" t="s">
        <v>313</v>
      </c>
      <c r="E134" t="s">
        <v>257</v>
      </c>
      <c r="F134">
        <v>1042</v>
      </c>
      <c r="G134">
        <v>389898</v>
      </c>
      <c r="H134">
        <v>365974</v>
      </c>
      <c r="I134">
        <v>325286</v>
      </c>
      <c r="J134">
        <v>652455</v>
      </c>
      <c r="K134">
        <v>349866</v>
      </c>
      <c r="L134">
        <v>407822</v>
      </c>
    </row>
    <row r="135" spans="1:12" x14ac:dyDescent="0.35">
      <c r="A135">
        <v>2025</v>
      </c>
      <c r="B135">
        <v>5</v>
      </c>
      <c r="C135" t="s">
        <v>68</v>
      </c>
      <c r="D135" t="s">
        <v>313</v>
      </c>
      <c r="E135" t="s">
        <v>259</v>
      </c>
      <c r="F135">
        <v>106</v>
      </c>
      <c r="G135">
        <v>575941</v>
      </c>
      <c r="H135">
        <v>573240</v>
      </c>
      <c r="I135">
        <v>425274</v>
      </c>
      <c r="J135">
        <v>697640</v>
      </c>
      <c r="K135">
        <v>525582</v>
      </c>
      <c r="L135">
        <v>621444</v>
      </c>
    </row>
    <row r="136" spans="1:12" x14ac:dyDescent="0.35">
      <c r="A136">
        <v>2025</v>
      </c>
      <c r="B136">
        <v>5</v>
      </c>
      <c r="C136" t="s">
        <v>68</v>
      </c>
      <c r="D136" t="s">
        <v>313</v>
      </c>
      <c r="E136" t="s">
        <v>261</v>
      </c>
      <c r="F136">
        <v>82</v>
      </c>
      <c r="G136">
        <v>635671</v>
      </c>
      <c r="H136">
        <v>650480</v>
      </c>
      <c r="I136">
        <v>450544</v>
      </c>
      <c r="J136">
        <v>719351</v>
      </c>
      <c r="K136">
        <v>629733</v>
      </c>
      <c r="L136">
        <v>664081</v>
      </c>
    </row>
    <row r="137" spans="1:12" x14ac:dyDescent="0.35">
      <c r="A137">
        <v>2025</v>
      </c>
      <c r="B137">
        <v>5</v>
      </c>
      <c r="C137" t="s">
        <v>68</v>
      </c>
      <c r="D137" t="s">
        <v>313</v>
      </c>
      <c r="E137" t="s">
        <v>263</v>
      </c>
      <c r="F137">
        <v>10</v>
      </c>
      <c r="G137">
        <v>681448</v>
      </c>
      <c r="H137">
        <v>692591</v>
      </c>
      <c r="I137">
        <v>630977</v>
      </c>
      <c r="J137">
        <v>735916</v>
      </c>
      <c r="K137">
        <v>638711</v>
      </c>
      <c r="L137">
        <v>706149</v>
      </c>
    </row>
    <row r="138" spans="1:12" x14ac:dyDescent="0.35">
      <c r="A138">
        <v>2025</v>
      </c>
      <c r="B138">
        <v>5</v>
      </c>
      <c r="C138" t="s">
        <v>68</v>
      </c>
      <c r="D138" t="s">
        <v>313</v>
      </c>
      <c r="E138" t="s">
        <v>265</v>
      </c>
      <c r="F138">
        <v>12</v>
      </c>
      <c r="G138">
        <v>279924</v>
      </c>
      <c r="H138">
        <v>279484</v>
      </c>
      <c r="I138">
        <v>242797</v>
      </c>
      <c r="J138">
        <v>328339</v>
      </c>
      <c r="K138">
        <v>262797</v>
      </c>
      <c r="L138">
        <v>296590</v>
      </c>
    </row>
    <row r="139" spans="1:12" x14ac:dyDescent="0.35">
      <c r="A139">
        <v>2025</v>
      </c>
      <c r="B139">
        <v>5</v>
      </c>
      <c r="C139" t="s">
        <v>68</v>
      </c>
      <c r="D139" t="s">
        <v>313</v>
      </c>
      <c r="E139" t="s">
        <v>267</v>
      </c>
      <c r="F139">
        <v>2056</v>
      </c>
      <c r="G139">
        <v>298635</v>
      </c>
      <c r="H139">
        <v>290752</v>
      </c>
      <c r="I139">
        <v>259793</v>
      </c>
      <c r="J139">
        <v>458229</v>
      </c>
      <c r="K139">
        <v>275986</v>
      </c>
      <c r="L139">
        <v>308942</v>
      </c>
    </row>
    <row r="140" spans="1:12" x14ac:dyDescent="0.35">
      <c r="A140">
        <v>2025</v>
      </c>
      <c r="B140">
        <v>5</v>
      </c>
      <c r="C140" t="s">
        <v>68</v>
      </c>
      <c r="D140" t="s">
        <v>313</v>
      </c>
      <c r="E140" t="s">
        <v>271</v>
      </c>
      <c r="F140">
        <v>5</v>
      </c>
      <c r="G140">
        <v>262573</v>
      </c>
      <c r="H140">
        <v>262797</v>
      </c>
      <c r="I140">
        <v>255297</v>
      </c>
      <c r="J140">
        <v>266590</v>
      </c>
      <c r="K140">
        <v>261590</v>
      </c>
      <c r="L140">
        <v>266590</v>
      </c>
    </row>
    <row r="141" spans="1:12" x14ac:dyDescent="0.35">
      <c r="A141">
        <v>2025</v>
      </c>
      <c r="B141">
        <v>6</v>
      </c>
      <c r="C141" t="s">
        <v>69</v>
      </c>
      <c r="D141" t="s">
        <v>313</v>
      </c>
      <c r="E141" t="s">
        <v>255</v>
      </c>
      <c r="F141">
        <v>698</v>
      </c>
      <c r="G141">
        <v>368697</v>
      </c>
      <c r="H141">
        <v>353290</v>
      </c>
      <c r="I141">
        <v>297836</v>
      </c>
      <c r="J141">
        <v>583070</v>
      </c>
      <c r="K141">
        <v>328573</v>
      </c>
      <c r="L141">
        <v>401985</v>
      </c>
    </row>
    <row r="142" spans="1:12" x14ac:dyDescent="0.35">
      <c r="A142">
        <v>2025</v>
      </c>
      <c r="B142">
        <v>6</v>
      </c>
      <c r="C142" t="s">
        <v>69</v>
      </c>
      <c r="D142" t="s">
        <v>313</v>
      </c>
      <c r="E142" t="s">
        <v>257</v>
      </c>
      <c r="F142">
        <v>1043</v>
      </c>
      <c r="G142">
        <v>389902</v>
      </c>
      <c r="H142">
        <v>368474</v>
      </c>
      <c r="I142">
        <v>325286</v>
      </c>
      <c r="J142">
        <v>652455</v>
      </c>
      <c r="K142">
        <v>349866</v>
      </c>
      <c r="L142">
        <v>407822</v>
      </c>
    </row>
    <row r="143" spans="1:12" x14ac:dyDescent="0.35">
      <c r="A143">
        <v>2025</v>
      </c>
      <c r="B143">
        <v>6</v>
      </c>
      <c r="C143" t="s">
        <v>69</v>
      </c>
      <c r="D143" t="s">
        <v>313</v>
      </c>
      <c r="E143" t="s">
        <v>259</v>
      </c>
      <c r="F143">
        <v>106</v>
      </c>
      <c r="G143">
        <v>568566</v>
      </c>
      <c r="H143">
        <v>548082</v>
      </c>
      <c r="I143">
        <v>425274</v>
      </c>
      <c r="J143">
        <v>697640</v>
      </c>
      <c r="K143">
        <v>518082</v>
      </c>
      <c r="L143">
        <v>621444</v>
      </c>
    </row>
    <row r="144" spans="1:12" x14ac:dyDescent="0.35">
      <c r="A144">
        <v>2025</v>
      </c>
      <c r="B144">
        <v>6</v>
      </c>
      <c r="C144" t="s">
        <v>69</v>
      </c>
      <c r="D144" t="s">
        <v>313</v>
      </c>
      <c r="E144" t="s">
        <v>261</v>
      </c>
      <c r="F144">
        <v>87</v>
      </c>
      <c r="G144">
        <v>633874</v>
      </c>
      <c r="H144">
        <v>642368</v>
      </c>
      <c r="I144">
        <v>450544</v>
      </c>
      <c r="J144">
        <v>721449</v>
      </c>
      <c r="K144">
        <v>617233</v>
      </c>
      <c r="L144">
        <v>661716</v>
      </c>
    </row>
    <row r="145" spans="1:12" x14ac:dyDescent="0.35">
      <c r="A145">
        <v>2025</v>
      </c>
      <c r="B145">
        <v>6</v>
      </c>
      <c r="C145" t="s">
        <v>69</v>
      </c>
      <c r="D145" t="s">
        <v>313</v>
      </c>
      <c r="E145" t="s">
        <v>263</v>
      </c>
      <c r="F145">
        <v>10</v>
      </c>
      <c r="G145">
        <v>684466</v>
      </c>
      <c r="H145">
        <v>699370</v>
      </c>
      <c r="I145">
        <v>630977</v>
      </c>
      <c r="J145">
        <v>735916</v>
      </c>
      <c r="K145">
        <v>638711</v>
      </c>
      <c r="L145">
        <v>707590</v>
      </c>
    </row>
    <row r="146" spans="1:12" x14ac:dyDescent="0.35">
      <c r="A146">
        <v>2025</v>
      </c>
      <c r="B146">
        <v>6</v>
      </c>
      <c r="C146" t="s">
        <v>69</v>
      </c>
      <c r="D146" t="s">
        <v>313</v>
      </c>
      <c r="E146" t="s">
        <v>265</v>
      </c>
      <c r="F146">
        <v>12</v>
      </c>
      <c r="G146">
        <v>280465</v>
      </c>
      <c r="H146">
        <v>279484</v>
      </c>
      <c r="I146">
        <v>247243</v>
      </c>
      <c r="J146">
        <v>328339</v>
      </c>
      <c r="K146">
        <v>262797</v>
      </c>
      <c r="L146">
        <v>296590</v>
      </c>
    </row>
    <row r="147" spans="1:12" x14ac:dyDescent="0.35">
      <c r="A147">
        <v>2025</v>
      </c>
      <c r="B147">
        <v>6</v>
      </c>
      <c r="C147" t="s">
        <v>69</v>
      </c>
      <c r="D147" t="s">
        <v>313</v>
      </c>
      <c r="E147" t="s">
        <v>267</v>
      </c>
      <c r="F147">
        <v>2062</v>
      </c>
      <c r="G147">
        <v>299124</v>
      </c>
      <c r="H147">
        <v>290752</v>
      </c>
      <c r="I147">
        <v>259793</v>
      </c>
      <c r="J147">
        <v>458229</v>
      </c>
      <c r="K147">
        <v>275986</v>
      </c>
      <c r="L147">
        <v>310752</v>
      </c>
    </row>
    <row r="148" spans="1:12" x14ac:dyDescent="0.35">
      <c r="A148">
        <v>2025</v>
      </c>
      <c r="B148">
        <v>6</v>
      </c>
      <c r="C148" t="s">
        <v>69</v>
      </c>
      <c r="D148" t="s">
        <v>313</v>
      </c>
      <c r="E148" t="s">
        <v>271</v>
      </c>
      <c r="F148">
        <v>5</v>
      </c>
      <c r="G148">
        <v>262573</v>
      </c>
      <c r="H148">
        <v>262797</v>
      </c>
      <c r="I148">
        <v>255297</v>
      </c>
      <c r="J148">
        <v>266590</v>
      </c>
      <c r="K148">
        <v>261590</v>
      </c>
      <c r="L148">
        <v>266590</v>
      </c>
    </row>
    <row r="149" spans="1:12" x14ac:dyDescent="0.35">
      <c r="A149">
        <v>2025</v>
      </c>
      <c r="B149">
        <v>7</v>
      </c>
      <c r="C149" t="s">
        <v>70</v>
      </c>
      <c r="D149" t="s">
        <v>313</v>
      </c>
      <c r="E149" t="s">
        <v>255</v>
      </c>
      <c r="F149">
        <v>701</v>
      </c>
      <c r="G149">
        <v>369853</v>
      </c>
      <c r="H149">
        <v>353290</v>
      </c>
      <c r="I149">
        <v>297836</v>
      </c>
      <c r="J149">
        <v>583070</v>
      </c>
      <c r="K149">
        <v>328573</v>
      </c>
      <c r="L149">
        <v>406985</v>
      </c>
    </row>
    <row r="150" spans="1:12" x14ac:dyDescent="0.35">
      <c r="A150">
        <v>2025</v>
      </c>
      <c r="B150">
        <v>7</v>
      </c>
      <c r="C150" t="s">
        <v>70</v>
      </c>
      <c r="D150" t="s">
        <v>313</v>
      </c>
      <c r="E150" t="s">
        <v>257</v>
      </c>
      <c r="F150">
        <v>1043</v>
      </c>
      <c r="G150">
        <v>391184</v>
      </c>
      <c r="H150">
        <v>372366</v>
      </c>
      <c r="I150">
        <v>325286</v>
      </c>
      <c r="J150">
        <v>652455</v>
      </c>
      <c r="K150">
        <v>349866</v>
      </c>
      <c r="L150">
        <v>407822</v>
      </c>
    </row>
    <row r="151" spans="1:12" x14ac:dyDescent="0.35">
      <c r="A151">
        <v>2025</v>
      </c>
      <c r="B151">
        <v>7</v>
      </c>
      <c r="C151" t="s">
        <v>70</v>
      </c>
      <c r="D151" t="s">
        <v>313</v>
      </c>
      <c r="E151" t="s">
        <v>259</v>
      </c>
      <c r="F151">
        <v>109</v>
      </c>
      <c r="G151">
        <v>568668</v>
      </c>
      <c r="H151">
        <v>548082</v>
      </c>
      <c r="I151">
        <v>425274</v>
      </c>
      <c r="J151">
        <v>702009</v>
      </c>
      <c r="K151">
        <v>533082</v>
      </c>
      <c r="L151">
        <v>618439</v>
      </c>
    </row>
    <row r="152" spans="1:12" x14ac:dyDescent="0.35">
      <c r="A152">
        <v>2025</v>
      </c>
      <c r="B152">
        <v>7</v>
      </c>
      <c r="C152" t="s">
        <v>70</v>
      </c>
      <c r="D152" t="s">
        <v>313</v>
      </c>
      <c r="E152" t="s">
        <v>261</v>
      </c>
      <c r="F152">
        <v>88</v>
      </c>
      <c r="G152">
        <v>633647</v>
      </c>
      <c r="H152">
        <v>643550</v>
      </c>
      <c r="I152">
        <v>450544</v>
      </c>
      <c r="J152">
        <v>719351</v>
      </c>
      <c r="K152">
        <v>617233</v>
      </c>
      <c r="L152">
        <v>661716</v>
      </c>
    </row>
    <row r="153" spans="1:12" x14ac:dyDescent="0.35">
      <c r="A153">
        <v>2025</v>
      </c>
      <c r="B153">
        <v>7</v>
      </c>
      <c r="C153" t="s">
        <v>70</v>
      </c>
      <c r="D153" t="s">
        <v>313</v>
      </c>
      <c r="E153" t="s">
        <v>263</v>
      </c>
      <c r="F153">
        <v>7</v>
      </c>
      <c r="G153">
        <v>683756</v>
      </c>
      <c r="H153">
        <v>692592</v>
      </c>
      <c r="I153">
        <v>630977</v>
      </c>
      <c r="J153">
        <v>735916</v>
      </c>
      <c r="K153">
        <v>672590</v>
      </c>
      <c r="L153">
        <v>715411</v>
      </c>
    </row>
    <row r="154" spans="1:12" x14ac:dyDescent="0.35">
      <c r="A154">
        <v>2025</v>
      </c>
      <c r="B154">
        <v>7</v>
      </c>
      <c r="C154" t="s">
        <v>70</v>
      </c>
      <c r="D154" t="s">
        <v>313</v>
      </c>
      <c r="E154" t="s">
        <v>265</v>
      </c>
      <c r="F154">
        <v>12</v>
      </c>
      <c r="G154">
        <v>280259</v>
      </c>
      <c r="H154">
        <v>279484</v>
      </c>
      <c r="I154">
        <v>246824</v>
      </c>
      <c r="J154">
        <v>328339</v>
      </c>
      <c r="K154">
        <v>262797</v>
      </c>
      <c r="L154">
        <v>296590</v>
      </c>
    </row>
    <row r="155" spans="1:12" x14ac:dyDescent="0.35">
      <c r="A155">
        <v>2025</v>
      </c>
      <c r="B155">
        <v>7</v>
      </c>
      <c r="C155" t="s">
        <v>70</v>
      </c>
      <c r="D155" t="s">
        <v>313</v>
      </c>
      <c r="E155" t="s">
        <v>267</v>
      </c>
      <c r="F155">
        <v>2073</v>
      </c>
      <c r="G155">
        <v>299687</v>
      </c>
      <c r="H155">
        <v>290986</v>
      </c>
      <c r="I155">
        <v>259793</v>
      </c>
      <c r="J155">
        <v>458229</v>
      </c>
      <c r="K155">
        <v>275986</v>
      </c>
      <c r="L155">
        <v>313019</v>
      </c>
    </row>
    <row r="156" spans="1:12" x14ac:dyDescent="0.35">
      <c r="A156">
        <v>2025</v>
      </c>
      <c r="B156">
        <v>7</v>
      </c>
      <c r="C156" t="s">
        <v>70</v>
      </c>
      <c r="D156" t="s">
        <v>313</v>
      </c>
      <c r="E156" t="s">
        <v>271</v>
      </c>
      <c r="F156">
        <v>5</v>
      </c>
      <c r="G156">
        <v>262573</v>
      </c>
      <c r="H156">
        <v>262797</v>
      </c>
      <c r="I156">
        <v>255297</v>
      </c>
      <c r="J156">
        <v>266590</v>
      </c>
      <c r="K156">
        <v>261590</v>
      </c>
      <c r="L156">
        <v>266590</v>
      </c>
    </row>
    <row r="157" spans="1:12" x14ac:dyDescent="0.35">
      <c r="A157">
        <v>2025</v>
      </c>
      <c r="B157">
        <v>8</v>
      </c>
      <c r="C157" t="s">
        <v>71</v>
      </c>
      <c r="D157" t="s">
        <v>313</v>
      </c>
      <c r="E157" t="s">
        <v>255</v>
      </c>
      <c r="F157">
        <v>707</v>
      </c>
      <c r="G157">
        <v>371084</v>
      </c>
      <c r="H157">
        <v>353290</v>
      </c>
      <c r="I157">
        <v>297836</v>
      </c>
      <c r="J157">
        <v>583070</v>
      </c>
      <c r="K157">
        <v>331073</v>
      </c>
      <c r="L157">
        <v>406985</v>
      </c>
    </row>
    <row r="158" spans="1:12" x14ac:dyDescent="0.35">
      <c r="A158">
        <v>2025</v>
      </c>
      <c r="B158">
        <v>8</v>
      </c>
      <c r="C158" t="s">
        <v>71</v>
      </c>
      <c r="D158" t="s">
        <v>313</v>
      </c>
      <c r="E158" t="s">
        <v>257</v>
      </c>
      <c r="F158">
        <v>1047</v>
      </c>
      <c r="G158">
        <v>390611</v>
      </c>
      <c r="H158">
        <v>372366</v>
      </c>
      <c r="I158">
        <v>325286</v>
      </c>
      <c r="J158">
        <v>652455</v>
      </c>
      <c r="K158">
        <v>352366</v>
      </c>
      <c r="L158">
        <v>407822</v>
      </c>
    </row>
    <row r="159" spans="1:12" x14ac:dyDescent="0.35">
      <c r="A159">
        <v>2025</v>
      </c>
      <c r="B159">
        <v>8</v>
      </c>
      <c r="C159" t="s">
        <v>71</v>
      </c>
      <c r="D159" t="s">
        <v>313</v>
      </c>
      <c r="E159" t="s">
        <v>259</v>
      </c>
      <c r="F159">
        <v>108</v>
      </c>
      <c r="G159">
        <v>569743</v>
      </c>
      <c r="H159">
        <v>548082</v>
      </c>
      <c r="I159">
        <v>425274</v>
      </c>
      <c r="J159">
        <v>697640</v>
      </c>
      <c r="K159">
        <v>533082</v>
      </c>
      <c r="L159">
        <v>621444</v>
      </c>
    </row>
    <row r="160" spans="1:12" x14ac:dyDescent="0.35">
      <c r="A160">
        <v>2025</v>
      </c>
      <c r="B160">
        <v>8</v>
      </c>
      <c r="C160" t="s">
        <v>71</v>
      </c>
      <c r="D160" t="s">
        <v>313</v>
      </c>
      <c r="E160" t="s">
        <v>261</v>
      </c>
      <c r="F160">
        <v>89</v>
      </c>
      <c r="G160">
        <v>635214</v>
      </c>
      <c r="H160">
        <v>644868</v>
      </c>
      <c r="I160">
        <v>450544</v>
      </c>
      <c r="J160">
        <v>719351</v>
      </c>
      <c r="K160">
        <v>629733</v>
      </c>
      <c r="L160">
        <v>661716</v>
      </c>
    </row>
    <row r="161" spans="1:12" x14ac:dyDescent="0.35">
      <c r="A161">
        <v>2025</v>
      </c>
      <c r="B161">
        <v>8</v>
      </c>
      <c r="C161" t="s">
        <v>71</v>
      </c>
      <c r="D161" t="s">
        <v>313</v>
      </c>
      <c r="E161" t="s">
        <v>263</v>
      </c>
      <c r="F161">
        <v>10</v>
      </c>
      <c r="G161">
        <v>683730</v>
      </c>
      <c r="H161">
        <v>699370</v>
      </c>
      <c r="I161">
        <v>630977</v>
      </c>
      <c r="J161">
        <v>735916</v>
      </c>
      <c r="K161">
        <v>638711</v>
      </c>
      <c r="L161">
        <v>707590</v>
      </c>
    </row>
    <row r="162" spans="1:12" x14ac:dyDescent="0.35">
      <c r="A162">
        <v>2025</v>
      </c>
      <c r="B162">
        <v>8</v>
      </c>
      <c r="C162" t="s">
        <v>71</v>
      </c>
      <c r="D162" t="s">
        <v>313</v>
      </c>
      <c r="E162" t="s">
        <v>265</v>
      </c>
      <c r="F162">
        <v>12</v>
      </c>
      <c r="G162">
        <v>280259</v>
      </c>
      <c r="H162">
        <v>279484</v>
      </c>
      <c r="I162">
        <v>246824</v>
      </c>
      <c r="J162">
        <v>328339</v>
      </c>
      <c r="K162">
        <v>262797</v>
      </c>
      <c r="L162">
        <v>296590</v>
      </c>
    </row>
    <row r="163" spans="1:12" x14ac:dyDescent="0.35">
      <c r="A163">
        <v>2025</v>
      </c>
      <c r="B163">
        <v>8</v>
      </c>
      <c r="C163" t="s">
        <v>71</v>
      </c>
      <c r="D163" t="s">
        <v>313</v>
      </c>
      <c r="E163" t="s">
        <v>267</v>
      </c>
      <c r="F163">
        <v>2074</v>
      </c>
      <c r="G163">
        <v>300173</v>
      </c>
      <c r="H163">
        <v>290986</v>
      </c>
      <c r="I163">
        <v>259793</v>
      </c>
      <c r="J163">
        <v>458229</v>
      </c>
      <c r="K163">
        <v>275986</v>
      </c>
      <c r="L163">
        <v>313019</v>
      </c>
    </row>
    <row r="164" spans="1:12" x14ac:dyDescent="0.35">
      <c r="A164">
        <v>2025</v>
      </c>
      <c r="B164">
        <v>8</v>
      </c>
      <c r="C164" t="s">
        <v>71</v>
      </c>
      <c r="D164" t="s">
        <v>313</v>
      </c>
      <c r="E164" t="s">
        <v>271</v>
      </c>
      <c r="F164">
        <v>5</v>
      </c>
      <c r="G164">
        <v>262573</v>
      </c>
      <c r="H164">
        <v>262797</v>
      </c>
      <c r="I164">
        <v>255297</v>
      </c>
      <c r="J164">
        <v>266590</v>
      </c>
      <c r="K164">
        <v>261590</v>
      </c>
      <c r="L164">
        <v>266590</v>
      </c>
    </row>
    <row r="165" spans="1:12" x14ac:dyDescent="0.35">
      <c r="A165">
        <v>2025</v>
      </c>
      <c r="B165">
        <v>9</v>
      </c>
      <c r="C165" t="s">
        <v>72</v>
      </c>
      <c r="D165" t="s">
        <v>313</v>
      </c>
      <c r="E165" t="s">
        <v>255</v>
      </c>
      <c r="F165">
        <v>713</v>
      </c>
      <c r="G165">
        <v>370888</v>
      </c>
      <c r="H165">
        <v>353290</v>
      </c>
      <c r="I165">
        <v>297836</v>
      </c>
      <c r="J165">
        <v>583070</v>
      </c>
      <c r="K165">
        <v>333155</v>
      </c>
      <c r="L165">
        <v>406985</v>
      </c>
    </row>
    <row r="166" spans="1:12" x14ac:dyDescent="0.35">
      <c r="A166">
        <v>2025</v>
      </c>
      <c r="B166">
        <v>9</v>
      </c>
      <c r="C166" t="s">
        <v>72</v>
      </c>
      <c r="D166" t="s">
        <v>313</v>
      </c>
      <c r="E166" t="s">
        <v>257</v>
      </c>
      <c r="F166">
        <v>1047</v>
      </c>
      <c r="G166">
        <v>390985</v>
      </c>
      <c r="H166">
        <v>372366</v>
      </c>
      <c r="I166">
        <v>325286</v>
      </c>
      <c r="J166">
        <v>652455</v>
      </c>
      <c r="K166">
        <v>352366</v>
      </c>
      <c r="L166">
        <v>407822</v>
      </c>
    </row>
    <row r="167" spans="1:12" x14ac:dyDescent="0.35">
      <c r="A167">
        <v>2025</v>
      </c>
      <c r="B167">
        <v>9</v>
      </c>
      <c r="C167" t="s">
        <v>72</v>
      </c>
      <c r="D167" t="s">
        <v>313</v>
      </c>
      <c r="E167" t="s">
        <v>259</v>
      </c>
      <c r="F167">
        <v>105</v>
      </c>
      <c r="G167">
        <v>567694</v>
      </c>
      <c r="H167">
        <v>548082</v>
      </c>
      <c r="I167">
        <v>425274</v>
      </c>
      <c r="J167">
        <v>687689</v>
      </c>
      <c r="K167">
        <v>533082</v>
      </c>
      <c r="L167">
        <v>618439</v>
      </c>
    </row>
    <row r="168" spans="1:12" x14ac:dyDescent="0.35">
      <c r="A168">
        <v>2025</v>
      </c>
      <c r="B168">
        <v>9</v>
      </c>
      <c r="C168" t="s">
        <v>72</v>
      </c>
      <c r="D168" t="s">
        <v>313</v>
      </c>
      <c r="E168" t="s">
        <v>261</v>
      </c>
      <c r="F168">
        <v>91</v>
      </c>
      <c r="G168">
        <v>637049</v>
      </c>
      <c r="H168">
        <v>649081</v>
      </c>
      <c r="I168">
        <v>465544</v>
      </c>
      <c r="J168">
        <v>719351</v>
      </c>
      <c r="K168">
        <v>629733</v>
      </c>
      <c r="L168">
        <v>664081</v>
      </c>
    </row>
    <row r="169" spans="1:12" x14ac:dyDescent="0.35">
      <c r="A169">
        <v>2025</v>
      </c>
      <c r="B169">
        <v>9</v>
      </c>
      <c r="C169" t="s">
        <v>72</v>
      </c>
      <c r="D169" t="s">
        <v>313</v>
      </c>
      <c r="E169" t="s">
        <v>263</v>
      </c>
      <c r="F169">
        <v>11</v>
      </c>
      <c r="G169">
        <v>683227</v>
      </c>
      <c r="H169">
        <v>692592</v>
      </c>
      <c r="I169">
        <v>630977</v>
      </c>
      <c r="J169">
        <v>735916</v>
      </c>
      <c r="K169">
        <v>672590</v>
      </c>
      <c r="L169">
        <v>707590</v>
      </c>
    </row>
    <row r="170" spans="1:12" x14ac:dyDescent="0.35">
      <c r="A170">
        <v>2025</v>
      </c>
      <c r="B170">
        <v>9</v>
      </c>
      <c r="C170" t="s">
        <v>72</v>
      </c>
      <c r="D170" t="s">
        <v>313</v>
      </c>
      <c r="E170" t="s">
        <v>265</v>
      </c>
      <c r="F170">
        <v>12</v>
      </c>
      <c r="G170">
        <v>280606</v>
      </c>
      <c r="H170">
        <v>281563</v>
      </c>
      <c r="I170">
        <v>246824</v>
      </c>
      <c r="J170">
        <v>328339</v>
      </c>
      <c r="K170">
        <v>262797</v>
      </c>
      <c r="L170">
        <v>296590</v>
      </c>
    </row>
    <row r="171" spans="1:12" x14ac:dyDescent="0.35">
      <c r="A171">
        <v>2025</v>
      </c>
      <c r="B171">
        <v>9</v>
      </c>
      <c r="C171" t="s">
        <v>72</v>
      </c>
      <c r="D171" t="s">
        <v>313</v>
      </c>
      <c r="E171" t="s">
        <v>267</v>
      </c>
      <c r="F171">
        <v>2085</v>
      </c>
      <c r="G171">
        <v>299945</v>
      </c>
      <c r="H171">
        <v>290986</v>
      </c>
      <c r="I171">
        <v>260064</v>
      </c>
      <c r="J171">
        <v>458229</v>
      </c>
      <c r="K171">
        <v>275986</v>
      </c>
      <c r="L171">
        <v>313019</v>
      </c>
    </row>
    <row r="172" spans="1:12" x14ac:dyDescent="0.35">
      <c r="A172">
        <v>2025</v>
      </c>
      <c r="B172">
        <v>9</v>
      </c>
      <c r="C172" t="s">
        <v>72</v>
      </c>
      <c r="D172" t="s">
        <v>313</v>
      </c>
      <c r="E172" t="s">
        <v>271</v>
      </c>
      <c r="F172">
        <v>5</v>
      </c>
      <c r="G172">
        <v>262573</v>
      </c>
      <c r="H172">
        <v>262797</v>
      </c>
      <c r="I172">
        <v>255297</v>
      </c>
      <c r="J172">
        <v>266590</v>
      </c>
      <c r="K172">
        <v>261590</v>
      </c>
      <c r="L172">
        <v>266590</v>
      </c>
    </row>
    <row r="173" spans="1:12" x14ac:dyDescent="0.35">
      <c r="A173">
        <v>2025</v>
      </c>
      <c r="B173">
        <v>10</v>
      </c>
      <c r="C173" t="s">
        <v>73</v>
      </c>
      <c r="D173" t="s">
        <v>313</v>
      </c>
      <c r="E173" t="s">
        <v>255</v>
      </c>
      <c r="F173">
        <v>713</v>
      </c>
      <c r="G173">
        <v>370360</v>
      </c>
      <c r="H173">
        <v>353290</v>
      </c>
      <c r="I173">
        <v>297836</v>
      </c>
      <c r="J173">
        <v>583070</v>
      </c>
      <c r="K173">
        <v>333155</v>
      </c>
      <c r="L173">
        <v>406985</v>
      </c>
    </row>
    <row r="174" spans="1:12" x14ac:dyDescent="0.35">
      <c r="A174">
        <v>2025</v>
      </c>
      <c r="B174">
        <v>10</v>
      </c>
      <c r="C174" t="s">
        <v>73</v>
      </c>
      <c r="D174" t="s">
        <v>313</v>
      </c>
      <c r="E174" t="s">
        <v>257</v>
      </c>
      <c r="F174">
        <v>1047</v>
      </c>
      <c r="G174">
        <v>391412</v>
      </c>
      <c r="H174">
        <v>373474</v>
      </c>
      <c r="I174">
        <v>325286</v>
      </c>
      <c r="J174">
        <v>652455</v>
      </c>
      <c r="K174">
        <v>352366</v>
      </c>
      <c r="L174">
        <v>407822</v>
      </c>
    </row>
    <row r="175" spans="1:12" x14ac:dyDescent="0.35">
      <c r="A175">
        <v>2025</v>
      </c>
      <c r="B175">
        <v>10</v>
      </c>
      <c r="C175" t="s">
        <v>73</v>
      </c>
      <c r="D175" t="s">
        <v>313</v>
      </c>
      <c r="E175" t="s">
        <v>259</v>
      </c>
      <c r="F175">
        <v>105</v>
      </c>
      <c r="G175">
        <v>567488</v>
      </c>
      <c r="H175">
        <v>548082</v>
      </c>
      <c r="I175">
        <v>425274</v>
      </c>
      <c r="J175">
        <v>687689</v>
      </c>
      <c r="K175">
        <v>533082</v>
      </c>
      <c r="L175">
        <v>621444</v>
      </c>
    </row>
    <row r="176" spans="1:12" x14ac:dyDescent="0.35">
      <c r="A176">
        <v>2025</v>
      </c>
      <c r="B176">
        <v>10</v>
      </c>
      <c r="C176" t="s">
        <v>73</v>
      </c>
      <c r="D176" t="s">
        <v>313</v>
      </c>
      <c r="E176" t="s">
        <v>261</v>
      </c>
      <c r="F176">
        <v>92</v>
      </c>
      <c r="G176">
        <v>636859</v>
      </c>
      <c r="H176">
        <v>646974</v>
      </c>
      <c r="I176">
        <v>465544</v>
      </c>
      <c r="J176">
        <v>719351</v>
      </c>
      <c r="K176">
        <v>629733</v>
      </c>
      <c r="L176">
        <v>661716</v>
      </c>
    </row>
    <row r="177" spans="1:12" x14ac:dyDescent="0.35">
      <c r="A177">
        <v>2025</v>
      </c>
      <c r="B177">
        <v>10</v>
      </c>
      <c r="C177" t="s">
        <v>73</v>
      </c>
      <c r="D177" t="s">
        <v>313</v>
      </c>
      <c r="E177" t="s">
        <v>263</v>
      </c>
      <c r="F177">
        <v>11</v>
      </c>
      <c r="G177">
        <v>683227</v>
      </c>
      <c r="H177">
        <v>692592</v>
      </c>
      <c r="I177">
        <v>630977</v>
      </c>
      <c r="J177">
        <v>735916</v>
      </c>
      <c r="K177">
        <v>672590</v>
      </c>
      <c r="L177">
        <v>707590</v>
      </c>
    </row>
    <row r="178" spans="1:12" x14ac:dyDescent="0.35">
      <c r="A178">
        <v>2025</v>
      </c>
      <c r="B178">
        <v>10</v>
      </c>
      <c r="C178" t="s">
        <v>73</v>
      </c>
      <c r="D178" t="s">
        <v>313</v>
      </c>
      <c r="E178" t="s">
        <v>265</v>
      </c>
      <c r="F178">
        <v>12</v>
      </c>
      <c r="G178">
        <v>280595</v>
      </c>
      <c r="H178">
        <v>281498</v>
      </c>
      <c r="I178">
        <v>246824</v>
      </c>
      <c r="J178">
        <v>328339</v>
      </c>
      <c r="K178">
        <v>262797</v>
      </c>
      <c r="L178">
        <v>296590</v>
      </c>
    </row>
    <row r="179" spans="1:12" x14ac:dyDescent="0.35">
      <c r="A179">
        <v>2025</v>
      </c>
      <c r="B179">
        <v>10</v>
      </c>
      <c r="C179" t="s">
        <v>73</v>
      </c>
      <c r="D179" t="s">
        <v>313</v>
      </c>
      <c r="E179" t="s">
        <v>267</v>
      </c>
      <c r="F179">
        <v>2100</v>
      </c>
      <c r="G179">
        <v>300003</v>
      </c>
      <c r="H179">
        <v>290986</v>
      </c>
      <c r="I179">
        <v>260064</v>
      </c>
      <c r="J179">
        <v>458463</v>
      </c>
      <c r="K179">
        <v>275986</v>
      </c>
      <c r="L179">
        <v>313019</v>
      </c>
    </row>
    <row r="180" spans="1:12" x14ac:dyDescent="0.35">
      <c r="A180">
        <v>2025</v>
      </c>
      <c r="B180">
        <v>10</v>
      </c>
      <c r="C180" t="s">
        <v>73</v>
      </c>
      <c r="D180" t="s">
        <v>313</v>
      </c>
      <c r="E180" t="s">
        <v>271</v>
      </c>
      <c r="F180">
        <v>5</v>
      </c>
      <c r="G180">
        <v>262573</v>
      </c>
      <c r="H180">
        <v>262797</v>
      </c>
      <c r="I180">
        <v>255297</v>
      </c>
      <c r="J180">
        <v>266590</v>
      </c>
      <c r="K180">
        <v>261590</v>
      </c>
      <c r="L180">
        <v>266590</v>
      </c>
    </row>
    <row r="181" spans="1:12" x14ac:dyDescent="0.35">
      <c r="A181">
        <v>2025</v>
      </c>
      <c r="B181">
        <v>11</v>
      </c>
      <c r="C181" t="s">
        <v>74</v>
      </c>
      <c r="D181" t="s">
        <v>313</v>
      </c>
      <c r="E181" t="s">
        <v>255</v>
      </c>
      <c r="F181">
        <v>716</v>
      </c>
      <c r="G181">
        <v>369943</v>
      </c>
      <c r="H181">
        <v>353290</v>
      </c>
      <c r="I181">
        <v>297836</v>
      </c>
      <c r="J181">
        <v>583070</v>
      </c>
      <c r="K181">
        <v>332836</v>
      </c>
      <c r="L181">
        <v>406985</v>
      </c>
    </row>
    <row r="182" spans="1:12" x14ac:dyDescent="0.35">
      <c r="A182">
        <v>2025</v>
      </c>
      <c r="B182">
        <v>11</v>
      </c>
      <c r="C182" t="s">
        <v>74</v>
      </c>
      <c r="D182" t="s">
        <v>313</v>
      </c>
      <c r="E182" t="s">
        <v>257</v>
      </c>
      <c r="F182">
        <v>1046</v>
      </c>
      <c r="G182">
        <v>391367</v>
      </c>
      <c r="H182">
        <v>373474</v>
      </c>
      <c r="I182">
        <v>325286</v>
      </c>
      <c r="J182">
        <v>652455</v>
      </c>
      <c r="K182">
        <v>352366</v>
      </c>
      <c r="L182">
        <v>407822</v>
      </c>
    </row>
    <row r="183" spans="1:12" x14ac:dyDescent="0.35">
      <c r="A183">
        <v>2025</v>
      </c>
      <c r="B183">
        <v>11</v>
      </c>
      <c r="C183" t="s">
        <v>74</v>
      </c>
      <c r="D183" t="s">
        <v>313</v>
      </c>
      <c r="E183" t="s">
        <v>259</v>
      </c>
      <c r="F183">
        <v>105</v>
      </c>
      <c r="G183">
        <v>567750</v>
      </c>
      <c r="H183">
        <v>548082</v>
      </c>
      <c r="I183">
        <v>425274</v>
      </c>
      <c r="J183">
        <v>687689</v>
      </c>
      <c r="K183">
        <v>533082</v>
      </c>
      <c r="L183">
        <v>621444</v>
      </c>
    </row>
    <row r="184" spans="1:12" x14ac:dyDescent="0.35">
      <c r="A184">
        <v>2025</v>
      </c>
      <c r="B184">
        <v>11</v>
      </c>
      <c r="C184" t="s">
        <v>74</v>
      </c>
      <c r="D184" t="s">
        <v>313</v>
      </c>
      <c r="E184" t="s">
        <v>261</v>
      </c>
      <c r="F184">
        <v>93</v>
      </c>
      <c r="G184">
        <v>636659</v>
      </c>
      <c r="H184">
        <v>644868</v>
      </c>
      <c r="I184">
        <v>465544</v>
      </c>
      <c r="J184">
        <v>719351</v>
      </c>
      <c r="K184">
        <v>629733</v>
      </c>
      <c r="L184">
        <v>661851</v>
      </c>
    </row>
    <row r="185" spans="1:12" x14ac:dyDescent="0.35">
      <c r="A185">
        <v>2025</v>
      </c>
      <c r="B185">
        <v>11</v>
      </c>
      <c r="C185" t="s">
        <v>74</v>
      </c>
      <c r="D185" t="s">
        <v>313</v>
      </c>
      <c r="E185" t="s">
        <v>263</v>
      </c>
      <c r="F185">
        <v>11</v>
      </c>
      <c r="G185">
        <v>683227</v>
      </c>
      <c r="H185">
        <v>692592</v>
      </c>
      <c r="I185">
        <v>630977</v>
      </c>
      <c r="J185">
        <v>735916</v>
      </c>
      <c r="K185">
        <v>672590</v>
      </c>
      <c r="L185">
        <v>707590</v>
      </c>
    </row>
    <row r="186" spans="1:12" x14ac:dyDescent="0.35">
      <c r="A186">
        <v>2025</v>
      </c>
      <c r="B186">
        <v>11</v>
      </c>
      <c r="C186" t="s">
        <v>74</v>
      </c>
      <c r="D186" t="s">
        <v>313</v>
      </c>
      <c r="E186" t="s">
        <v>265</v>
      </c>
      <c r="F186">
        <v>12</v>
      </c>
      <c r="G186">
        <v>280595</v>
      </c>
      <c r="H186">
        <v>281498</v>
      </c>
      <c r="I186">
        <v>246824</v>
      </c>
      <c r="J186">
        <v>328339</v>
      </c>
      <c r="K186">
        <v>262797</v>
      </c>
      <c r="L186">
        <v>296590</v>
      </c>
    </row>
    <row r="187" spans="1:12" x14ac:dyDescent="0.35">
      <c r="A187">
        <v>2025</v>
      </c>
      <c r="B187">
        <v>11</v>
      </c>
      <c r="C187" t="s">
        <v>74</v>
      </c>
      <c r="D187" t="s">
        <v>313</v>
      </c>
      <c r="E187" t="s">
        <v>267</v>
      </c>
      <c r="F187">
        <v>2100</v>
      </c>
      <c r="G187">
        <v>300144</v>
      </c>
      <c r="H187">
        <v>290986</v>
      </c>
      <c r="I187">
        <v>260064</v>
      </c>
      <c r="J187">
        <v>458463</v>
      </c>
      <c r="K187">
        <v>275986</v>
      </c>
      <c r="L187">
        <v>313019</v>
      </c>
    </row>
    <row r="188" spans="1:12" x14ac:dyDescent="0.35">
      <c r="A188">
        <v>2025</v>
      </c>
      <c r="B188">
        <v>11</v>
      </c>
      <c r="C188" t="s">
        <v>74</v>
      </c>
      <c r="D188" t="s">
        <v>313</v>
      </c>
      <c r="E188" t="s">
        <v>271</v>
      </c>
      <c r="F188">
        <v>5</v>
      </c>
      <c r="G188">
        <v>263716</v>
      </c>
      <c r="H188">
        <v>262797</v>
      </c>
      <c r="I188">
        <v>261013</v>
      </c>
      <c r="J188">
        <v>266590</v>
      </c>
      <c r="K188">
        <v>261590</v>
      </c>
      <c r="L188">
        <v>266590</v>
      </c>
    </row>
    <row r="189" spans="1:12" x14ac:dyDescent="0.35">
      <c r="A189">
        <v>2025</v>
      </c>
      <c r="B189">
        <v>12</v>
      </c>
      <c r="C189" t="s">
        <v>75</v>
      </c>
      <c r="D189" t="s">
        <v>313</v>
      </c>
      <c r="E189" t="s">
        <v>255</v>
      </c>
      <c r="F189">
        <v>715</v>
      </c>
      <c r="G189">
        <v>370184</v>
      </c>
      <c r="H189">
        <v>353290</v>
      </c>
      <c r="I189">
        <v>297836</v>
      </c>
      <c r="J189">
        <v>583070</v>
      </c>
      <c r="K189">
        <v>333155</v>
      </c>
      <c r="L189">
        <v>406985</v>
      </c>
    </row>
    <row r="190" spans="1:12" x14ac:dyDescent="0.35">
      <c r="A190">
        <v>2025</v>
      </c>
      <c r="B190">
        <v>12</v>
      </c>
      <c r="C190" t="s">
        <v>75</v>
      </c>
      <c r="D190" t="s">
        <v>313</v>
      </c>
      <c r="E190" t="s">
        <v>257</v>
      </c>
      <c r="F190">
        <v>1047</v>
      </c>
      <c r="G190">
        <v>391798</v>
      </c>
      <c r="H190">
        <v>373474</v>
      </c>
      <c r="I190">
        <v>325286</v>
      </c>
      <c r="J190">
        <v>652455</v>
      </c>
      <c r="K190">
        <v>352786</v>
      </c>
      <c r="L190">
        <v>407822</v>
      </c>
    </row>
    <row r="191" spans="1:12" x14ac:dyDescent="0.35">
      <c r="A191">
        <v>2025</v>
      </c>
      <c r="B191">
        <v>12</v>
      </c>
      <c r="C191" t="s">
        <v>75</v>
      </c>
      <c r="D191" t="s">
        <v>313</v>
      </c>
      <c r="E191" t="s">
        <v>259</v>
      </c>
      <c r="F191">
        <v>102</v>
      </c>
      <c r="G191">
        <v>567029</v>
      </c>
      <c r="H191">
        <v>548082</v>
      </c>
      <c r="I191">
        <v>425274</v>
      </c>
      <c r="J191">
        <v>687689</v>
      </c>
      <c r="K191">
        <v>533082</v>
      </c>
      <c r="L191">
        <v>618439</v>
      </c>
    </row>
    <row r="192" spans="1:12" x14ac:dyDescent="0.35">
      <c r="A192">
        <v>2025</v>
      </c>
      <c r="B192">
        <v>12</v>
      </c>
      <c r="C192" t="s">
        <v>75</v>
      </c>
      <c r="D192" t="s">
        <v>313</v>
      </c>
      <c r="E192" t="s">
        <v>261</v>
      </c>
      <c r="F192">
        <v>96</v>
      </c>
      <c r="G192">
        <v>637151</v>
      </c>
      <c r="H192">
        <v>644800</v>
      </c>
      <c r="I192">
        <v>465544</v>
      </c>
      <c r="J192">
        <v>719351</v>
      </c>
      <c r="K192">
        <v>629733</v>
      </c>
      <c r="L192">
        <v>661716</v>
      </c>
    </row>
    <row r="193" spans="1:12" x14ac:dyDescent="0.35">
      <c r="A193">
        <v>2025</v>
      </c>
      <c r="B193">
        <v>12</v>
      </c>
      <c r="C193" t="s">
        <v>75</v>
      </c>
      <c r="D193" t="s">
        <v>313</v>
      </c>
      <c r="E193" t="s">
        <v>263</v>
      </c>
      <c r="F193">
        <v>11</v>
      </c>
      <c r="G193">
        <v>684081</v>
      </c>
      <c r="H193">
        <v>692592</v>
      </c>
      <c r="I193">
        <v>630977</v>
      </c>
      <c r="J193">
        <v>735916</v>
      </c>
      <c r="K193">
        <v>672590</v>
      </c>
      <c r="L193">
        <v>707590</v>
      </c>
    </row>
    <row r="194" spans="1:12" x14ac:dyDescent="0.35">
      <c r="A194">
        <v>2025</v>
      </c>
      <c r="B194">
        <v>12</v>
      </c>
      <c r="C194" t="s">
        <v>75</v>
      </c>
      <c r="D194" t="s">
        <v>313</v>
      </c>
      <c r="E194" t="s">
        <v>265</v>
      </c>
      <c r="F194">
        <v>12</v>
      </c>
      <c r="G194">
        <v>280595</v>
      </c>
      <c r="H194">
        <v>281498</v>
      </c>
      <c r="I194">
        <v>246824</v>
      </c>
      <c r="J194">
        <v>328339</v>
      </c>
      <c r="K194">
        <v>262797</v>
      </c>
      <c r="L194">
        <v>296590</v>
      </c>
    </row>
    <row r="195" spans="1:12" x14ac:dyDescent="0.35">
      <c r="A195">
        <v>2025</v>
      </c>
      <c r="B195">
        <v>12</v>
      </c>
      <c r="C195" t="s">
        <v>75</v>
      </c>
      <c r="D195" t="s">
        <v>313</v>
      </c>
      <c r="E195" t="s">
        <v>267</v>
      </c>
      <c r="F195">
        <v>2103</v>
      </c>
      <c r="G195">
        <v>300263</v>
      </c>
      <c r="H195">
        <v>290986</v>
      </c>
      <c r="I195">
        <v>260064</v>
      </c>
      <c r="J195">
        <v>458463</v>
      </c>
      <c r="K195">
        <v>275986</v>
      </c>
      <c r="L195">
        <v>313019</v>
      </c>
    </row>
    <row r="196" spans="1:12" x14ac:dyDescent="0.35">
      <c r="A196">
        <v>2025</v>
      </c>
      <c r="B196">
        <v>12</v>
      </c>
      <c r="C196" t="s">
        <v>75</v>
      </c>
      <c r="D196" t="s">
        <v>313</v>
      </c>
      <c r="E196" t="s">
        <v>271</v>
      </c>
      <c r="F196">
        <v>5</v>
      </c>
      <c r="G196">
        <v>263378</v>
      </c>
      <c r="H196">
        <v>262797</v>
      </c>
      <c r="I196">
        <v>259324</v>
      </c>
      <c r="J196">
        <v>266590</v>
      </c>
      <c r="K196">
        <v>261590</v>
      </c>
      <c r="L196">
        <v>266590</v>
      </c>
    </row>
  </sheetData>
  <mergeCells count="1">
    <mergeCell ref="A1:L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2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315</v>
      </c>
      <c r="E5" t="s">
        <v>263</v>
      </c>
      <c r="F5">
        <v>620</v>
      </c>
      <c r="G5">
        <v>1015387</v>
      </c>
      <c r="H5">
        <v>1044725</v>
      </c>
      <c r="I5">
        <v>690287</v>
      </c>
      <c r="J5">
        <v>1278458</v>
      </c>
      <c r="K5">
        <v>920118</v>
      </c>
      <c r="L5">
        <v>1124208</v>
      </c>
    </row>
    <row r="6" spans="1:12" x14ac:dyDescent="0.35">
      <c r="A6">
        <v>2024</v>
      </c>
      <c r="B6">
        <v>2</v>
      </c>
      <c r="C6" t="s">
        <v>63</v>
      </c>
      <c r="D6" t="s">
        <v>315</v>
      </c>
      <c r="E6" t="s">
        <v>263</v>
      </c>
      <c r="F6">
        <v>648</v>
      </c>
      <c r="G6">
        <v>999315</v>
      </c>
      <c r="H6">
        <v>1040655</v>
      </c>
      <c r="I6">
        <v>690287</v>
      </c>
      <c r="J6">
        <v>1278458</v>
      </c>
      <c r="K6">
        <v>871977</v>
      </c>
      <c r="L6">
        <v>1116708</v>
      </c>
    </row>
    <row r="7" spans="1:12" x14ac:dyDescent="0.35">
      <c r="A7">
        <v>2024</v>
      </c>
      <c r="B7">
        <v>3</v>
      </c>
      <c r="C7" t="s">
        <v>66</v>
      </c>
      <c r="D7" t="s">
        <v>315</v>
      </c>
      <c r="E7" t="s">
        <v>263</v>
      </c>
      <c r="F7">
        <v>617</v>
      </c>
      <c r="G7">
        <v>1015700</v>
      </c>
      <c r="H7">
        <v>1044725</v>
      </c>
      <c r="I7">
        <v>690287</v>
      </c>
      <c r="J7">
        <v>1285955</v>
      </c>
      <c r="K7">
        <v>920118</v>
      </c>
      <c r="L7">
        <v>1124208</v>
      </c>
    </row>
    <row r="8" spans="1:12" x14ac:dyDescent="0.35">
      <c r="A8">
        <v>2024</v>
      </c>
      <c r="B8">
        <v>4</v>
      </c>
      <c r="C8" t="s">
        <v>67</v>
      </c>
      <c r="D8" t="s">
        <v>315</v>
      </c>
      <c r="E8" t="s">
        <v>263</v>
      </c>
      <c r="F8">
        <v>646</v>
      </c>
      <c r="G8">
        <v>1000302</v>
      </c>
      <c r="H8">
        <v>1044725</v>
      </c>
      <c r="I8">
        <v>690287</v>
      </c>
      <c r="J8">
        <v>1278458</v>
      </c>
      <c r="K8">
        <v>874476</v>
      </c>
      <c r="L8">
        <v>1116708</v>
      </c>
    </row>
    <row r="9" spans="1:12" x14ac:dyDescent="0.35">
      <c r="A9">
        <v>2024</v>
      </c>
      <c r="B9">
        <v>5</v>
      </c>
      <c r="C9" t="s">
        <v>68</v>
      </c>
      <c r="D9" t="s">
        <v>315</v>
      </c>
      <c r="E9" t="s">
        <v>263</v>
      </c>
      <c r="F9">
        <v>652</v>
      </c>
      <c r="G9">
        <v>1019231</v>
      </c>
      <c r="H9">
        <v>1044725</v>
      </c>
      <c r="I9">
        <v>690287</v>
      </c>
      <c r="J9">
        <v>1432039</v>
      </c>
      <c r="K9">
        <v>881977</v>
      </c>
      <c r="L9">
        <v>1174208</v>
      </c>
    </row>
    <row r="10" spans="1:12" x14ac:dyDescent="0.35">
      <c r="A10">
        <v>2024</v>
      </c>
      <c r="B10">
        <v>6</v>
      </c>
      <c r="C10" t="s">
        <v>69</v>
      </c>
      <c r="D10" t="s">
        <v>315</v>
      </c>
      <c r="E10" t="s">
        <v>263</v>
      </c>
      <c r="F10">
        <v>643</v>
      </c>
      <c r="G10">
        <v>998893</v>
      </c>
      <c r="H10">
        <v>1044725</v>
      </c>
      <c r="I10">
        <v>690287</v>
      </c>
      <c r="J10">
        <v>1278458</v>
      </c>
      <c r="K10">
        <v>856977</v>
      </c>
      <c r="L10">
        <v>1124208</v>
      </c>
    </row>
    <row r="11" spans="1:12" x14ac:dyDescent="0.35">
      <c r="A11">
        <v>2024</v>
      </c>
      <c r="B11">
        <v>7</v>
      </c>
      <c r="C11" t="s">
        <v>70</v>
      </c>
      <c r="D11" t="s">
        <v>315</v>
      </c>
      <c r="E11" t="s">
        <v>263</v>
      </c>
      <c r="F11">
        <v>644</v>
      </c>
      <c r="G11">
        <v>1002063</v>
      </c>
      <c r="H11">
        <v>1044725</v>
      </c>
      <c r="I11">
        <v>690287</v>
      </c>
      <c r="J11">
        <v>1384983</v>
      </c>
      <c r="K11">
        <v>866977</v>
      </c>
      <c r="L11">
        <v>1124208</v>
      </c>
    </row>
    <row r="12" spans="1:12" x14ac:dyDescent="0.35">
      <c r="A12">
        <v>2024</v>
      </c>
      <c r="B12">
        <v>8</v>
      </c>
      <c r="C12" t="s">
        <v>71</v>
      </c>
      <c r="D12" t="s">
        <v>315</v>
      </c>
      <c r="E12" t="s">
        <v>263</v>
      </c>
      <c r="F12">
        <v>677</v>
      </c>
      <c r="G12">
        <v>999845</v>
      </c>
      <c r="H12">
        <v>1044725</v>
      </c>
      <c r="I12">
        <v>690287</v>
      </c>
      <c r="J12">
        <v>1300957</v>
      </c>
      <c r="K12">
        <v>866977</v>
      </c>
      <c r="L12">
        <v>1166708</v>
      </c>
    </row>
    <row r="13" spans="1:12" x14ac:dyDescent="0.35">
      <c r="A13">
        <v>2024</v>
      </c>
      <c r="B13">
        <v>9</v>
      </c>
      <c r="C13" t="s">
        <v>72</v>
      </c>
      <c r="D13" t="s">
        <v>315</v>
      </c>
      <c r="E13" t="s">
        <v>263</v>
      </c>
      <c r="F13">
        <v>678</v>
      </c>
      <c r="G13">
        <v>994483</v>
      </c>
      <c r="H13">
        <v>1044725</v>
      </c>
      <c r="I13">
        <v>690287</v>
      </c>
      <c r="J13">
        <v>1300957</v>
      </c>
      <c r="K13">
        <v>864477</v>
      </c>
      <c r="L13">
        <v>1124208</v>
      </c>
    </row>
    <row r="14" spans="1:12" x14ac:dyDescent="0.35">
      <c r="A14">
        <v>2024</v>
      </c>
      <c r="B14">
        <v>10</v>
      </c>
      <c r="C14" t="s">
        <v>73</v>
      </c>
      <c r="D14" t="s">
        <v>315</v>
      </c>
      <c r="E14" t="s">
        <v>263</v>
      </c>
      <c r="F14">
        <v>678</v>
      </c>
      <c r="G14">
        <v>995804</v>
      </c>
      <c r="H14">
        <v>1044725</v>
      </c>
      <c r="I14">
        <v>690287</v>
      </c>
      <c r="J14">
        <v>1453912</v>
      </c>
      <c r="K14">
        <v>859477</v>
      </c>
      <c r="L14">
        <v>1124208</v>
      </c>
    </row>
    <row r="15" spans="1:12" x14ac:dyDescent="0.35">
      <c r="A15">
        <v>2024</v>
      </c>
      <c r="B15">
        <v>11</v>
      </c>
      <c r="C15" t="s">
        <v>74</v>
      </c>
      <c r="D15" t="s">
        <v>315</v>
      </c>
      <c r="E15" t="s">
        <v>263</v>
      </c>
      <c r="F15">
        <v>678</v>
      </c>
      <c r="G15">
        <v>992688</v>
      </c>
      <c r="H15">
        <v>1044725</v>
      </c>
      <c r="I15">
        <v>690287</v>
      </c>
      <c r="J15">
        <v>1300957</v>
      </c>
      <c r="K15">
        <v>859477</v>
      </c>
      <c r="L15">
        <v>1116708</v>
      </c>
    </row>
    <row r="16" spans="1:12" x14ac:dyDescent="0.35">
      <c r="A16">
        <v>2024</v>
      </c>
      <c r="B16">
        <v>12</v>
      </c>
      <c r="C16" t="s">
        <v>75</v>
      </c>
      <c r="D16" t="s">
        <v>315</v>
      </c>
      <c r="E16" t="s">
        <v>263</v>
      </c>
      <c r="F16">
        <v>676</v>
      </c>
      <c r="G16">
        <v>992573</v>
      </c>
      <c r="H16">
        <v>1044725</v>
      </c>
      <c r="I16">
        <v>690287</v>
      </c>
      <c r="J16">
        <v>1300957</v>
      </c>
      <c r="K16">
        <v>864477</v>
      </c>
      <c r="L16">
        <v>1116708</v>
      </c>
    </row>
    <row r="17" spans="1:12" x14ac:dyDescent="0.35">
      <c r="A17">
        <v>2025</v>
      </c>
      <c r="B17">
        <v>1</v>
      </c>
      <c r="C17" t="s">
        <v>42</v>
      </c>
      <c r="D17" t="s">
        <v>315</v>
      </c>
      <c r="E17" t="s">
        <v>263</v>
      </c>
      <c r="F17">
        <v>669</v>
      </c>
      <c r="G17">
        <v>990843</v>
      </c>
      <c r="H17">
        <v>1044725</v>
      </c>
      <c r="I17">
        <v>690287</v>
      </c>
      <c r="J17">
        <v>1300957</v>
      </c>
      <c r="K17">
        <v>859477</v>
      </c>
      <c r="L17">
        <v>1116708</v>
      </c>
    </row>
    <row r="18" spans="1:12" x14ac:dyDescent="0.35">
      <c r="A18">
        <v>2025</v>
      </c>
      <c r="B18">
        <v>2</v>
      </c>
      <c r="C18" t="s">
        <v>63</v>
      </c>
      <c r="D18" t="s">
        <v>315</v>
      </c>
      <c r="E18" t="s">
        <v>263</v>
      </c>
      <c r="F18">
        <v>680</v>
      </c>
      <c r="G18">
        <v>1079671</v>
      </c>
      <c r="H18">
        <v>1055975</v>
      </c>
      <c r="I18">
        <v>690287</v>
      </c>
      <c r="J18">
        <v>1528451</v>
      </c>
      <c r="K18">
        <v>959601</v>
      </c>
      <c r="L18">
        <v>1196241</v>
      </c>
    </row>
    <row r="19" spans="1:12" x14ac:dyDescent="0.35">
      <c r="A19">
        <v>2025</v>
      </c>
      <c r="B19">
        <v>3</v>
      </c>
      <c r="C19" t="s">
        <v>66</v>
      </c>
      <c r="D19" t="s">
        <v>315</v>
      </c>
      <c r="E19" t="s">
        <v>263</v>
      </c>
      <c r="F19">
        <v>674</v>
      </c>
      <c r="G19">
        <v>1005829</v>
      </c>
      <c r="H19">
        <v>1044725</v>
      </c>
      <c r="I19">
        <v>690287</v>
      </c>
      <c r="J19">
        <v>1300957</v>
      </c>
      <c r="K19">
        <v>902616</v>
      </c>
      <c r="L19">
        <v>1116708</v>
      </c>
    </row>
    <row r="20" spans="1:12" x14ac:dyDescent="0.35">
      <c r="A20">
        <v>2025</v>
      </c>
      <c r="B20">
        <v>4</v>
      </c>
      <c r="C20" t="s">
        <v>67</v>
      </c>
      <c r="D20" t="s">
        <v>315</v>
      </c>
      <c r="E20" t="s">
        <v>263</v>
      </c>
      <c r="F20">
        <v>694</v>
      </c>
      <c r="G20">
        <v>1080238</v>
      </c>
      <c r="H20">
        <v>1052225</v>
      </c>
      <c r="I20">
        <v>690287</v>
      </c>
      <c r="J20">
        <v>1528451</v>
      </c>
      <c r="K20">
        <v>959601</v>
      </c>
      <c r="L20">
        <v>1196241</v>
      </c>
    </row>
    <row r="21" spans="1:12" x14ac:dyDescent="0.35">
      <c r="A21">
        <v>2025</v>
      </c>
      <c r="B21">
        <v>5</v>
      </c>
      <c r="C21" t="s">
        <v>68</v>
      </c>
      <c r="D21" t="s">
        <v>315</v>
      </c>
      <c r="E21" t="s">
        <v>263</v>
      </c>
      <c r="F21">
        <v>672</v>
      </c>
      <c r="G21">
        <v>1007757</v>
      </c>
      <c r="H21">
        <v>1044725</v>
      </c>
      <c r="I21">
        <v>690287</v>
      </c>
      <c r="J21">
        <v>1300957</v>
      </c>
      <c r="K21">
        <v>905118</v>
      </c>
      <c r="L21">
        <v>1116708</v>
      </c>
    </row>
    <row r="22" spans="1:12" x14ac:dyDescent="0.35">
      <c r="A22">
        <v>2025</v>
      </c>
      <c r="B22">
        <v>6</v>
      </c>
      <c r="C22" t="s">
        <v>69</v>
      </c>
      <c r="D22" t="s">
        <v>315</v>
      </c>
      <c r="E22" t="s">
        <v>263</v>
      </c>
      <c r="F22">
        <v>671</v>
      </c>
      <c r="G22">
        <v>1007217</v>
      </c>
      <c r="H22">
        <v>1044725</v>
      </c>
      <c r="I22">
        <v>690287</v>
      </c>
      <c r="J22">
        <v>1313361</v>
      </c>
      <c r="K22">
        <v>905116</v>
      </c>
      <c r="L22">
        <v>1116708</v>
      </c>
    </row>
    <row r="23" spans="1:12" x14ac:dyDescent="0.35">
      <c r="A23">
        <v>2025</v>
      </c>
      <c r="B23">
        <v>7</v>
      </c>
      <c r="C23" t="s">
        <v>70</v>
      </c>
      <c r="D23" t="s">
        <v>315</v>
      </c>
      <c r="E23" t="s">
        <v>263</v>
      </c>
      <c r="F23">
        <v>671</v>
      </c>
      <c r="G23">
        <v>1007131</v>
      </c>
      <c r="H23">
        <v>1044725</v>
      </c>
      <c r="I23">
        <v>690287</v>
      </c>
      <c r="J23">
        <v>1293457</v>
      </c>
      <c r="K23">
        <v>905116</v>
      </c>
      <c r="L23">
        <v>1116708</v>
      </c>
    </row>
    <row r="24" spans="1:12" x14ac:dyDescent="0.35">
      <c r="A24">
        <v>2025</v>
      </c>
      <c r="B24">
        <v>8</v>
      </c>
      <c r="C24" t="s">
        <v>71</v>
      </c>
      <c r="D24" t="s">
        <v>315</v>
      </c>
      <c r="E24" t="s">
        <v>263</v>
      </c>
      <c r="F24">
        <v>671</v>
      </c>
      <c r="G24">
        <v>1007763</v>
      </c>
      <c r="H24">
        <v>1044725</v>
      </c>
      <c r="I24">
        <v>690287</v>
      </c>
      <c r="J24">
        <v>1529212</v>
      </c>
      <c r="K24">
        <v>905116</v>
      </c>
      <c r="L24">
        <v>1116708</v>
      </c>
    </row>
    <row r="25" spans="1:12" x14ac:dyDescent="0.35">
      <c r="A25">
        <v>2025</v>
      </c>
      <c r="B25">
        <v>9</v>
      </c>
      <c r="C25" t="s">
        <v>72</v>
      </c>
      <c r="D25" t="s">
        <v>315</v>
      </c>
      <c r="E25" t="s">
        <v>263</v>
      </c>
      <c r="F25">
        <v>672</v>
      </c>
      <c r="G25">
        <v>1007829</v>
      </c>
      <c r="H25">
        <v>1044725</v>
      </c>
      <c r="I25">
        <v>690287</v>
      </c>
      <c r="J25">
        <v>1293457</v>
      </c>
      <c r="K25">
        <v>905116</v>
      </c>
      <c r="L25">
        <v>1116708</v>
      </c>
    </row>
    <row r="26" spans="1:12" x14ac:dyDescent="0.35">
      <c r="A26">
        <v>2025</v>
      </c>
      <c r="B26">
        <v>10</v>
      </c>
      <c r="C26" t="s">
        <v>73</v>
      </c>
      <c r="D26" t="s">
        <v>315</v>
      </c>
      <c r="E26" t="s">
        <v>263</v>
      </c>
      <c r="F26">
        <v>671</v>
      </c>
      <c r="G26">
        <v>1007556</v>
      </c>
      <c r="H26">
        <v>1044725</v>
      </c>
      <c r="I26">
        <v>690287</v>
      </c>
      <c r="J26">
        <v>1369208</v>
      </c>
      <c r="K26">
        <v>905116</v>
      </c>
      <c r="L26">
        <v>1116708</v>
      </c>
    </row>
    <row r="27" spans="1:12" x14ac:dyDescent="0.35">
      <c r="A27">
        <v>2025</v>
      </c>
      <c r="B27">
        <v>11</v>
      </c>
      <c r="C27" t="s">
        <v>74</v>
      </c>
      <c r="D27" t="s">
        <v>315</v>
      </c>
      <c r="E27" t="s">
        <v>263</v>
      </c>
      <c r="F27">
        <v>695</v>
      </c>
      <c r="G27">
        <v>1047388</v>
      </c>
      <c r="H27">
        <v>1052225</v>
      </c>
      <c r="I27">
        <v>690287</v>
      </c>
      <c r="J27">
        <v>1506425</v>
      </c>
      <c r="K27">
        <v>920118</v>
      </c>
      <c r="L27">
        <v>1196241</v>
      </c>
    </row>
    <row r="28" spans="1:12" x14ac:dyDescent="0.35">
      <c r="A28">
        <v>2025</v>
      </c>
      <c r="B28">
        <v>12</v>
      </c>
      <c r="C28" t="s">
        <v>75</v>
      </c>
      <c r="D28" t="s">
        <v>315</v>
      </c>
      <c r="E28" t="s">
        <v>263</v>
      </c>
      <c r="F28">
        <v>687</v>
      </c>
      <c r="G28">
        <v>1005298</v>
      </c>
      <c r="H28">
        <v>1036585</v>
      </c>
      <c r="I28">
        <v>690287</v>
      </c>
      <c r="J28">
        <v>1293457</v>
      </c>
      <c r="K28">
        <v>904477</v>
      </c>
      <c r="L28">
        <v>1116708</v>
      </c>
    </row>
  </sheetData>
  <mergeCells count="1">
    <mergeCell ref="A1:L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76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317</v>
      </c>
      <c r="E5" t="s">
        <v>255</v>
      </c>
      <c r="F5">
        <v>2</v>
      </c>
      <c r="G5">
        <v>524326</v>
      </c>
      <c r="H5">
        <v>524326</v>
      </c>
      <c r="I5">
        <v>502848</v>
      </c>
      <c r="J5">
        <v>545804</v>
      </c>
      <c r="K5">
        <v>502848</v>
      </c>
      <c r="L5">
        <v>545804</v>
      </c>
    </row>
    <row r="6" spans="1:12" x14ac:dyDescent="0.35">
      <c r="A6">
        <v>2024</v>
      </c>
      <c r="B6">
        <v>1</v>
      </c>
      <c r="C6" t="s">
        <v>42</v>
      </c>
      <c r="D6" t="s">
        <v>317</v>
      </c>
      <c r="E6" t="s">
        <v>265</v>
      </c>
      <c r="F6">
        <v>2441</v>
      </c>
      <c r="G6">
        <v>256638</v>
      </c>
      <c r="H6">
        <v>247243</v>
      </c>
      <c r="I6">
        <v>229743</v>
      </c>
      <c r="J6">
        <v>353758</v>
      </c>
      <c r="K6">
        <v>239190</v>
      </c>
      <c r="L6">
        <v>266959</v>
      </c>
    </row>
    <row r="7" spans="1:12" x14ac:dyDescent="0.35">
      <c r="A7">
        <v>2024</v>
      </c>
      <c r="B7">
        <v>1</v>
      </c>
      <c r="C7" t="s">
        <v>42</v>
      </c>
      <c r="D7" t="s">
        <v>317</v>
      </c>
      <c r="E7" t="s">
        <v>267</v>
      </c>
      <c r="F7">
        <v>3883</v>
      </c>
      <c r="G7">
        <v>311674</v>
      </c>
      <c r="H7">
        <v>298486</v>
      </c>
      <c r="I7">
        <v>260064</v>
      </c>
      <c r="J7">
        <v>465729</v>
      </c>
      <c r="K7">
        <v>277564</v>
      </c>
      <c r="L7">
        <v>333942</v>
      </c>
    </row>
    <row r="8" spans="1:12" x14ac:dyDescent="0.35">
      <c r="A8">
        <v>2024</v>
      </c>
      <c r="B8">
        <v>2</v>
      </c>
      <c r="C8" t="s">
        <v>63</v>
      </c>
      <c r="D8" t="s">
        <v>317</v>
      </c>
      <c r="E8" t="s">
        <v>255</v>
      </c>
      <c r="F8">
        <v>2</v>
      </c>
      <c r="G8">
        <v>524326</v>
      </c>
      <c r="H8">
        <v>524326</v>
      </c>
      <c r="I8">
        <v>502848</v>
      </c>
      <c r="J8">
        <v>545804</v>
      </c>
      <c r="K8">
        <v>502848</v>
      </c>
      <c r="L8">
        <v>545804</v>
      </c>
    </row>
    <row r="9" spans="1:12" x14ac:dyDescent="0.35">
      <c r="A9">
        <v>2024</v>
      </c>
      <c r="B9">
        <v>2</v>
      </c>
      <c r="C9" t="s">
        <v>63</v>
      </c>
      <c r="D9" t="s">
        <v>317</v>
      </c>
      <c r="E9" t="s">
        <v>265</v>
      </c>
      <c r="F9">
        <v>2521</v>
      </c>
      <c r="G9">
        <v>257128</v>
      </c>
      <c r="H9">
        <v>247243</v>
      </c>
      <c r="I9">
        <v>229743</v>
      </c>
      <c r="J9">
        <v>353758</v>
      </c>
      <c r="K9">
        <v>239190</v>
      </c>
      <c r="L9">
        <v>270297</v>
      </c>
    </row>
    <row r="10" spans="1:12" x14ac:dyDescent="0.35">
      <c r="A10">
        <v>2024</v>
      </c>
      <c r="B10">
        <v>2</v>
      </c>
      <c r="C10" t="s">
        <v>63</v>
      </c>
      <c r="D10" t="s">
        <v>317</v>
      </c>
      <c r="E10" t="s">
        <v>267</v>
      </c>
      <c r="F10">
        <v>3971</v>
      </c>
      <c r="G10">
        <v>314372</v>
      </c>
      <c r="H10">
        <v>305519</v>
      </c>
      <c r="I10">
        <v>260064</v>
      </c>
      <c r="J10">
        <v>467004</v>
      </c>
      <c r="K10">
        <v>278486</v>
      </c>
      <c r="L10">
        <v>335052</v>
      </c>
    </row>
    <row r="11" spans="1:12" x14ac:dyDescent="0.35">
      <c r="A11">
        <v>2024</v>
      </c>
      <c r="B11">
        <v>3</v>
      </c>
      <c r="C11" t="s">
        <v>66</v>
      </c>
      <c r="D11" t="s">
        <v>317</v>
      </c>
      <c r="E11" t="s">
        <v>255</v>
      </c>
      <c r="F11">
        <v>2</v>
      </c>
      <c r="G11">
        <v>524326</v>
      </c>
      <c r="H11">
        <v>524326</v>
      </c>
      <c r="I11">
        <v>502848</v>
      </c>
      <c r="J11">
        <v>545804</v>
      </c>
      <c r="K11">
        <v>502848</v>
      </c>
      <c r="L11">
        <v>545804</v>
      </c>
    </row>
    <row r="12" spans="1:12" x14ac:dyDescent="0.35">
      <c r="A12">
        <v>2024</v>
      </c>
      <c r="B12">
        <v>3</v>
      </c>
      <c r="C12" t="s">
        <v>66</v>
      </c>
      <c r="D12" t="s">
        <v>317</v>
      </c>
      <c r="E12" t="s">
        <v>265</v>
      </c>
      <c r="F12">
        <v>2667</v>
      </c>
      <c r="G12">
        <v>255398</v>
      </c>
      <c r="H12">
        <v>247243</v>
      </c>
      <c r="I12">
        <v>229743</v>
      </c>
      <c r="J12">
        <v>353758</v>
      </c>
      <c r="K12">
        <v>234743</v>
      </c>
      <c r="L12">
        <v>266690</v>
      </c>
    </row>
    <row r="13" spans="1:12" x14ac:dyDescent="0.35">
      <c r="A13">
        <v>2024</v>
      </c>
      <c r="B13">
        <v>3</v>
      </c>
      <c r="C13" t="s">
        <v>66</v>
      </c>
      <c r="D13" t="s">
        <v>317</v>
      </c>
      <c r="E13" t="s">
        <v>267</v>
      </c>
      <c r="F13">
        <v>4038</v>
      </c>
      <c r="G13">
        <v>311312</v>
      </c>
      <c r="H13">
        <v>298486</v>
      </c>
      <c r="I13">
        <v>260064</v>
      </c>
      <c r="J13">
        <v>465729</v>
      </c>
      <c r="K13">
        <v>275988</v>
      </c>
      <c r="L13">
        <v>330519</v>
      </c>
    </row>
    <row r="14" spans="1:12" x14ac:dyDescent="0.35">
      <c r="A14">
        <v>2024</v>
      </c>
      <c r="B14">
        <v>4</v>
      </c>
      <c r="C14" t="s">
        <v>67</v>
      </c>
      <c r="D14" t="s">
        <v>317</v>
      </c>
      <c r="E14" t="s">
        <v>255</v>
      </c>
      <c r="F14">
        <v>2</v>
      </c>
      <c r="G14">
        <v>524326</v>
      </c>
      <c r="H14">
        <v>524326</v>
      </c>
      <c r="I14">
        <v>502848</v>
      </c>
      <c r="J14">
        <v>545804</v>
      </c>
      <c r="K14">
        <v>502848</v>
      </c>
      <c r="L14">
        <v>545804</v>
      </c>
    </row>
    <row r="15" spans="1:12" x14ac:dyDescent="0.35">
      <c r="A15">
        <v>2024</v>
      </c>
      <c r="B15">
        <v>4</v>
      </c>
      <c r="C15" t="s">
        <v>67</v>
      </c>
      <c r="D15" t="s">
        <v>317</v>
      </c>
      <c r="E15" t="s">
        <v>265</v>
      </c>
      <c r="F15">
        <v>2711</v>
      </c>
      <c r="G15">
        <v>256355</v>
      </c>
      <c r="H15">
        <v>247797</v>
      </c>
      <c r="I15">
        <v>229743</v>
      </c>
      <c r="J15">
        <v>353938</v>
      </c>
      <c r="K15">
        <v>237243</v>
      </c>
      <c r="L15">
        <v>266824</v>
      </c>
    </row>
    <row r="16" spans="1:12" x14ac:dyDescent="0.35">
      <c r="A16">
        <v>2024</v>
      </c>
      <c r="B16">
        <v>4</v>
      </c>
      <c r="C16" t="s">
        <v>67</v>
      </c>
      <c r="D16" t="s">
        <v>317</v>
      </c>
      <c r="E16" t="s">
        <v>267</v>
      </c>
      <c r="F16">
        <v>4051</v>
      </c>
      <c r="G16">
        <v>311335</v>
      </c>
      <c r="H16">
        <v>300519</v>
      </c>
      <c r="I16">
        <v>260064</v>
      </c>
      <c r="J16">
        <v>465729</v>
      </c>
      <c r="K16">
        <v>277718</v>
      </c>
      <c r="L16">
        <v>328252</v>
      </c>
    </row>
    <row r="17" spans="1:12" x14ac:dyDescent="0.35">
      <c r="A17">
        <v>2024</v>
      </c>
      <c r="B17">
        <v>5</v>
      </c>
      <c r="C17" t="s">
        <v>68</v>
      </c>
      <c r="D17" t="s">
        <v>317</v>
      </c>
      <c r="E17" t="s">
        <v>255</v>
      </c>
      <c r="F17">
        <v>2</v>
      </c>
      <c r="G17">
        <v>524326</v>
      </c>
      <c r="H17">
        <v>524326</v>
      </c>
      <c r="I17">
        <v>502848</v>
      </c>
      <c r="J17">
        <v>545804</v>
      </c>
      <c r="K17">
        <v>502848</v>
      </c>
      <c r="L17">
        <v>545804</v>
      </c>
    </row>
    <row r="18" spans="1:12" x14ac:dyDescent="0.35">
      <c r="A18">
        <v>2024</v>
      </c>
      <c r="B18">
        <v>5</v>
      </c>
      <c r="C18" t="s">
        <v>68</v>
      </c>
      <c r="D18" t="s">
        <v>317</v>
      </c>
      <c r="E18" t="s">
        <v>265</v>
      </c>
      <c r="F18">
        <v>2748</v>
      </c>
      <c r="G18">
        <v>256128</v>
      </c>
      <c r="H18">
        <v>247797</v>
      </c>
      <c r="I18">
        <v>229743</v>
      </c>
      <c r="J18">
        <v>352343</v>
      </c>
      <c r="K18">
        <v>237797</v>
      </c>
      <c r="L18">
        <v>266590</v>
      </c>
    </row>
    <row r="19" spans="1:12" x14ac:dyDescent="0.35">
      <c r="A19">
        <v>2024</v>
      </c>
      <c r="B19">
        <v>5</v>
      </c>
      <c r="C19" t="s">
        <v>68</v>
      </c>
      <c r="D19" t="s">
        <v>317</v>
      </c>
      <c r="E19" t="s">
        <v>267</v>
      </c>
      <c r="F19">
        <v>4028</v>
      </c>
      <c r="G19">
        <v>311384</v>
      </c>
      <c r="H19">
        <v>298488</v>
      </c>
      <c r="I19">
        <v>260064</v>
      </c>
      <c r="J19">
        <v>465729</v>
      </c>
      <c r="K19">
        <v>278488</v>
      </c>
      <c r="L19">
        <v>328019</v>
      </c>
    </row>
    <row r="20" spans="1:12" x14ac:dyDescent="0.35">
      <c r="A20">
        <v>2024</v>
      </c>
      <c r="B20">
        <v>6</v>
      </c>
      <c r="C20" t="s">
        <v>69</v>
      </c>
      <c r="D20" t="s">
        <v>317</v>
      </c>
      <c r="E20" t="s">
        <v>255</v>
      </c>
      <c r="F20">
        <v>2</v>
      </c>
      <c r="G20">
        <v>524326</v>
      </c>
      <c r="H20">
        <v>524326</v>
      </c>
      <c r="I20">
        <v>502848</v>
      </c>
      <c r="J20">
        <v>545804</v>
      </c>
      <c r="K20">
        <v>502848</v>
      </c>
      <c r="L20">
        <v>545804</v>
      </c>
    </row>
    <row r="21" spans="1:12" x14ac:dyDescent="0.35">
      <c r="A21">
        <v>2024</v>
      </c>
      <c r="B21">
        <v>6</v>
      </c>
      <c r="C21" t="s">
        <v>69</v>
      </c>
      <c r="D21" t="s">
        <v>317</v>
      </c>
      <c r="E21" t="s">
        <v>265</v>
      </c>
      <c r="F21">
        <v>2816</v>
      </c>
      <c r="G21">
        <v>256383</v>
      </c>
      <c r="H21">
        <v>247797</v>
      </c>
      <c r="I21">
        <v>229743</v>
      </c>
      <c r="J21">
        <v>354944</v>
      </c>
      <c r="K21">
        <v>239190</v>
      </c>
      <c r="L21">
        <v>266590</v>
      </c>
    </row>
    <row r="22" spans="1:12" x14ac:dyDescent="0.35">
      <c r="A22">
        <v>2024</v>
      </c>
      <c r="B22">
        <v>6</v>
      </c>
      <c r="C22" t="s">
        <v>69</v>
      </c>
      <c r="D22" t="s">
        <v>317</v>
      </c>
      <c r="E22" t="s">
        <v>267</v>
      </c>
      <c r="F22">
        <v>4036</v>
      </c>
      <c r="G22">
        <v>311608</v>
      </c>
      <c r="H22">
        <v>300279</v>
      </c>
      <c r="I22">
        <v>260064</v>
      </c>
      <c r="J22">
        <v>465729</v>
      </c>
      <c r="K22">
        <v>279883</v>
      </c>
      <c r="L22">
        <v>328019</v>
      </c>
    </row>
    <row r="23" spans="1:12" x14ac:dyDescent="0.35">
      <c r="A23">
        <v>2024</v>
      </c>
      <c r="B23">
        <v>7</v>
      </c>
      <c r="C23" t="s">
        <v>70</v>
      </c>
      <c r="D23" t="s">
        <v>317</v>
      </c>
      <c r="E23" t="s">
        <v>255</v>
      </c>
      <c r="F23">
        <v>2</v>
      </c>
      <c r="G23">
        <v>524326</v>
      </c>
      <c r="H23">
        <v>524326</v>
      </c>
      <c r="I23">
        <v>502848</v>
      </c>
      <c r="J23">
        <v>545804</v>
      </c>
      <c r="K23">
        <v>502848</v>
      </c>
      <c r="L23">
        <v>545804</v>
      </c>
    </row>
    <row r="24" spans="1:12" x14ac:dyDescent="0.35">
      <c r="A24">
        <v>2024</v>
      </c>
      <c r="B24">
        <v>7</v>
      </c>
      <c r="C24" t="s">
        <v>70</v>
      </c>
      <c r="D24" t="s">
        <v>317</v>
      </c>
      <c r="E24" t="s">
        <v>265</v>
      </c>
      <c r="F24">
        <v>2873</v>
      </c>
      <c r="G24">
        <v>256514</v>
      </c>
      <c r="H24">
        <v>247797</v>
      </c>
      <c r="I24">
        <v>229743</v>
      </c>
      <c r="J24">
        <v>351628</v>
      </c>
      <c r="K24">
        <v>239743</v>
      </c>
      <c r="L24">
        <v>266590</v>
      </c>
    </row>
    <row r="25" spans="1:12" x14ac:dyDescent="0.35">
      <c r="A25">
        <v>2024</v>
      </c>
      <c r="B25">
        <v>7</v>
      </c>
      <c r="C25" t="s">
        <v>70</v>
      </c>
      <c r="D25" t="s">
        <v>317</v>
      </c>
      <c r="E25" t="s">
        <v>267</v>
      </c>
      <c r="F25">
        <v>4069</v>
      </c>
      <c r="G25">
        <v>311906</v>
      </c>
      <c r="H25">
        <v>299381</v>
      </c>
      <c r="I25">
        <v>260064</v>
      </c>
      <c r="J25">
        <v>465729</v>
      </c>
      <c r="K25">
        <v>278488</v>
      </c>
      <c r="L25">
        <v>328019</v>
      </c>
    </row>
    <row r="26" spans="1:12" x14ac:dyDescent="0.35">
      <c r="A26">
        <v>2024</v>
      </c>
      <c r="B26">
        <v>8</v>
      </c>
      <c r="C26" t="s">
        <v>71</v>
      </c>
      <c r="D26" t="s">
        <v>317</v>
      </c>
      <c r="E26" t="s">
        <v>255</v>
      </c>
      <c r="F26">
        <v>2</v>
      </c>
      <c r="G26">
        <v>524326</v>
      </c>
      <c r="H26">
        <v>524326</v>
      </c>
      <c r="I26">
        <v>502848</v>
      </c>
      <c r="J26">
        <v>545804</v>
      </c>
      <c r="K26">
        <v>502848</v>
      </c>
      <c r="L26">
        <v>545804</v>
      </c>
    </row>
    <row r="27" spans="1:12" x14ac:dyDescent="0.35">
      <c r="A27">
        <v>2024</v>
      </c>
      <c r="B27">
        <v>8</v>
      </c>
      <c r="C27" t="s">
        <v>71</v>
      </c>
      <c r="D27" t="s">
        <v>317</v>
      </c>
      <c r="E27" t="s">
        <v>265</v>
      </c>
      <c r="F27">
        <v>2926</v>
      </c>
      <c r="G27">
        <v>257488</v>
      </c>
      <c r="H27">
        <v>247797</v>
      </c>
      <c r="I27">
        <v>229743</v>
      </c>
      <c r="J27">
        <v>353643</v>
      </c>
      <c r="K27">
        <v>239743</v>
      </c>
      <c r="L27">
        <v>266590</v>
      </c>
    </row>
    <row r="28" spans="1:12" x14ac:dyDescent="0.35">
      <c r="A28">
        <v>2024</v>
      </c>
      <c r="B28">
        <v>8</v>
      </c>
      <c r="C28" t="s">
        <v>71</v>
      </c>
      <c r="D28" t="s">
        <v>317</v>
      </c>
      <c r="E28" t="s">
        <v>267</v>
      </c>
      <c r="F28">
        <v>4097</v>
      </c>
      <c r="G28">
        <v>313883</v>
      </c>
      <c r="H28">
        <v>300519</v>
      </c>
      <c r="I28">
        <v>260064</v>
      </c>
      <c r="J28">
        <v>466939</v>
      </c>
      <c r="K28">
        <v>280064</v>
      </c>
      <c r="L28">
        <v>330052</v>
      </c>
    </row>
    <row r="29" spans="1:12" x14ac:dyDescent="0.35">
      <c r="A29">
        <v>2024</v>
      </c>
      <c r="B29">
        <v>9</v>
      </c>
      <c r="C29" t="s">
        <v>72</v>
      </c>
      <c r="D29" t="s">
        <v>317</v>
      </c>
      <c r="E29" t="s">
        <v>255</v>
      </c>
      <c r="F29">
        <v>2</v>
      </c>
      <c r="G29">
        <v>524326</v>
      </c>
      <c r="H29">
        <v>524326</v>
      </c>
      <c r="I29">
        <v>502848</v>
      </c>
      <c r="J29">
        <v>545804</v>
      </c>
      <c r="K29">
        <v>502848</v>
      </c>
      <c r="L29">
        <v>545804</v>
      </c>
    </row>
    <row r="30" spans="1:12" x14ac:dyDescent="0.35">
      <c r="A30">
        <v>2024</v>
      </c>
      <c r="B30">
        <v>9</v>
      </c>
      <c r="C30" t="s">
        <v>72</v>
      </c>
      <c r="D30" t="s">
        <v>317</v>
      </c>
      <c r="E30" t="s">
        <v>265</v>
      </c>
      <c r="F30">
        <v>3019</v>
      </c>
      <c r="G30">
        <v>255894</v>
      </c>
      <c r="H30">
        <v>247797</v>
      </c>
      <c r="I30">
        <v>229743</v>
      </c>
      <c r="J30">
        <v>351628</v>
      </c>
      <c r="K30">
        <v>239190</v>
      </c>
      <c r="L30">
        <v>262797</v>
      </c>
    </row>
    <row r="31" spans="1:12" x14ac:dyDescent="0.35">
      <c r="A31">
        <v>2024</v>
      </c>
      <c r="B31">
        <v>9</v>
      </c>
      <c r="C31" t="s">
        <v>72</v>
      </c>
      <c r="D31" t="s">
        <v>317</v>
      </c>
      <c r="E31" t="s">
        <v>267</v>
      </c>
      <c r="F31">
        <v>4169</v>
      </c>
      <c r="G31">
        <v>311507</v>
      </c>
      <c r="H31">
        <v>298486</v>
      </c>
      <c r="I31">
        <v>260064</v>
      </c>
      <c r="J31">
        <v>465729</v>
      </c>
      <c r="K31">
        <v>277564</v>
      </c>
      <c r="L31">
        <v>328019</v>
      </c>
    </row>
    <row r="32" spans="1:12" x14ac:dyDescent="0.35">
      <c r="A32">
        <v>2024</v>
      </c>
      <c r="B32">
        <v>10</v>
      </c>
      <c r="C32" t="s">
        <v>73</v>
      </c>
      <c r="D32" t="s">
        <v>317</v>
      </c>
      <c r="E32" t="s">
        <v>255</v>
      </c>
      <c r="F32">
        <v>2</v>
      </c>
      <c r="G32">
        <v>524326</v>
      </c>
      <c r="H32">
        <v>524326</v>
      </c>
      <c r="I32">
        <v>502848</v>
      </c>
      <c r="J32">
        <v>545804</v>
      </c>
      <c r="K32">
        <v>502848</v>
      </c>
      <c r="L32">
        <v>545804</v>
      </c>
    </row>
    <row r="33" spans="1:12" x14ac:dyDescent="0.35">
      <c r="A33">
        <v>2024</v>
      </c>
      <c r="B33">
        <v>10</v>
      </c>
      <c r="C33" t="s">
        <v>73</v>
      </c>
      <c r="D33" t="s">
        <v>317</v>
      </c>
      <c r="E33" t="s">
        <v>265</v>
      </c>
      <c r="F33">
        <v>3036</v>
      </c>
      <c r="G33">
        <v>255378</v>
      </c>
      <c r="H33">
        <v>247243</v>
      </c>
      <c r="I33">
        <v>229743</v>
      </c>
      <c r="J33">
        <v>348389</v>
      </c>
      <c r="K33">
        <v>239190</v>
      </c>
      <c r="L33">
        <v>262797</v>
      </c>
    </row>
    <row r="34" spans="1:12" x14ac:dyDescent="0.35">
      <c r="A34">
        <v>2024</v>
      </c>
      <c r="B34">
        <v>10</v>
      </c>
      <c r="C34" t="s">
        <v>73</v>
      </c>
      <c r="D34" t="s">
        <v>317</v>
      </c>
      <c r="E34" t="s">
        <v>267</v>
      </c>
      <c r="F34">
        <v>4241</v>
      </c>
      <c r="G34">
        <v>310703</v>
      </c>
      <c r="H34">
        <v>298486</v>
      </c>
      <c r="I34">
        <v>260064</v>
      </c>
      <c r="J34">
        <v>465729</v>
      </c>
      <c r="K34">
        <v>277564</v>
      </c>
      <c r="L34">
        <v>326442</v>
      </c>
    </row>
    <row r="35" spans="1:12" x14ac:dyDescent="0.35">
      <c r="A35">
        <v>2024</v>
      </c>
      <c r="B35">
        <v>11</v>
      </c>
      <c r="C35" t="s">
        <v>74</v>
      </c>
      <c r="D35" t="s">
        <v>317</v>
      </c>
      <c r="E35" t="s">
        <v>255</v>
      </c>
      <c r="F35">
        <v>2</v>
      </c>
      <c r="G35">
        <v>524326</v>
      </c>
      <c r="H35">
        <v>524326</v>
      </c>
      <c r="I35">
        <v>502848</v>
      </c>
      <c r="J35">
        <v>545804</v>
      </c>
      <c r="K35">
        <v>502848</v>
      </c>
      <c r="L35">
        <v>545804</v>
      </c>
    </row>
    <row r="36" spans="1:12" x14ac:dyDescent="0.35">
      <c r="A36">
        <v>2024</v>
      </c>
      <c r="B36">
        <v>11</v>
      </c>
      <c r="C36" t="s">
        <v>74</v>
      </c>
      <c r="D36" t="s">
        <v>317</v>
      </c>
      <c r="E36" t="s">
        <v>265</v>
      </c>
      <c r="F36">
        <v>3035</v>
      </c>
      <c r="G36">
        <v>255449</v>
      </c>
      <c r="H36">
        <v>247243</v>
      </c>
      <c r="I36">
        <v>229743</v>
      </c>
      <c r="J36">
        <v>348758</v>
      </c>
      <c r="K36">
        <v>239190</v>
      </c>
      <c r="L36">
        <v>262797</v>
      </c>
    </row>
    <row r="37" spans="1:12" x14ac:dyDescent="0.35">
      <c r="A37">
        <v>2024</v>
      </c>
      <c r="B37">
        <v>11</v>
      </c>
      <c r="C37" t="s">
        <v>74</v>
      </c>
      <c r="D37" t="s">
        <v>317</v>
      </c>
      <c r="E37" t="s">
        <v>267</v>
      </c>
      <c r="F37">
        <v>4265</v>
      </c>
      <c r="G37">
        <v>309936</v>
      </c>
      <c r="H37">
        <v>298252</v>
      </c>
      <c r="I37">
        <v>260064</v>
      </c>
      <c r="J37">
        <v>465729</v>
      </c>
      <c r="K37">
        <v>275988</v>
      </c>
      <c r="L37">
        <v>323942</v>
      </c>
    </row>
    <row r="38" spans="1:12" x14ac:dyDescent="0.35">
      <c r="A38">
        <v>2024</v>
      </c>
      <c r="B38">
        <v>12</v>
      </c>
      <c r="C38" t="s">
        <v>75</v>
      </c>
      <c r="D38" t="s">
        <v>317</v>
      </c>
      <c r="E38" t="s">
        <v>255</v>
      </c>
      <c r="F38">
        <v>2</v>
      </c>
      <c r="G38">
        <v>524326</v>
      </c>
      <c r="H38">
        <v>524326</v>
      </c>
      <c r="I38">
        <v>502848</v>
      </c>
      <c r="J38">
        <v>545804</v>
      </c>
      <c r="K38">
        <v>502848</v>
      </c>
      <c r="L38">
        <v>545804</v>
      </c>
    </row>
    <row r="39" spans="1:12" x14ac:dyDescent="0.35">
      <c r="A39">
        <v>2024</v>
      </c>
      <c r="B39">
        <v>12</v>
      </c>
      <c r="C39" t="s">
        <v>75</v>
      </c>
      <c r="D39" t="s">
        <v>317</v>
      </c>
      <c r="E39" t="s">
        <v>265</v>
      </c>
      <c r="F39">
        <v>3044</v>
      </c>
      <c r="G39">
        <v>255395</v>
      </c>
      <c r="H39">
        <v>247243</v>
      </c>
      <c r="I39">
        <v>229743</v>
      </c>
      <c r="J39">
        <v>348758</v>
      </c>
      <c r="K39">
        <v>239190</v>
      </c>
      <c r="L39">
        <v>262797</v>
      </c>
    </row>
    <row r="40" spans="1:12" x14ac:dyDescent="0.35">
      <c r="A40">
        <v>2024</v>
      </c>
      <c r="B40">
        <v>12</v>
      </c>
      <c r="C40" t="s">
        <v>75</v>
      </c>
      <c r="D40" t="s">
        <v>317</v>
      </c>
      <c r="E40" t="s">
        <v>267</v>
      </c>
      <c r="F40">
        <v>4274</v>
      </c>
      <c r="G40">
        <v>309837</v>
      </c>
      <c r="H40">
        <v>298252</v>
      </c>
      <c r="I40">
        <v>260064</v>
      </c>
      <c r="J40">
        <v>465729</v>
      </c>
      <c r="K40">
        <v>275988</v>
      </c>
      <c r="L40">
        <v>323252</v>
      </c>
    </row>
    <row r="41" spans="1:12" x14ac:dyDescent="0.35">
      <c r="A41">
        <v>2025</v>
      </c>
      <c r="B41">
        <v>1</v>
      </c>
      <c r="C41" t="s">
        <v>42</v>
      </c>
      <c r="D41" t="s">
        <v>317</v>
      </c>
      <c r="E41" t="s">
        <v>255</v>
      </c>
      <c r="F41">
        <v>2</v>
      </c>
      <c r="G41">
        <v>524326</v>
      </c>
      <c r="H41">
        <v>524326</v>
      </c>
      <c r="I41">
        <v>502848</v>
      </c>
      <c r="J41">
        <v>545804</v>
      </c>
      <c r="K41">
        <v>502848</v>
      </c>
      <c r="L41">
        <v>545804</v>
      </c>
    </row>
    <row r="42" spans="1:12" x14ac:dyDescent="0.35">
      <c r="A42">
        <v>2025</v>
      </c>
      <c r="B42">
        <v>1</v>
      </c>
      <c r="C42" t="s">
        <v>42</v>
      </c>
      <c r="D42" t="s">
        <v>317</v>
      </c>
      <c r="E42" t="s">
        <v>265</v>
      </c>
      <c r="F42">
        <v>3073</v>
      </c>
      <c r="G42">
        <v>256064</v>
      </c>
      <c r="H42">
        <v>247797</v>
      </c>
      <c r="I42">
        <v>229743</v>
      </c>
      <c r="J42">
        <v>354128</v>
      </c>
      <c r="K42">
        <v>239743</v>
      </c>
      <c r="L42">
        <v>262797</v>
      </c>
    </row>
    <row r="43" spans="1:12" x14ac:dyDescent="0.35">
      <c r="A43">
        <v>2025</v>
      </c>
      <c r="B43">
        <v>1</v>
      </c>
      <c r="C43" t="s">
        <v>42</v>
      </c>
      <c r="D43" t="s">
        <v>317</v>
      </c>
      <c r="E43" t="s">
        <v>267</v>
      </c>
      <c r="F43">
        <v>4209</v>
      </c>
      <c r="G43">
        <v>309978</v>
      </c>
      <c r="H43">
        <v>298486</v>
      </c>
      <c r="I43">
        <v>260064</v>
      </c>
      <c r="J43">
        <v>467347</v>
      </c>
      <c r="K43">
        <v>278486</v>
      </c>
      <c r="L43">
        <v>324928</v>
      </c>
    </row>
    <row r="44" spans="1:12" x14ac:dyDescent="0.35">
      <c r="A44">
        <v>2025</v>
      </c>
      <c r="B44">
        <v>2</v>
      </c>
      <c r="C44" t="s">
        <v>63</v>
      </c>
      <c r="D44" t="s">
        <v>317</v>
      </c>
      <c r="E44" t="s">
        <v>255</v>
      </c>
      <c r="F44">
        <v>2</v>
      </c>
      <c r="G44">
        <v>524326</v>
      </c>
      <c r="H44">
        <v>524326</v>
      </c>
      <c r="I44">
        <v>502848</v>
      </c>
      <c r="J44">
        <v>545804</v>
      </c>
      <c r="K44">
        <v>502848</v>
      </c>
      <c r="L44">
        <v>545804</v>
      </c>
    </row>
    <row r="45" spans="1:12" x14ac:dyDescent="0.35">
      <c r="A45">
        <v>2025</v>
      </c>
      <c r="B45">
        <v>2</v>
      </c>
      <c r="C45" t="s">
        <v>63</v>
      </c>
      <c r="D45" t="s">
        <v>317</v>
      </c>
      <c r="E45" t="s">
        <v>265</v>
      </c>
      <c r="F45">
        <v>3202</v>
      </c>
      <c r="G45">
        <v>255754</v>
      </c>
      <c r="H45">
        <v>247797</v>
      </c>
      <c r="I45">
        <v>229743</v>
      </c>
      <c r="J45">
        <v>354128</v>
      </c>
      <c r="K45">
        <v>239743</v>
      </c>
      <c r="L45">
        <v>262797</v>
      </c>
    </row>
    <row r="46" spans="1:12" x14ac:dyDescent="0.35">
      <c r="A46">
        <v>2025</v>
      </c>
      <c r="B46">
        <v>2</v>
      </c>
      <c r="C46" t="s">
        <v>63</v>
      </c>
      <c r="D46" t="s">
        <v>317</v>
      </c>
      <c r="E46" t="s">
        <v>267</v>
      </c>
      <c r="F46">
        <v>4313</v>
      </c>
      <c r="G46">
        <v>312188</v>
      </c>
      <c r="H46">
        <v>301589</v>
      </c>
      <c r="I46">
        <v>260064</v>
      </c>
      <c r="J46">
        <v>465729</v>
      </c>
      <c r="K46">
        <v>280752</v>
      </c>
      <c r="L46">
        <v>330052</v>
      </c>
    </row>
    <row r="47" spans="1:12" x14ac:dyDescent="0.35">
      <c r="A47">
        <v>2025</v>
      </c>
      <c r="B47">
        <v>3</v>
      </c>
      <c r="C47" t="s">
        <v>66</v>
      </c>
      <c r="D47" t="s">
        <v>317</v>
      </c>
      <c r="E47" t="s">
        <v>255</v>
      </c>
      <c r="F47">
        <v>2</v>
      </c>
      <c r="G47">
        <v>524326</v>
      </c>
      <c r="H47">
        <v>524326</v>
      </c>
      <c r="I47">
        <v>502848</v>
      </c>
      <c r="J47">
        <v>545804</v>
      </c>
      <c r="K47">
        <v>502848</v>
      </c>
      <c r="L47">
        <v>545804</v>
      </c>
    </row>
    <row r="48" spans="1:12" x14ac:dyDescent="0.35">
      <c r="A48">
        <v>2025</v>
      </c>
      <c r="B48">
        <v>3</v>
      </c>
      <c r="C48" t="s">
        <v>66</v>
      </c>
      <c r="D48" t="s">
        <v>317</v>
      </c>
      <c r="E48" t="s">
        <v>265</v>
      </c>
      <c r="F48">
        <v>3292</v>
      </c>
      <c r="G48">
        <v>255190</v>
      </c>
      <c r="H48">
        <v>247243</v>
      </c>
      <c r="I48">
        <v>229743</v>
      </c>
      <c r="J48">
        <v>354128</v>
      </c>
      <c r="K48">
        <v>239743</v>
      </c>
      <c r="L48">
        <v>262243</v>
      </c>
    </row>
    <row r="49" spans="1:12" x14ac:dyDescent="0.35">
      <c r="A49">
        <v>2025</v>
      </c>
      <c r="B49">
        <v>3</v>
      </c>
      <c r="C49" t="s">
        <v>66</v>
      </c>
      <c r="D49" t="s">
        <v>317</v>
      </c>
      <c r="E49" t="s">
        <v>267</v>
      </c>
      <c r="F49">
        <v>4450</v>
      </c>
      <c r="G49">
        <v>310046</v>
      </c>
      <c r="H49">
        <v>298486</v>
      </c>
      <c r="I49">
        <v>260064</v>
      </c>
      <c r="J49">
        <v>467812</v>
      </c>
      <c r="K49">
        <v>278486</v>
      </c>
      <c r="L49">
        <v>326442</v>
      </c>
    </row>
    <row r="50" spans="1:12" x14ac:dyDescent="0.35">
      <c r="A50">
        <v>2025</v>
      </c>
      <c r="B50">
        <v>4</v>
      </c>
      <c r="C50" t="s">
        <v>67</v>
      </c>
      <c r="D50" t="s">
        <v>317</v>
      </c>
      <c r="E50" t="s">
        <v>255</v>
      </c>
      <c r="F50">
        <v>2</v>
      </c>
      <c r="G50">
        <v>524326</v>
      </c>
      <c r="H50">
        <v>524326</v>
      </c>
      <c r="I50">
        <v>502848</v>
      </c>
      <c r="J50">
        <v>545804</v>
      </c>
      <c r="K50">
        <v>502848</v>
      </c>
      <c r="L50">
        <v>545804</v>
      </c>
    </row>
    <row r="51" spans="1:12" x14ac:dyDescent="0.35">
      <c r="A51">
        <v>2025</v>
      </c>
      <c r="B51">
        <v>4</v>
      </c>
      <c r="C51" t="s">
        <v>67</v>
      </c>
      <c r="D51" t="s">
        <v>317</v>
      </c>
      <c r="E51" t="s">
        <v>265</v>
      </c>
      <c r="F51">
        <v>3202</v>
      </c>
      <c r="G51">
        <v>255754</v>
      </c>
      <c r="H51">
        <v>247797</v>
      </c>
      <c r="I51">
        <v>229743</v>
      </c>
      <c r="J51">
        <v>354128</v>
      </c>
      <c r="K51">
        <v>239743</v>
      </c>
      <c r="L51">
        <v>262797</v>
      </c>
    </row>
    <row r="52" spans="1:12" x14ac:dyDescent="0.35">
      <c r="A52">
        <v>2025</v>
      </c>
      <c r="B52">
        <v>4</v>
      </c>
      <c r="C52" t="s">
        <v>67</v>
      </c>
      <c r="D52" t="s">
        <v>317</v>
      </c>
      <c r="E52" t="s">
        <v>267</v>
      </c>
      <c r="F52">
        <v>4313</v>
      </c>
      <c r="G52">
        <v>312188</v>
      </c>
      <c r="H52">
        <v>301589</v>
      </c>
      <c r="I52">
        <v>260064</v>
      </c>
      <c r="J52">
        <v>465729</v>
      </c>
      <c r="K52">
        <v>280752</v>
      </c>
      <c r="L52">
        <v>330052</v>
      </c>
    </row>
    <row r="53" spans="1:12" x14ac:dyDescent="0.35">
      <c r="A53">
        <v>2025</v>
      </c>
      <c r="B53">
        <v>5</v>
      </c>
      <c r="C53" t="s">
        <v>68</v>
      </c>
      <c r="D53" t="s">
        <v>317</v>
      </c>
      <c r="E53" t="s">
        <v>255</v>
      </c>
      <c r="F53">
        <v>2</v>
      </c>
      <c r="G53">
        <v>524326</v>
      </c>
      <c r="H53">
        <v>524326</v>
      </c>
      <c r="I53">
        <v>502848</v>
      </c>
      <c r="J53">
        <v>545804</v>
      </c>
      <c r="K53">
        <v>502848</v>
      </c>
      <c r="L53">
        <v>545804</v>
      </c>
    </row>
    <row r="54" spans="1:12" x14ac:dyDescent="0.35">
      <c r="A54">
        <v>2025</v>
      </c>
      <c r="B54">
        <v>5</v>
      </c>
      <c r="C54" t="s">
        <v>68</v>
      </c>
      <c r="D54" t="s">
        <v>317</v>
      </c>
      <c r="E54" t="s">
        <v>265</v>
      </c>
      <c r="F54">
        <v>3435</v>
      </c>
      <c r="G54">
        <v>254660</v>
      </c>
      <c r="H54">
        <v>247243</v>
      </c>
      <c r="I54">
        <v>229743</v>
      </c>
      <c r="J54">
        <v>354128</v>
      </c>
      <c r="K54">
        <v>239743</v>
      </c>
      <c r="L54">
        <v>262243</v>
      </c>
    </row>
    <row r="55" spans="1:12" x14ac:dyDescent="0.35">
      <c r="A55">
        <v>2025</v>
      </c>
      <c r="B55">
        <v>5</v>
      </c>
      <c r="C55" t="s">
        <v>68</v>
      </c>
      <c r="D55" t="s">
        <v>317</v>
      </c>
      <c r="E55" t="s">
        <v>267</v>
      </c>
      <c r="F55">
        <v>4549</v>
      </c>
      <c r="G55">
        <v>309911</v>
      </c>
      <c r="H55">
        <v>298486</v>
      </c>
      <c r="I55">
        <v>260064</v>
      </c>
      <c r="J55">
        <v>465729</v>
      </c>
      <c r="K55">
        <v>278486</v>
      </c>
      <c r="L55">
        <v>325519</v>
      </c>
    </row>
    <row r="56" spans="1:12" x14ac:dyDescent="0.35">
      <c r="A56">
        <v>2025</v>
      </c>
      <c r="B56">
        <v>6</v>
      </c>
      <c r="C56" t="s">
        <v>69</v>
      </c>
      <c r="D56" t="s">
        <v>317</v>
      </c>
      <c r="E56" t="s">
        <v>255</v>
      </c>
      <c r="F56">
        <v>2</v>
      </c>
      <c r="G56">
        <v>524326</v>
      </c>
      <c r="H56">
        <v>524326</v>
      </c>
      <c r="I56">
        <v>502848</v>
      </c>
      <c r="J56">
        <v>545804</v>
      </c>
      <c r="K56">
        <v>502848</v>
      </c>
      <c r="L56">
        <v>545804</v>
      </c>
    </row>
    <row r="57" spans="1:12" x14ac:dyDescent="0.35">
      <c r="A57">
        <v>2025</v>
      </c>
      <c r="B57">
        <v>6</v>
      </c>
      <c r="C57" t="s">
        <v>69</v>
      </c>
      <c r="D57" t="s">
        <v>317</v>
      </c>
      <c r="E57" t="s">
        <v>265</v>
      </c>
      <c r="F57">
        <v>3452</v>
      </c>
      <c r="G57">
        <v>254800</v>
      </c>
      <c r="H57">
        <v>247243</v>
      </c>
      <c r="I57">
        <v>229743</v>
      </c>
      <c r="J57">
        <v>354128</v>
      </c>
      <c r="K57">
        <v>239743</v>
      </c>
      <c r="L57">
        <v>262243</v>
      </c>
    </row>
    <row r="58" spans="1:12" x14ac:dyDescent="0.35">
      <c r="A58">
        <v>2025</v>
      </c>
      <c r="B58">
        <v>6</v>
      </c>
      <c r="C58" t="s">
        <v>69</v>
      </c>
      <c r="D58" t="s">
        <v>317</v>
      </c>
      <c r="E58" t="s">
        <v>267</v>
      </c>
      <c r="F58">
        <v>4592</v>
      </c>
      <c r="G58">
        <v>310096</v>
      </c>
      <c r="H58">
        <v>298486</v>
      </c>
      <c r="I58">
        <v>260064</v>
      </c>
      <c r="J58">
        <v>465729</v>
      </c>
      <c r="K58">
        <v>278488</v>
      </c>
      <c r="L58">
        <v>323019</v>
      </c>
    </row>
    <row r="59" spans="1:12" x14ac:dyDescent="0.35">
      <c r="A59">
        <v>2025</v>
      </c>
      <c r="B59">
        <v>7</v>
      </c>
      <c r="C59" t="s">
        <v>70</v>
      </c>
      <c r="D59" t="s">
        <v>317</v>
      </c>
      <c r="E59" t="s">
        <v>255</v>
      </c>
      <c r="F59">
        <v>2</v>
      </c>
      <c r="G59">
        <v>524326</v>
      </c>
      <c r="H59">
        <v>524326</v>
      </c>
      <c r="I59">
        <v>502848</v>
      </c>
      <c r="J59">
        <v>545804</v>
      </c>
      <c r="K59">
        <v>502848</v>
      </c>
      <c r="L59">
        <v>545804</v>
      </c>
    </row>
    <row r="60" spans="1:12" x14ac:dyDescent="0.35">
      <c r="A60">
        <v>2025</v>
      </c>
      <c r="B60">
        <v>7</v>
      </c>
      <c r="C60" t="s">
        <v>70</v>
      </c>
      <c r="D60" t="s">
        <v>317</v>
      </c>
      <c r="E60" t="s">
        <v>265</v>
      </c>
      <c r="F60">
        <v>3481</v>
      </c>
      <c r="G60">
        <v>254775</v>
      </c>
      <c r="H60">
        <v>247797</v>
      </c>
      <c r="I60">
        <v>229743</v>
      </c>
      <c r="J60">
        <v>354128</v>
      </c>
      <c r="K60">
        <v>239743</v>
      </c>
      <c r="L60">
        <v>262243</v>
      </c>
    </row>
    <row r="61" spans="1:12" x14ac:dyDescent="0.35">
      <c r="A61">
        <v>2025</v>
      </c>
      <c r="B61">
        <v>7</v>
      </c>
      <c r="C61" t="s">
        <v>70</v>
      </c>
      <c r="D61" t="s">
        <v>317</v>
      </c>
      <c r="E61" t="s">
        <v>267</v>
      </c>
      <c r="F61">
        <v>4596</v>
      </c>
      <c r="G61">
        <v>310268</v>
      </c>
      <c r="H61">
        <v>300519</v>
      </c>
      <c r="I61">
        <v>260064</v>
      </c>
      <c r="J61">
        <v>465729</v>
      </c>
      <c r="K61">
        <v>280752</v>
      </c>
      <c r="L61">
        <v>323942</v>
      </c>
    </row>
    <row r="62" spans="1:12" x14ac:dyDescent="0.35">
      <c r="A62">
        <v>2025</v>
      </c>
      <c r="B62">
        <v>8</v>
      </c>
      <c r="C62" t="s">
        <v>71</v>
      </c>
      <c r="D62" t="s">
        <v>317</v>
      </c>
      <c r="E62" t="s">
        <v>255</v>
      </c>
      <c r="F62">
        <v>2</v>
      </c>
      <c r="G62">
        <v>524326</v>
      </c>
      <c r="H62">
        <v>524326</v>
      </c>
      <c r="I62">
        <v>502848</v>
      </c>
      <c r="J62">
        <v>545804</v>
      </c>
      <c r="K62">
        <v>502848</v>
      </c>
      <c r="L62">
        <v>545804</v>
      </c>
    </row>
    <row r="63" spans="1:12" x14ac:dyDescent="0.35">
      <c r="A63">
        <v>2025</v>
      </c>
      <c r="B63">
        <v>8</v>
      </c>
      <c r="C63" t="s">
        <v>71</v>
      </c>
      <c r="D63" t="s">
        <v>317</v>
      </c>
      <c r="E63" t="s">
        <v>265</v>
      </c>
      <c r="F63">
        <v>3513</v>
      </c>
      <c r="G63">
        <v>254915</v>
      </c>
      <c r="H63">
        <v>247797</v>
      </c>
      <c r="I63">
        <v>229743</v>
      </c>
      <c r="J63">
        <v>354128</v>
      </c>
      <c r="K63">
        <v>239743</v>
      </c>
      <c r="L63">
        <v>262243</v>
      </c>
    </row>
    <row r="64" spans="1:12" x14ac:dyDescent="0.35">
      <c r="A64">
        <v>2025</v>
      </c>
      <c r="B64">
        <v>8</v>
      </c>
      <c r="C64" t="s">
        <v>71</v>
      </c>
      <c r="D64" t="s">
        <v>317</v>
      </c>
      <c r="E64" t="s">
        <v>267</v>
      </c>
      <c r="F64">
        <v>4592</v>
      </c>
      <c r="G64">
        <v>310152</v>
      </c>
      <c r="H64">
        <v>298486</v>
      </c>
      <c r="I64">
        <v>260064</v>
      </c>
      <c r="J64">
        <v>465729</v>
      </c>
      <c r="K64">
        <v>280986</v>
      </c>
      <c r="L64">
        <v>323019</v>
      </c>
    </row>
    <row r="65" spans="1:12" x14ac:dyDescent="0.35">
      <c r="A65">
        <v>2025</v>
      </c>
      <c r="B65">
        <v>9</v>
      </c>
      <c r="C65" t="s">
        <v>72</v>
      </c>
      <c r="D65" t="s">
        <v>317</v>
      </c>
      <c r="E65" t="s">
        <v>255</v>
      </c>
      <c r="F65">
        <v>2</v>
      </c>
      <c r="G65">
        <v>524326</v>
      </c>
      <c r="H65">
        <v>524326</v>
      </c>
      <c r="I65">
        <v>502848</v>
      </c>
      <c r="J65">
        <v>545804</v>
      </c>
      <c r="K65">
        <v>502848</v>
      </c>
      <c r="L65">
        <v>545804</v>
      </c>
    </row>
    <row r="66" spans="1:12" x14ac:dyDescent="0.35">
      <c r="A66">
        <v>2025</v>
      </c>
      <c r="B66">
        <v>9</v>
      </c>
      <c r="C66" t="s">
        <v>72</v>
      </c>
      <c r="D66" t="s">
        <v>317</v>
      </c>
      <c r="E66" t="s">
        <v>265</v>
      </c>
      <c r="F66">
        <v>3525</v>
      </c>
      <c r="G66">
        <v>254790</v>
      </c>
      <c r="H66">
        <v>247797</v>
      </c>
      <c r="I66">
        <v>229743</v>
      </c>
      <c r="J66">
        <v>354128</v>
      </c>
      <c r="K66">
        <v>239743</v>
      </c>
      <c r="L66">
        <v>262243</v>
      </c>
    </row>
    <row r="67" spans="1:12" x14ac:dyDescent="0.35">
      <c r="A67">
        <v>2025</v>
      </c>
      <c r="B67">
        <v>9</v>
      </c>
      <c r="C67" t="s">
        <v>72</v>
      </c>
      <c r="D67" t="s">
        <v>317</v>
      </c>
      <c r="E67" t="s">
        <v>267</v>
      </c>
      <c r="F67">
        <v>4592</v>
      </c>
      <c r="G67">
        <v>310016</v>
      </c>
      <c r="H67">
        <v>298486</v>
      </c>
      <c r="I67">
        <v>260064</v>
      </c>
      <c r="J67">
        <v>465729</v>
      </c>
      <c r="K67">
        <v>283486</v>
      </c>
      <c r="L67">
        <v>321442</v>
      </c>
    </row>
    <row r="68" spans="1:12" x14ac:dyDescent="0.35">
      <c r="A68">
        <v>2025</v>
      </c>
      <c r="B68">
        <v>10</v>
      </c>
      <c r="C68" t="s">
        <v>73</v>
      </c>
      <c r="D68" t="s">
        <v>317</v>
      </c>
      <c r="E68" t="s">
        <v>255</v>
      </c>
      <c r="F68">
        <v>2</v>
      </c>
      <c r="G68">
        <v>524326</v>
      </c>
      <c r="H68">
        <v>524326</v>
      </c>
      <c r="I68">
        <v>502848</v>
      </c>
      <c r="J68">
        <v>545804</v>
      </c>
      <c r="K68">
        <v>502848</v>
      </c>
      <c r="L68">
        <v>545804</v>
      </c>
    </row>
    <row r="69" spans="1:12" x14ac:dyDescent="0.35">
      <c r="A69">
        <v>2025</v>
      </c>
      <c r="B69">
        <v>10</v>
      </c>
      <c r="C69" t="s">
        <v>73</v>
      </c>
      <c r="D69" t="s">
        <v>317</v>
      </c>
      <c r="E69" t="s">
        <v>265</v>
      </c>
      <c r="F69">
        <v>3547</v>
      </c>
      <c r="G69">
        <v>254915</v>
      </c>
      <c r="H69">
        <v>247797</v>
      </c>
      <c r="I69">
        <v>229743</v>
      </c>
      <c r="J69">
        <v>350839</v>
      </c>
      <c r="K69">
        <v>239743</v>
      </c>
      <c r="L69">
        <v>262244</v>
      </c>
    </row>
    <row r="70" spans="1:12" x14ac:dyDescent="0.35">
      <c r="A70">
        <v>2025</v>
      </c>
      <c r="B70">
        <v>10</v>
      </c>
      <c r="C70" t="s">
        <v>73</v>
      </c>
      <c r="D70" t="s">
        <v>317</v>
      </c>
      <c r="E70" t="s">
        <v>267</v>
      </c>
      <c r="F70">
        <v>4603</v>
      </c>
      <c r="G70">
        <v>310022</v>
      </c>
      <c r="H70">
        <v>298486</v>
      </c>
      <c r="I70">
        <v>260064</v>
      </c>
      <c r="J70">
        <v>465729</v>
      </c>
      <c r="K70">
        <v>283486</v>
      </c>
      <c r="L70">
        <v>320752</v>
      </c>
    </row>
    <row r="71" spans="1:12" x14ac:dyDescent="0.35">
      <c r="A71">
        <v>2025</v>
      </c>
      <c r="B71">
        <v>11</v>
      </c>
      <c r="C71" t="s">
        <v>74</v>
      </c>
      <c r="D71" t="s">
        <v>317</v>
      </c>
      <c r="E71" t="s">
        <v>255</v>
      </c>
      <c r="F71">
        <v>2</v>
      </c>
      <c r="G71">
        <v>530171</v>
      </c>
      <c r="H71">
        <v>530171</v>
      </c>
      <c r="I71">
        <v>502848</v>
      </c>
      <c r="J71">
        <v>557494</v>
      </c>
      <c r="K71">
        <v>502848</v>
      </c>
      <c r="L71">
        <v>557494</v>
      </c>
    </row>
    <row r="72" spans="1:12" x14ac:dyDescent="0.35">
      <c r="A72">
        <v>2025</v>
      </c>
      <c r="B72">
        <v>11</v>
      </c>
      <c r="C72" t="s">
        <v>74</v>
      </c>
      <c r="D72" t="s">
        <v>317</v>
      </c>
      <c r="E72" t="s">
        <v>265</v>
      </c>
      <c r="F72">
        <v>3580</v>
      </c>
      <c r="G72">
        <v>254931</v>
      </c>
      <c r="H72">
        <v>247797</v>
      </c>
      <c r="I72">
        <v>229743</v>
      </c>
      <c r="J72">
        <v>350839</v>
      </c>
      <c r="K72">
        <v>239743</v>
      </c>
      <c r="L72">
        <v>262243</v>
      </c>
    </row>
    <row r="73" spans="1:12" x14ac:dyDescent="0.35">
      <c r="A73">
        <v>2025</v>
      </c>
      <c r="B73">
        <v>11</v>
      </c>
      <c r="C73" t="s">
        <v>74</v>
      </c>
      <c r="D73" t="s">
        <v>317</v>
      </c>
      <c r="E73" t="s">
        <v>267</v>
      </c>
      <c r="F73">
        <v>4602</v>
      </c>
      <c r="G73">
        <v>310193</v>
      </c>
      <c r="H73">
        <v>298486</v>
      </c>
      <c r="I73">
        <v>260064</v>
      </c>
      <c r="J73">
        <v>465729</v>
      </c>
      <c r="K73">
        <v>283486</v>
      </c>
      <c r="L73">
        <v>320752</v>
      </c>
    </row>
    <row r="74" spans="1:12" x14ac:dyDescent="0.35">
      <c r="A74">
        <v>2025</v>
      </c>
      <c r="B74">
        <v>12</v>
      </c>
      <c r="C74" t="s">
        <v>75</v>
      </c>
      <c r="D74" t="s">
        <v>317</v>
      </c>
      <c r="E74" t="s">
        <v>255</v>
      </c>
      <c r="F74">
        <v>2</v>
      </c>
      <c r="G74">
        <v>527682</v>
      </c>
      <c r="H74">
        <v>527682</v>
      </c>
      <c r="I74">
        <v>502848</v>
      </c>
      <c r="J74">
        <v>552515</v>
      </c>
      <c r="K74">
        <v>502848</v>
      </c>
      <c r="L74">
        <v>552515</v>
      </c>
    </row>
    <row r="75" spans="1:12" x14ac:dyDescent="0.35">
      <c r="A75">
        <v>2025</v>
      </c>
      <c r="B75">
        <v>12</v>
      </c>
      <c r="C75" t="s">
        <v>75</v>
      </c>
      <c r="D75" t="s">
        <v>317</v>
      </c>
      <c r="E75" t="s">
        <v>265</v>
      </c>
      <c r="F75">
        <v>3594</v>
      </c>
      <c r="G75">
        <v>255053</v>
      </c>
      <c r="H75">
        <v>247797</v>
      </c>
      <c r="I75">
        <v>229743</v>
      </c>
      <c r="J75">
        <v>350839</v>
      </c>
      <c r="K75">
        <v>239743</v>
      </c>
      <c r="L75">
        <v>262797</v>
      </c>
    </row>
    <row r="76" spans="1:12" x14ac:dyDescent="0.35">
      <c r="A76">
        <v>2025</v>
      </c>
      <c r="B76">
        <v>12</v>
      </c>
      <c r="C76" t="s">
        <v>75</v>
      </c>
      <c r="D76" t="s">
        <v>317</v>
      </c>
      <c r="E76" t="s">
        <v>267</v>
      </c>
      <c r="F76">
        <v>4586</v>
      </c>
      <c r="G76">
        <v>310253</v>
      </c>
      <c r="H76">
        <v>298486</v>
      </c>
      <c r="I76">
        <v>260064</v>
      </c>
      <c r="J76">
        <v>465729</v>
      </c>
      <c r="K76">
        <v>283486</v>
      </c>
      <c r="L76">
        <v>320752</v>
      </c>
    </row>
  </sheetData>
  <mergeCells count="1">
    <mergeCell ref="A1:L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187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254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319</v>
      </c>
      <c r="E5" t="s">
        <v>255</v>
      </c>
      <c r="F5">
        <v>1777</v>
      </c>
      <c r="G5">
        <v>477265</v>
      </c>
      <c r="H5">
        <v>465495</v>
      </c>
      <c r="I5">
        <v>300385</v>
      </c>
      <c r="J5">
        <v>598072</v>
      </c>
      <c r="K5">
        <v>419436</v>
      </c>
      <c r="L5">
        <v>555015</v>
      </c>
    </row>
    <row r="6" spans="1:12" x14ac:dyDescent="0.35">
      <c r="A6">
        <v>2024</v>
      </c>
      <c r="B6">
        <v>1</v>
      </c>
      <c r="C6" t="s">
        <v>42</v>
      </c>
      <c r="D6" t="s">
        <v>319</v>
      </c>
      <c r="E6" t="s">
        <v>257</v>
      </c>
      <c r="F6">
        <v>297</v>
      </c>
      <c r="G6">
        <v>486677</v>
      </c>
      <c r="H6">
        <v>518403</v>
      </c>
      <c r="I6">
        <v>330286</v>
      </c>
      <c r="J6">
        <v>663477</v>
      </c>
      <c r="K6">
        <v>349866</v>
      </c>
      <c r="L6">
        <v>624400</v>
      </c>
    </row>
    <row r="7" spans="1:12" x14ac:dyDescent="0.35">
      <c r="A7">
        <v>2024</v>
      </c>
      <c r="B7">
        <v>1</v>
      </c>
      <c r="C7" t="s">
        <v>42</v>
      </c>
      <c r="D7" t="s">
        <v>319</v>
      </c>
      <c r="E7" t="s">
        <v>259</v>
      </c>
      <c r="F7">
        <v>11</v>
      </c>
      <c r="G7">
        <v>609563</v>
      </c>
      <c r="H7">
        <v>610939</v>
      </c>
      <c r="I7">
        <v>518084</v>
      </c>
      <c r="J7">
        <v>680189</v>
      </c>
      <c r="K7">
        <v>576040</v>
      </c>
      <c r="L7">
        <v>672689</v>
      </c>
    </row>
    <row r="8" spans="1:12" x14ac:dyDescent="0.35">
      <c r="A8">
        <v>2024</v>
      </c>
      <c r="B8">
        <v>1</v>
      </c>
      <c r="C8" t="s">
        <v>42</v>
      </c>
      <c r="D8" t="s">
        <v>319</v>
      </c>
      <c r="E8" t="s">
        <v>261</v>
      </c>
      <c r="F8">
        <v>4</v>
      </c>
      <c r="G8">
        <v>692129</v>
      </c>
      <c r="H8">
        <v>693379</v>
      </c>
      <c r="I8">
        <v>685879</v>
      </c>
      <c r="J8">
        <v>695879</v>
      </c>
      <c r="K8">
        <v>693379</v>
      </c>
      <c r="L8">
        <v>693379</v>
      </c>
    </row>
    <row r="9" spans="1:12" x14ac:dyDescent="0.35">
      <c r="A9">
        <v>2024</v>
      </c>
      <c r="B9">
        <v>1</v>
      </c>
      <c r="C9" t="s">
        <v>42</v>
      </c>
      <c r="D9" t="s">
        <v>319</v>
      </c>
      <c r="E9" t="s">
        <v>267</v>
      </c>
      <c r="F9">
        <v>24343</v>
      </c>
      <c r="G9">
        <v>321600</v>
      </c>
      <c r="H9">
        <v>308942</v>
      </c>
      <c r="I9">
        <v>260064</v>
      </c>
      <c r="J9">
        <v>466517</v>
      </c>
      <c r="K9">
        <v>285064</v>
      </c>
      <c r="L9">
        <v>341442</v>
      </c>
    </row>
    <row r="10" spans="1:12" x14ac:dyDescent="0.35">
      <c r="A10">
        <v>2024</v>
      </c>
      <c r="B10">
        <v>1</v>
      </c>
      <c r="C10" t="s">
        <v>42</v>
      </c>
      <c r="D10" t="s">
        <v>319</v>
      </c>
      <c r="E10" t="s">
        <v>269</v>
      </c>
      <c r="F10">
        <v>3911</v>
      </c>
      <c r="G10">
        <v>237160</v>
      </c>
      <c r="H10">
        <v>234373</v>
      </c>
      <c r="I10">
        <v>216923</v>
      </c>
      <c r="J10">
        <v>287748</v>
      </c>
      <c r="K10">
        <v>224792</v>
      </c>
      <c r="L10">
        <v>247243</v>
      </c>
    </row>
    <row r="11" spans="1:12" x14ac:dyDescent="0.35">
      <c r="A11">
        <v>2024</v>
      </c>
      <c r="B11">
        <v>1</v>
      </c>
      <c r="C11" t="s">
        <v>42</v>
      </c>
      <c r="D11" t="s">
        <v>319</v>
      </c>
      <c r="E11" t="s">
        <v>275</v>
      </c>
      <c r="F11">
        <v>798</v>
      </c>
      <c r="G11">
        <v>218925</v>
      </c>
      <c r="H11">
        <v>215026</v>
      </c>
      <c r="I11">
        <v>204237</v>
      </c>
      <c r="J11">
        <v>258265</v>
      </c>
      <c r="K11">
        <v>208265</v>
      </c>
      <c r="L11">
        <v>227526</v>
      </c>
    </row>
    <row r="12" spans="1:12" x14ac:dyDescent="0.35">
      <c r="A12">
        <v>2024</v>
      </c>
      <c r="B12">
        <v>2</v>
      </c>
      <c r="C12" t="s">
        <v>63</v>
      </c>
      <c r="D12" t="s">
        <v>319</v>
      </c>
      <c r="E12" t="s">
        <v>255</v>
      </c>
      <c r="F12">
        <v>1882</v>
      </c>
      <c r="G12">
        <v>475344</v>
      </c>
      <c r="H12">
        <v>463045</v>
      </c>
      <c r="I12">
        <v>300385</v>
      </c>
      <c r="J12">
        <v>598072</v>
      </c>
      <c r="K12">
        <v>416936</v>
      </c>
      <c r="L12">
        <v>553304</v>
      </c>
    </row>
    <row r="13" spans="1:12" x14ac:dyDescent="0.35">
      <c r="A13">
        <v>2024</v>
      </c>
      <c r="B13">
        <v>2</v>
      </c>
      <c r="C13" t="s">
        <v>63</v>
      </c>
      <c r="D13" t="s">
        <v>319</v>
      </c>
      <c r="E13" t="s">
        <v>257</v>
      </c>
      <c r="F13">
        <v>299</v>
      </c>
      <c r="G13">
        <v>493526</v>
      </c>
      <c r="H13">
        <v>523403</v>
      </c>
      <c r="I13">
        <v>325286</v>
      </c>
      <c r="J13">
        <v>684871</v>
      </c>
      <c r="K13">
        <v>349866</v>
      </c>
      <c r="L13">
        <v>630977</v>
      </c>
    </row>
    <row r="14" spans="1:12" x14ac:dyDescent="0.35">
      <c r="A14">
        <v>2024</v>
      </c>
      <c r="B14">
        <v>2</v>
      </c>
      <c r="C14" t="s">
        <v>63</v>
      </c>
      <c r="D14" t="s">
        <v>319</v>
      </c>
      <c r="E14" t="s">
        <v>259</v>
      </c>
      <c r="F14">
        <v>11</v>
      </c>
      <c r="G14">
        <v>609563</v>
      </c>
      <c r="H14">
        <v>610939</v>
      </c>
      <c r="I14">
        <v>518084</v>
      </c>
      <c r="J14">
        <v>680189</v>
      </c>
      <c r="K14">
        <v>576040</v>
      </c>
      <c r="L14">
        <v>672689</v>
      </c>
    </row>
    <row r="15" spans="1:12" x14ac:dyDescent="0.35">
      <c r="A15">
        <v>2024</v>
      </c>
      <c r="B15">
        <v>2</v>
      </c>
      <c r="C15" t="s">
        <v>63</v>
      </c>
      <c r="D15" t="s">
        <v>319</v>
      </c>
      <c r="E15" t="s">
        <v>261</v>
      </c>
      <c r="F15">
        <v>4</v>
      </c>
      <c r="G15">
        <v>692129</v>
      </c>
      <c r="H15">
        <v>693379</v>
      </c>
      <c r="I15">
        <v>685879</v>
      </c>
      <c r="J15">
        <v>695879</v>
      </c>
      <c r="K15">
        <v>693379</v>
      </c>
      <c r="L15">
        <v>693379</v>
      </c>
    </row>
    <row r="16" spans="1:12" x14ac:dyDescent="0.35">
      <c r="A16">
        <v>2024</v>
      </c>
      <c r="B16">
        <v>2</v>
      </c>
      <c r="C16" t="s">
        <v>63</v>
      </c>
      <c r="D16" t="s">
        <v>319</v>
      </c>
      <c r="E16" t="s">
        <v>267</v>
      </c>
      <c r="F16">
        <v>24318</v>
      </c>
      <c r="G16">
        <v>321586</v>
      </c>
      <c r="H16">
        <v>308942</v>
      </c>
      <c r="I16">
        <v>260064</v>
      </c>
      <c r="J16">
        <v>466517</v>
      </c>
      <c r="K16">
        <v>283486</v>
      </c>
      <c r="L16">
        <v>341442</v>
      </c>
    </row>
    <row r="17" spans="1:12" x14ac:dyDescent="0.35">
      <c r="A17">
        <v>2024</v>
      </c>
      <c r="B17">
        <v>2</v>
      </c>
      <c r="C17" t="s">
        <v>63</v>
      </c>
      <c r="D17" t="s">
        <v>319</v>
      </c>
      <c r="E17" t="s">
        <v>269</v>
      </c>
      <c r="F17">
        <v>3861</v>
      </c>
      <c r="G17">
        <v>237341</v>
      </c>
      <c r="H17">
        <v>234373</v>
      </c>
      <c r="I17">
        <v>216923</v>
      </c>
      <c r="J17">
        <v>288550</v>
      </c>
      <c r="K17">
        <v>224976</v>
      </c>
      <c r="L17">
        <v>247243</v>
      </c>
    </row>
    <row r="18" spans="1:12" x14ac:dyDescent="0.35">
      <c r="A18">
        <v>2024</v>
      </c>
      <c r="B18">
        <v>2</v>
      </c>
      <c r="C18" t="s">
        <v>63</v>
      </c>
      <c r="D18" t="s">
        <v>319</v>
      </c>
      <c r="E18" t="s">
        <v>275</v>
      </c>
      <c r="F18">
        <v>805</v>
      </c>
      <c r="G18">
        <v>219183</v>
      </c>
      <c r="H18">
        <v>215026</v>
      </c>
      <c r="I18">
        <v>204237</v>
      </c>
      <c r="J18">
        <v>258265</v>
      </c>
      <c r="K18">
        <v>208265</v>
      </c>
      <c r="L18">
        <v>228265</v>
      </c>
    </row>
    <row r="19" spans="1:12" x14ac:dyDescent="0.35">
      <c r="A19">
        <v>2024</v>
      </c>
      <c r="B19">
        <v>3</v>
      </c>
      <c r="C19" t="s">
        <v>66</v>
      </c>
      <c r="D19" t="s">
        <v>319</v>
      </c>
      <c r="E19" t="s">
        <v>255</v>
      </c>
      <c r="F19">
        <v>2071</v>
      </c>
      <c r="G19">
        <v>464361</v>
      </c>
      <c r="H19">
        <v>450495</v>
      </c>
      <c r="I19">
        <v>300385</v>
      </c>
      <c r="J19">
        <v>598920</v>
      </c>
      <c r="K19">
        <v>409485</v>
      </c>
      <c r="L19">
        <v>548304</v>
      </c>
    </row>
    <row r="20" spans="1:12" x14ac:dyDescent="0.35">
      <c r="A20">
        <v>2024</v>
      </c>
      <c r="B20">
        <v>3</v>
      </c>
      <c r="C20" t="s">
        <v>66</v>
      </c>
      <c r="D20" t="s">
        <v>319</v>
      </c>
      <c r="E20" t="s">
        <v>257</v>
      </c>
      <c r="F20">
        <v>342</v>
      </c>
      <c r="G20">
        <v>499824</v>
      </c>
      <c r="H20">
        <v>545903</v>
      </c>
      <c r="I20">
        <v>325286</v>
      </c>
      <c r="J20">
        <v>666900</v>
      </c>
      <c r="K20">
        <v>353474</v>
      </c>
      <c r="L20">
        <v>620977</v>
      </c>
    </row>
    <row r="21" spans="1:12" x14ac:dyDescent="0.35">
      <c r="A21">
        <v>2024</v>
      </c>
      <c r="B21">
        <v>3</v>
      </c>
      <c r="C21" t="s">
        <v>66</v>
      </c>
      <c r="D21" t="s">
        <v>319</v>
      </c>
      <c r="E21" t="s">
        <v>259</v>
      </c>
      <c r="F21">
        <v>11</v>
      </c>
      <c r="G21">
        <v>609563</v>
      </c>
      <c r="H21">
        <v>610939</v>
      </c>
      <c r="I21">
        <v>518084</v>
      </c>
      <c r="J21">
        <v>680189</v>
      </c>
      <c r="K21">
        <v>576040</v>
      </c>
      <c r="L21">
        <v>672689</v>
      </c>
    </row>
    <row r="22" spans="1:12" x14ac:dyDescent="0.35">
      <c r="A22">
        <v>2024</v>
      </c>
      <c r="B22">
        <v>3</v>
      </c>
      <c r="C22" t="s">
        <v>66</v>
      </c>
      <c r="D22" t="s">
        <v>319</v>
      </c>
      <c r="E22" t="s">
        <v>261</v>
      </c>
      <c r="F22">
        <v>4</v>
      </c>
      <c r="G22">
        <v>692129</v>
      </c>
      <c r="H22">
        <v>693379</v>
      </c>
      <c r="I22">
        <v>685879</v>
      </c>
      <c r="J22">
        <v>695879</v>
      </c>
      <c r="K22">
        <v>693379</v>
      </c>
      <c r="L22">
        <v>693379</v>
      </c>
    </row>
    <row r="23" spans="1:12" x14ac:dyDescent="0.35">
      <c r="A23">
        <v>2024</v>
      </c>
      <c r="B23">
        <v>3</v>
      </c>
      <c r="C23" t="s">
        <v>66</v>
      </c>
      <c r="D23" t="s">
        <v>319</v>
      </c>
      <c r="E23" t="s">
        <v>267</v>
      </c>
      <c r="F23">
        <v>24284</v>
      </c>
      <c r="G23">
        <v>323198</v>
      </c>
      <c r="H23">
        <v>315752</v>
      </c>
      <c r="I23">
        <v>260064</v>
      </c>
      <c r="J23">
        <v>466517</v>
      </c>
      <c r="K23">
        <v>283486</v>
      </c>
      <c r="L23">
        <v>342552</v>
      </c>
    </row>
    <row r="24" spans="1:12" x14ac:dyDescent="0.35">
      <c r="A24">
        <v>2024</v>
      </c>
      <c r="B24">
        <v>3</v>
      </c>
      <c r="C24" t="s">
        <v>66</v>
      </c>
      <c r="D24" t="s">
        <v>319</v>
      </c>
      <c r="E24" t="s">
        <v>269</v>
      </c>
      <c r="F24">
        <v>4011</v>
      </c>
      <c r="G24">
        <v>237828</v>
      </c>
      <c r="H24">
        <v>234790</v>
      </c>
      <c r="I24">
        <v>215902</v>
      </c>
      <c r="J24">
        <v>287748</v>
      </c>
      <c r="K24">
        <v>224976</v>
      </c>
      <c r="L24">
        <v>247476</v>
      </c>
    </row>
    <row r="25" spans="1:12" x14ac:dyDescent="0.35">
      <c r="A25">
        <v>2024</v>
      </c>
      <c r="B25">
        <v>3</v>
      </c>
      <c r="C25" t="s">
        <v>66</v>
      </c>
      <c r="D25" t="s">
        <v>319</v>
      </c>
      <c r="E25" t="s">
        <v>275</v>
      </c>
      <c r="F25">
        <v>861</v>
      </c>
      <c r="G25">
        <v>218570</v>
      </c>
      <c r="H25">
        <v>215026</v>
      </c>
      <c r="I25">
        <v>204237</v>
      </c>
      <c r="J25">
        <v>258265</v>
      </c>
      <c r="K25">
        <v>208265</v>
      </c>
      <c r="L25">
        <v>226319</v>
      </c>
    </row>
    <row r="26" spans="1:12" x14ac:dyDescent="0.35">
      <c r="A26">
        <v>2024</v>
      </c>
      <c r="B26">
        <v>4</v>
      </c>
      <c r="C26" t="s">
        <v>67</v>
      </c>
      <c r="D26" t="s">
        <v>319</v>
      </c>
      <c r="E26" t="s">
        <v>255</v>
      </c>
      <c r="F26">
        <v>2128</v>
      </c>
      <c r="G26">
        <v>465479</v>
      </c>
      <c r="H26">
        <v>450495</v>
      </c>
      <c r="I26">
        <v>300385</v>
      </c>
      <c r="J26">
        <v>598072</v>
      </c>
      <c r="K26">
        <v>411936</v>
      </c>
      <c r="L26">
        <v>545806</v>
      </c>
    </row>
    <row r="27" spans="1:12" x14ac:dyDescent="0.35">
      <c r="A27">
        <v>2024</v>
      </c>
      <c r="B27">
        <v>4</v>
      </c>
      <c r="C27" t="s">
        <v>67</v>
      </c>
      <c r="D27" t="s">
        <v>319</v>
      </c>
      <c r="E27" t="s">
        <v>257</v>
      </c>
      <c r="F27">
        <v>363</v>
      </c>
      <c r="G27">
        <v>499770</v>
      </c>
      <c r="H27">
        <v>545903</v>
      </c>
      <c r="I27">
        <v>325286</v>
      </c>
      <c r="J27">
        <v>674871</v>
      </c>
      <c r="K27">
        <v>353474</v>
      </c>
      <c r="L27">
        <v>620977</v>
      </c>
    </row>
    <row r="28" spans="1:12" x14ac:dyDescent="0.35">
      <c r="A28">
        <v>2024</v>
      </c>
      <c r="B28">
        <v>4</v>
      </c>
      <c r="C28" t="s">
        <v>67</v>
      </c>
      <c r="D28" t="s">
        <v>319</v>
      </c>
      <c r="E28" t="s">
        <v>259</v>
      </c>
      <c r="F28">
        <v>11</v>
      </c>
      <c r="G28">
        <v>609563</v>
      </c>
      <c r="H28">
        <v>610939</v>
      </c>
      <c r="I28">
        <v>518084</v>
      </c>
      <c r="J28">
        <v>680189</v>
      </c>
      <c r="K28">
        <v>576040</v>
      </c>
      <c r="L28">
        <v>672689</v>
      </c>
    </row>
    <row r="29" spans="1:12" x14ac:dyDescent="0.35">
      <c r="A29">
        <v>2024</v>
      </c>
      <c r="B29">
        <v>4</v>
      </c>
      <c r="C29" t="s">
        <v>67</v>
      </c>
      <c r="D29" t="s">
        <v>319</v>
      </c>
      <c r="E29" t="s">
        <v>261</v>
      </c>
      <c r="F29">
        <v>4</v>
      </c>
      <c r="G29">
        <v>692129</v>
      </c>
      <c r="H29">
        <v>693379</v>
      </c>
      <c r="I29">
        <v>685879</v>
      </c>
      <c r="J29">
        <v>695879</v>
      </c>
      <c r="K29">
        <v>693379</v>
      </c>
      <c r="L29">
        <v>693379</v>
      </c>
    </row>
    <row r="30" spans="1:12" x14ac:dyDescent="0.35">
      <c r="A30">
        <v>2024</v>
      </c>
      <c r="B30">
        <v>4</v>
      </c>
      <c r="C30" t="s">
        <v>67</v>
      </c>
      <c r="D30" t="s">
        <v>319</v>
      </c>
      <c r="E30" t="s">
        <v>267</v>
      </c>
      <c r="F30">
        <v>24408</v>
      </c>
      <c r="G30">
        <v>321806</v>
      </c>
      <c r="H30">
        <v>313252</v>
      </c>
      <c r="I30">
        <v>260064</v>
      </c>
      <c r="J30">
        <v>467852</v>
      </c>
      <c r="K30">
        <v>282677</v>
      </c>
      <c r="L30">
        <v>341442</v>
      </c>
    </row>
    <row r="31" spans="1:12" x14ac:dyDescent="0.35">
      <c r="A31">
        <v>2024</v>
      </c>
      <c r="B31">
        <v>4</v>
      </c>
      <c r="C31" t="s">
        <v>67</v>
      </c>
      <c r="D31" t="s">
        <v>319</v>
      </c>
      <c r="E31" t="s">
        <v>269</v>
      </c>
      <c r="F31">
        <v>3979</v>
      </c>
      <c r="G31">
        <v>237811</v>
      </c>
      <c r="H31">
        <v>234743</v>
      </c>
      <c r="I31">
        <v>216534</v>
      </c>
      <c r="J31">
        <v>287748</v>
      </c>
      <c r="K31">
        <v>224976</v>
      </c>
      <c r="L31">
        <v>247476</v>
      </c>
    </row>
    <row r="32" spans="1:12" x14ac:dyDescent="0.35">
      <c r="A32">
        <v>2024</v>
      </c>
      <c r="B32">
        <v>4</v>
      </c>
      <c r="C32" t="s">
        <v>67</v>
      </c>
      <c r="D32" t="s">
        <v>319</v>
      </c>
      <c r="E32" t="s">
        <v>275</v>
      </c>
      <c r="F32">
        <v>928</v>
      </c>
      <c r="G32">
        <v>217779</v>
      </c>
      <c r="H32">
        <v>214842</v>
      </c>
      <c r="I32">
        <v>204237</v>
      </c>
      <c r="J32">
        <v>258265</v>
      </c>
      <c r="K32">
        <v>207526</v>
      </c>
      <c r="L32">
        <v>225210</v>
      </c>
    </row>
    <row r="33" spans="1:12" x14ac:dyDescent="0.35">
      <c r="A33">
        <v>2024</v>
      </c>
      <c r="B33">
        <v>5</v>
      </c>
      <c r="C33" t="s">
        <v>68</v>
      </c>
      <c r="D33" t="s">
        <v>319</v>
      </c>
      <c r="E33" t="s">
        <v>255</v>
      </c>
      <c r="F33">
        <v>2156</v>
      </c>
      <c r="G33">
        <v>459476</v>
      </c>
      <c r="H33">
        <v>448044</v>
      </c>
      <c r="I33">
        <v>300385</v>
      </c>
      <c r="J33">
        <v>598072</v>
      </c>
      <c r="K33">
        <v>399485</v>
      </c>
      <c r="L33">
        <v>545804</v>
      </c>
    </row>
    <row r="34" spans="1:12" x14ac:dyDescent="0.35">
      <c r="A34">
        <v>2024</v>
      </c>
      <c r="B34">
        <v>5</v>
      </c>
      <c r="C34" t="s">
        <v>68</v>
      </c>
      <c r="D34" t="s">
        <v>319</v>
      </c>
      <c r="E34" t="s">
        <v>257</v>
      </c>
      <c r="F34">
        <v>377</v>
      </c>
      <c r="G34">
        <v>503123</v>
      </c>
      <c r="H34">
        <v>550804</v>
      </c>
      <c r="I34">
        <v>325286</v>
      </c>
      <c r="J34">
        <v>694918</v>
      </c>
      <c r="K34">
        <v>354866</v>
      </c>
      <c r="L34">
        <v>620977</v>
      </c>
    </row>
    <row r="35" spans="1:12" x14ac:dyDescent="0.35">
      <c r="A35">
        <v>2024</v>
      </c>
      <c r="B35">
        <v>5</v>
      </c>
      <c r="C35" t="s">
        <v>68</v>
      </c>
      <c r="D35" t="s">
        <v>319</v>
      </c>
      <c r="E35" t="s">
        <v>259</v>
      </c>
      <c r="F35">
        <v>11</v>
      </c>
      <c r="G35">
        <v>609563</v>
      </c>
      <c r="H35">
        <v>610939</v>
      </c>
      <c r="I35">
        <v>518084</v>
      </c>
      <c r="J35">
        <v>680189</v>
      </c>
      <c r="K35">
        <v>576040</v>
      </c>
      <c r="L35">
        <v>672689</v>
      </c>
    </row>
    <row r="36" spans="1:12" x14ac:dyDescent="0.35">
      <c r="A36">
        <v>2024</v>
      </c>
      <c r="B36">
        <v>5</v>
      </c>
      <c r="C36" t="s">
        <v>68</v>
      </c>
      <c r="D36" t="s">
        <v>319</v>
      </c>
      <c r="E36" t="s">
        <v>261</v>
      </c>
      <c r="F36">
        <v>4</v>
      </c>
      <c r="G36">
        <v>692129</v>
      </c>
      <c r="H36">
        <v>693379</v>
      </c>
      <c r="I36">
        <v>685879</v>
      </c>
      <c r="J36">
        <v>695879</v>
      </c>
      <c r="K36">
        <v>693379</v>
      </c>
      <c r="L36">
        <v>693379</v>
      </c>
    </row>
    <row r="37" spans="1:12" x14ac:dyDescent="0.35">
      <c r="A37">
        <v>2024</v>
      </c>
      <c r="B37">
        <v>5</v>
      </c>
      <c r="C37" t="s">
        <v>68</v>
      </c>
      <c r="D37" t="s">
        <v>319</v>
      </c>
      <c r="E37" t="s">
        <v>267</v>
      </c>
      <c r="F37">
        <v>24186</v>
      </c>
      <c r="G37">
        <v>323050</v>
      </c>
      <c r="H37">
        <v>313254</v>
      </c>
      <c r="I37">
        <v>260064</v>
      </c>
      <c r="J37">
        <v>466517</v>
      </c>
      <c r="K37">
        <v>290752</v>
      </c>
      <c r="L37">
        <v>340052</v>
      </c>
    </row>
    <row r="38" spans="1:12" x14ac:dyDescent="0.35">
      <c r="A38">
        <v>2024</v>
      </c>
      <c r="B38">
        <v>5</v>
      </c>
      <c r="C38" t="s">
        <v>68</v>
      </c>
      <c r="D38" t="s">
        <v>319</v>
      </c>
      <c r="E38" t="s">
        <v>269</v>
      </c>
      <c r="F38">
        <v>3949</v>
      </c>
      <c r="G38">
        <v>237878</v>
      </c>
      <c r="H38">
        <v>234743</v>
      </c>
      <c r="I38">
        <v>216765</v>
      </c>
      <c r="J38">
        <v>287748</v>
      </c>
      <c r="K38">
        <v>224976</v>
      </c>
      <c r="L38">
        <v>247476</v>
      </c>
    </row>
    <row r="39" spans="1:12" x14ac:dyDescent="0.35">
      <c r="A39">
        <v>2024</v>
      </c>
      <c r="B39">
        <v>5</v>
      </c>
      <c r="C39" t="s">
        <v>68</v>
      </c>
      <c r="D39" t="s">
        <v>319</v>
      </c>
      <c r="E39" t="s">
        <v>275</v>
      </c>
      <c r="F39">
        <v>958</v>
      </c>
      <c r="G39">
        <v>217351</v>
      </c>
      <c r="H39">
        <v>213265</v>
      </c>
      <c r="I39">
        <v>204237</v>
      </c>
      <c r="J39">
        <v>258266</v>
      </c>
      <c r="K39">
        <v>207526</v>
      </c>
      <c r="L39">
        <v>225026</v>
      </c>
    </row>
    <row r="40" spans="1:12" x14ac:dyDescent="0.35">
      <c r="A40">
        <v>2024</v>
      </c>
      <c r="B40">
        <v>6</v>
      </c>
      <c r="C40" t="s">
        <v>69</v>
      </c>
      <c r="D40" t="s">
        <v>319</v>
      </c>
      <c r="E40" t="s">
        <v>255</v>
      </c>
      <c r="F40">
        <v>2154</v>
      </c>
      <c r="G40">
        <v>457698</v>
      </c>
      <c r="H40">
        <v>445544</v>
      </c>
      <c r="I40">
        <v>300385</v>
      </c>
      <c r="J40">
        <v>598072</v>
      </c>
      <c r="K40">
        <v>399485</v>
      </c>
      <c r="L40">
        <v>545804</v>
      </c>
    </row>
    <row r="41" spans="1:12" x14ac:dyDescent="0.35">
      <c r="A41">
        <v>2024</v>
      </c>
      <c r="B41">
        <v>6</v>
      </c>
      <c r="C41" t="s">
        <v>69</v>
      </c>
      <c r="D41" t="s">
        <v>319</v>
      </c>
      <c r="E41" t="s">
        <v>257</v>
      </c>
      <c r="F41">
        <v>390</v>
      </c>
      <c r="G41">
        <v>506935</v>
      </c>
      <c r="H41">
        <v>553354</v>
      </c>
      <c r="I41">
        <v>325286</v>
      </c>
      <c r="J41">
        <v>695234</v>
      </c>
      <c r="K41">
        <v>357366</v>
      </c>
      <c r="L41">
        <v>620977</v>
      </c>
    </row>
    <row r="42" spans="1:12" x14ac:dyDescent="0.35">
      <c r="A42">
        <v>2024</v>
      </c>
      <c r="B42">
        <v>6</v>
      </c>
      <c r="C42" t="s">
        <v>69</v>
      </c>
      <c r="D42" t="s">
        <v>319</v>
      </c>
      <c r="E42" t="s">
        <v>259</v>
      </c>
      <c r="F42">
        <v>12</v>
      </c>
      <c r="G42">
        <v>600689</v>
      </c>
      <c r="H42">
        <v>596241</v>
      </c>
      <c r="I42">
        <v>518082</v>
      </c>
      <c r="J42">
        <v>680189</v>
      </c>
      <c r="K42">
        <v>563538</v>
      </c>
      <c r="L42">
        <v>657824</v>
      </c>
    </row>
    <row r="43" spans="1:12" x14ac:dyDescent="0.35">
      <c r="A43">
        <v>2024</v>
      </c>
      <c r="B43">
        <v>6</v>
      </c>
      <c r="C43" t="s">
        <v>69</v>
      </c>
      <c r="D43" t="s">
        <v>319</v>
      </c>
      <c r="E43" t="s">
        <v>261</v>
      </c>
      <c r="F43">
        <v>4</v>
      </c>
      <c r="G43">
        <v>690254</v>
      </c>
      <c r="H43">
        <v>689629</v>
      </c>
      <c r="I43">
        <v>685879</v>
      </c>
      <c r="J43">
        <v>695879</v>
      </c>
      <c r="K43">
        <v>685879</v>
      </c>
      <c r="L43">
        <v>693379</v>
      </c>
    </row>
    <row r="44" spans="1:12" x14ac:dyDescent="0.35">
      <c r="A44">
        <v>2024</v>
      </c>
      <c r="B44">
        <v>6</v>
      </c>
      <c r="C44" t="s">
        <v>69</v>
      </c>
      <c r="D44" t="s">
        <v>319</v>
      </c>
      <c r="E44" t="s">
        <v>267</v>
      </c>
      <c r="F44">
        <v>24291</v>
      </c>
      <c r="G44">
        <v>322937</v>
      </c>
      <c r="H44">
        <v>313019</v>
      </c>
      <c r="I44">
        <v>260064</v>
      </c>
      <c r="J44">
        <v>466517</v>
      </c>
      <c r="K44">
        <v>288445</v>
      </c>
      <c r="L44">
        <v>340052</v>
      </c>
    </row>
    <row r="45" spans="1:12" x14ac:dyDescent="0.35">
      <c r="A45">
        <v>2024</v>
      </c>
      <c r="B45">
        <v>6</v>
      </c>
      <c r="C45" t="s">
        <v>69</v>
      </c>
      <c r="D45" t="s">
        <v>319</v>
      </c>
      <c r="E45" t="s">
        <v>269</v>
      </c>
      <c r="F45">
        <v>3951</v>
      </c>
      <c r="G45">
        <v>237869</v>
      </c>
      <c r="H45">
        <v>234743</v>
      </c>
      <c r="I45">
        <v>216923</v>
      </c>
      <c r="J45">
        <v>287748</v>
      </c>
      <c r="K45">
        <v>224976</v>
      </c>
      <c r="L45">
        <v>247476</v>
      </c>
    </row>
    <row r="46" spans="1:12" x14ac:dyDescent="0.35">
      <c r="A46">
        <v>2024</v>
      </c>
      <c r="B46">
        <v>6</v>
      </c>
      <c r="C46" t="s">
        <v>69</v>
      </c>
      <c r="D46" t="s">
        <v>319</v>
      </c>
      <c r="E46" t="s">
        <v>275</v>
      </c>
      <c r="F46">
        <v>976</v>
      </c>
      <c r="G46">
        <v>217442</v>
      </c>
      <c r="H46">
        <v>213265</v>
      </c>
      <c r="I46">
        <v>204237</v>
      </c>
      <c r="J46">
        <v>258266</v>
      </c>
      <c r="K46">
        <v>207526</v>
      </c>
      <c r="L46">
        <v>225210</v>
      </c>
    </row>
    <row r="47" spans="1:12" x14ac:dyDescent="0.35">
      <c r="A47">
        <v>2024</v>
      </c>
      <c r="B47">
        <v>7</v>
      </c>
      <c r="C47" t="s">
        <v>70</v>
      </c>
      <c r="D47" t="s">
        <v>319</v>
      </c>
      <c r="E47" t="s">
        <v>255</v>
      </c>
      <c r="F47">
        <v>2161</v>
      </c>
      <c r="G47">
        <v>457448</v>
      </c>
      <c r="H47">
        <v>446936</v>
      </c>
      <c r="I47">
        <v>300385</v>
      </c>
      <c r="J47">
        <v>598072</v>
      </c>
      <c r="K47">
        <v>399485</v>
      </c>
      <c r="L47">
        <v>545804</v>
      </c>
    </row>
    <row r="48" spans="1:12" x14ac:dyDescent="0.35">
      <c r="A48">
        <v>2024</v>
      </c>
      <c r="B48">
        <v>7</v>
      </c>
      <c r="C48" t="s">
        <v>70</v>
      </c>
      <c r="D48" t="s">
        <v>319</v>
      </c>
      <c r="E48" t="s">
        <v>257</v>
      </c>
      <c r="F48">
        <v>402</v>
      </c>
      <c r="G48">
        <v>511877</v>
      </c>
      <c r="H48">
        <v>555806</v>
      </c>
      <c r="I48">
        <v>325286</v>
      </c>
      <c r="J48">
        <v>688046</v>
      </c>
      <c r="K48">
        <v>357366</v>
      </c>
      <c r="L48">
        <v>627420</v>
      </c>
    </row>
    <row r="49" spans="1:12" x14ac:dyDescent="0.35">
      <c r="A49">
        <v>2024</v>
      </c>
      <c r="B49">
        <v>7</v>
      </c>
      <c r="C49" t="s">
        <v>70</v>
      </c>
      <c r="D49" t="s">
        <v>319</v>
      </c>
      <c r="E49" t="s">
        <v>259</v>
      </c>
      <c r="F49">
        <v>12</v>
      </c>
      <c r="G49">
        <v>600689</v>
      </c>
      <c r="H49">
        <v>596241</v>
      </c>
      <c r="I49">
        <v>518082</v>
      </c>
      <c r="J49">
        <v>680189</v>
      </c>
      <c r="K49">
        <v>563538</v>
      </c>
      <c r="L49">
        <v>657824</v>
      </c>
    </row>
    <row r="50" spans="1:12" x14ac:dyDescent="0.35">
      <c r="A50">
        <v>2024</v>
      </c>
      <c r="B50">
        <v>7</v>
      </c>
      <c r="C50" t="s">
        <v>70</v>
      </c>
      <c r="D50" t="s">
        <v>319</v>
      </c>
      <c r="E50" t="s">
        <v>261</v>
      </c>
      <c r="F50">
        <v>4</v>
      </c>
      <c r="G50">
        <v>690254</v>
      </c>
      <c r="H50">
        <v>689629</v>
      </c>
      <c r="I50">
        <v>685879</v>
      </c>
      <c r="J50">
        <v>695879</v>
      </c>
      <c r="K50">
        <v>685879</v>
      </c>
      <c r="L50">
        <v>693379</v>
      </c>
    </row>
    <row r="51" spans="1:12" x14ac:dyDescent="0.35">
      <c r="A51">
        <v>2024</v>
      </c>
      <c r="B51">
        <v>7</v>
      </c>
      <c r="C51" t="s">
        <v>70</v>
      </c>
      <c r="D51" t="s">
        <v>319</v>
      </c>
      <c r="E51" t="s">
        <v>267</v>
      </c>
      <c r="F51">
        <v>24422</v>
      </c>
      <c r="G51">
        <v>322175</v>
      </c>
      <c r="H51">
        <v>313019</v>
      </c>
      <c r="I51">
        <v>260064</v>
      </c>
      <c r="J51">
        <v>467262</v>
      </c>
      <c r="K51">
        <v>288252</v>
      </c>
      <c r="L51">
        <v>340052</v>
      </c>
    </row>
    <row r="52" spans="1:12" x14ac:dyDescent="0.35">
      <c r="A52">
        <v>2024</v>
      </c>
      <c r="B52">
        <v>7</v>
      </c>
      <c r="C52" t="s">
        <v>70</v>
      </c>
      <c r="D52" t="s">
        <v>319</v>
      </c>
      <c r="E52" t="s">
        <v>269</v>
      </c>
      <c r="F52">
        <v>3971</v>
      </c>
      <c r="G52">
        <v>237864</v>
      </c>
      <c r="H52">
        <v>234743</v>
      </c>
      <c r="I52">
        <v>216923</v>
      </c>
      <c r="J52">
        <v>287748</v>
      </c>
      <c r="K52">
        <v>224976</v>
      </c>
      <c r="L52">
        <v>247476</v>
      </c>
    </row>
    <row r="53" spans="1:12" x14ac:dyDescent="0.35">
      <c r="A53">
        <v>2024</v>
      </c>
      <c r="B53">
        <v>7</v>
      </c>
      <c r="C53" t="s">
        <v>70</v>
      </c>
      <c r="D53" t="s">
        <v>319</v>
      </c>
      <c r="E53" t="s">
        <v>275</v>
      </c>
      <c r="F53">
        <v>965</v>
      </c>
      <c r="G53">
        <v>217571</v>
      </c>
      <c r="H53">
        <v>213265</v>
      </c>
      <c r="I53">
        <v>204237</v>
      </c>
      <c r="J53">
        <v>258266</v>
      </c>
      <c r="K53">
        <v>207526</v>
      </c>
      <c r="L53">
        <v>225210</v>
      </c>
    </row>
    <row r="54" spans="1:12" x14ac:dyDescent="0.35">
      <c r="A54">
        <v>2024</v>
      </c>
      <c r="B54">
        <v>8</v>
      </c>
      <c r="C54" t="s">
        <v>71</v>
      </c>
      <c r="D54" t="s">
        <v>319</v>
      </c>
      <c r="E54" t="s">
        <v>255</v>
      </c>
      <c r="F54">
        <v>2183</v>
      </c>
      <c r="G54">
        <v>458516</v>
      </c>
      <c r="H54">
        <v>448046</v>
      </c>
      <c r="I54">
        <v>300385</v>
      </c>
      <c r="J54">
        <v>599026</v>
      </c>
      <c r="K54">
        <v>399485</v>
      </c>
      <c r="L54">
        <v>545804</v>
      </c>
    </row>
    <row r="55" spans="1:12" x14ac:dyDescent="0.35">
      <c r="A55">
        <v>2024</v>
      </c>
      <c r="B55">
        <v>8</v>
      </c>
      <c r="C55" t="s">
        <v>71</v>
      </c>
      <c r="D55" t="s">
        <v>319</v>
      </c>
      <c r="E55" t="s">
        <v>257</v>
      </c>
      <c r="F55">
        <v>415</v>
      </c>
      <c r="G55">
        <v>514505</v>
      </c>
      <c r="H55">
        <v>563304</v>
      </c>
      <c r="I55">
        <v>325286</v>
      </c>
      <c r="J55">
        <v>674046</v>
      </c>
      <c r="K55">
        <v>358474</v>
      </c>
      <c r="L55">
        <v>625977</v>
      </c>
    </row>
    <row r="56" spans="1:12" x14ac:dyDescent="0.35">
      <c r="A56">
        <v>2024</v>
      </c>
      <c r="B56">
        <v>8</v>
      </c>
      <c r="C56" t="s">
        <v>71</v>
      </c>
      <c r="D56" t="s">
        <v>319</v>
      </c>
      <c r="E56" t="s">
        <v>259</v>
      </c>
      <c r="F56">
        <v>12</v>
      </c>
      <c r="G56">
        <v>600689</v>
      </c>
      <c r="H56">
        <v>596241</v>
      </c>
      <c r="I56">
        <v>518082</v>
      </c>
      <c r="J56">
        <v>680189</v>
      </c>
      <c r="K56">
        <v>563538</v>
      </c>
      <c r="L56">
        <v>657824</v>
      </c>
    </row>
    <row r="57" spans="1:12" x14ac:dyDescent="0.35">
      <c r="A57">
        <v>2024</v>
      </c>
      <c r="B57">
        <v>8</v>
      </c>
      <c r="C57" t="s">
        <v>71</v>
      </c>
      <c r="D57" t="s">
        <v>319</v>
      </c>
      <c r="E57" t="s">
        <v>261</v>
      </c>
      <c r="F57">
        <v>4</v>
      </c>
      <c r="G57">
        <v>690254</v>
      </c>
      <c r="H57">
        <v>689629</v>
      </c>
      <c r="I57">
        <v>685879</v>
      </c>
      <c r="J57">
        <v>695879</v>
      </c>
      <c r="K57">
        <v>685879</v>
      </c>
      <c r="L57">
        <v>693379</v>
      </c>
    </row>
    <row r="58" spans="1:12" x14ac:dyDescent="0.35">
      <c r="A58">
        <v>2024</v>
      </c>
      <c r="B58">
        <v>8</v>
      </c>
      <c r="C58" t="s">
        <v>71</v>
      </c>
      <c r="D58" t="s">
        <v>319</v>
      </c>
      <c r="E58" t="s">
        <v>267</v>
      </c>
      <c r="F58">
        <v>24471</v>
      </c>
      <c r="G58">
        <v>323404</v>
      </c>
      <c r="H58">
        <v>313252</v>
      </c>
      <c r="I58">
        <v>260064</v>
      </c>
      <c r="J58">
        <v>466652</v>
      </c>
      <c r="K58">
        <v>288252</v>
      </c>
      <c r="L58">
        <v>341442</v>
      </c>
    </row>
    <row r="59" spans="1:12" x14ac:dyDescent="0.35">
      <c r="A59">
        <v>2024</v>
      </c>
      <c r="B59">
        <v>8</v>
      </c>
      <c r="C59" t="s">
        <v>71</v>
      </c>
      <c r="D59" t="s">
        <v>319</v>
      </c>
      <c r="E59" t="s">
        <v>269</v>
      </c>
      <c r="F59">
        <v>3987</v>
      </c>
      <c r="G59">
        <v>241539</v>
      </c>
      <c r="H59">
        <v>239188</v>
      </c>
      <c r="I59">
        <v>216923</v>
      </c>
      <c r="J59">
        <v>288813</v>
      </c>
      <c r="K59">
        <v>227476</v>
      </c>
      <c r="L59">
        <v>252292</v>
      </c>
    </row>
    <row r="60" spans="1:12" x14ac:dyDescent="0.35">
      <c r="A60">
        <v>2024</v>
      </c>
      <c r="B60">
        <v>8</v>
      </c>
      <c r="C60" t="s">
        <v>71</v>
      </c>
      <c r="D60" t="s">
        <v>319</v>
      </c>
      <c r="E60" t="s">
        <v>275</v>
      </c>
      <c r="F60">
        <v>984</v>
      </c>
      <c r="G60">
        <v>217947</v>
      </c>
      <c r="H60">
        <v>213684</v>
      </c>
      <c r="I60">
        <v>204842</v>
      </c>
      <c r="J60">
        <v>263902</v>
      </c>
      <c r="K60">
        <v>207710</v>
      </c>
      <c r="L60">
        <v>225210</v>
      </c>
    </row>
    <row r="61" spans="1:12" x14ac:dyDescent="0.35">
      <c r="A61">
        <v>2024</v>
      </c>
      <c r="B61">
        <v>9</v>
      </c>
      <c r="C61" t="s">
        <v>72</v>
      </c>
      <c r="D61" t="s">
        <v>319</v>
      </c>
      <c r="E61" t="s">
        <v>255</v>
      </c>
      <c r="F61">
        <v>2217</v>
      </c>
      <c r="G61">
        <v>458351</v>
      </c>
      <c r="H61">
        <v>445544</v>
      </c>
      <c r="I61">
        <v>300385</v>
      </c>
      <c r="J61">
        <v>598072</v>
      </c>
      <c r="K61">
        <v>397824</v>
      </c>
      <c r="L61">
        <v>550570</v>
      </c>
    </row>
    <row r="62" spans="1:12" x14ac:dyDescent="0.35">
      <c r="A62">
        <v>2024</v>
      </c>
      <c r="B62">
        <v>9</v>
      </c>
      <c r="C62" t="s">
        <v>72</v>
      </c>
      <c r="D62" t="s">
        <v>319</v>
      </c>
      <c r="E62" t="s">
        <v>257</v>
      </c>
      <c r="F62">
        <v>417</v>
      </c>
      <c r="G62">
        <v>514632</v>
      </c>
      <c r="H62">
        <v>563304</v>
      </c>
      <c r="I62">
        <v>325286</v>
      </c>
      <c r="J62">
        <v>670977</v>
      </c>
      <c r="K62">
        <v>358474</v>
      </c>
      <c r="L62">
        <v>627420</v>
      </c>
    </row>
    <row r="63" spans="1:12" x14ac:dyDescent="0.35">
      <c r="A63">
        <v>2024</v>
      </c>
      <c r="B63">
        <v>9</v>
      </c>
      <c r="C63" t="s">
        <v>72</v>
      </c>
      <c r="D63" t="s">
        <v>319</v>
      </c>
      <c r="E63" t="s">
        <v>259</v>
      </c>
      <c r="F63">
        <v>12</v>
      </c>
      <c r="G63">
        <v>601939</v>
      </c>
      <c r="H63">
        <v>597238</v>
      </c>
      <c r="I63">
        <v>518082</v>
      </c>
      <c r="J63">
        <v>680189</v>
      </c>
      <c r="K63">
        <v>563538</v>
      </c>
      <c r="L63">
        <v>657824</v>
      </c>
    </row>
    <row r="64" spans="1:12" x14ac:dyDescent="0.35">
      <c r="A64">
        <v>2024</v>
      </c>
      <c r="B64">
        <v>9</v>
      </c>
      <c r="C64" t="s">
        <v>72</v>
      </c>
      <c r="D64" t="s">
        <v>319</v>
      </c>
      <c r="E64" t="s">
        <v>261</v>
      </c>
      <c r="F64">
        <v>4</v>
      </c>
      <c r="G64">
        <v>690254</v>
      </c>
      <c r="H64">
        <v>689629</v>
      </c>
      <c r="I64">
        <v>685879</v>
      </c>
      <c r="J64">
        <v>695879</v>
      </c>
      <c r="K64">
        <v>685879</v>
      </c>
      <c r="L64">
        <v>693379</v>
      </c>
    </row>
    <row r="65" spans="1:12" x14ac:dyDescent="0.35">
      <c r="A65">
        <v>2024</v>
      </c>
      <c r="B65">
        <v>9</v>
      </c>
      <c r="C65" t="s">
        <v>72</v>
      </c>
      <c r="D65" t="s">
        <v>319</v>
      </c>
      <c r="E65" t="s">
        <v>267</v>
      </c>
      <c r="F65">
        <v>24542</v>
      </c>
      <c r="G65">
        <v>322664</v>
      </c>
      <c r="H65">
        <v>313252</v>
      </c>
      <c r="I65">
        <v>260064</v>
      </c>
      <c r="J65">
        <v>466517</v>
      </c>
      <c r="K65">
        <v>288252</v>
      </c>
      <c r="L65">
        <v>341442</v>
      </c>
    </row>
    <row r="66" spans="1:12" x14ac:dyDescent="0.35">
      <c r="A66">
        <v>2024</v>
      </c>
      <c r="B66">
        <v>9</v>
      </c>
      <c r="C66" t="s">
        <v>72</v>
      </c>
      <c r="D66" t="s">
        <v>319</v>
      </c>
      <c r="E66" t="s">
        <v>269</v>
      </c>
      <c r="F66">
        <v>4018</v>
      </c>
      <c r="G66">
        <v>238710</v>
      </c>
      <c r="H66">
        <v>234976</v>
      </c>
      <c r="I66">
        <v>216923</v>
      </c>
      <c r="J66">
        <v>288720</v>
      </c>
      <c r="K66">
        <v>226688</v>
      </c>
      <c r="L66">
        <v>249140</v>
      </c>
    </row>
    <row r="67" spans="1:12" x14ac:dyDescent="0.35">
      <c r="A67">
        <v>2024</v>
      </c>
      <c r="B67">
        <v>9</v>
      </c>
      <c r="C67" t="s">
        <v>72</v>
      </c>
      <c r="D67" t="s">
        <v>319</v>
      </c>
      <c r="E67" t="s">
        <v>275</v>
      </c>
      <c r="F67">
        <v>1024</v>
      </c>
      <c r="G67">
        <v>217509</v>
      </c>
      <c r="H67">
        <v>213265</v>
      </c>
      <c r="I67">
        <v>204842</v>
      </c>
      <c r="J67">
        <v>258266</v>
      </c>
      <c r="K67">
        <v>207526</v>
      </c>
      <c r="L67">
        <v>225210</v>
      </c>
    </row>
    <row r="68" spans="1:12" x14ac:dyDescent="0.35">
      <c r="A68">
        <v>2024</v>
      </c>
      <c r="B68">
        <v>10</v>
      </c>
      <c r="C68" t="s">
        <v>73</v>
      </c>
      <c r="D68" t="s">
        <v>319</v>
      </c>
      <c r="E68" t="s">
        <v>255</v>
      </c>
      <c r="F68">
        <v>2228</v>
      </c>
      <c r="G68">
        <v>459181</v>
      </c>
      <c r="H68">
        <v>446936</v>
      </c>
      <c r="I68">
        <v>300385</v>
      </c>
      <c r="J68">
        <v>598072</v>
      </c>
      <c r="K68">
        <v>399485</v>
      </c>
      <c r="L68">
        <v>552515</v>
      </c>
    </row>
    <row r="69" spans="1:12" x14ac:dyDescent="0.35">
      <c r="A69">
        <v>2024</v>
      </c>
      <c r="B69">
        <v>10</v>
      </c>
      <c r="C69" t="s">
        <v>73</v>
      </c>
      <c r="D69" t="s">
        <v>319</v>
      </c>
      <c r="E69" t="s">
        <v>257</v>
      </c>
      <c r="F69">
        <v>418</v>
      </c>
      <c r="G69">
        <v>515916</v>
      </c>
      <c r="H69">
        <v>565804</v>
      </c>
      <c r="I69">
        <v>325286</v>
      </c>
      <c r="J69">
        <v>670977</v>
      </c>
      <c r="K69">
        <v>363474</v>
      </c>
      <c r="L69">
        <v>630977</v>
      </c>
    </row>
    <row r="70" spans="1:12" x14ac:dyDescent="0.35">
      <c r="A70">
        <v>2024</v>
      </c>
      <c r="B70">
        <v>10</v>
      </c>
      <c r="C70" t="s">
        <v>73</v>
      </c>
      <c r="D70" t="s">
        <v>319</v>
      </c>
      <c r="E70" t="s">
        <v>259</v>
      </c>
      <c r="F70">
        <v>12</v>
      </c>
      <c r="G70">
        <v>601314</v>
      </c>
      <c r="H70">
        <v>593490</v>
      </c>
      <c r="I70">
        <v>518082</v>
      </c>
      <c r="J70">
        <v>680189</v>
      </c>
      <c r="K70">
        <v>563538</v>
      </c>
      <c r="L70">
        <v>657824</v>
      </c>
    </row>
    <row r="71" spans="1:12" x14ac:dyDescent="0.35">
      <c r="A71">
        <v>2024</v>
      </c>
      <c r="B71">
        <v>10</v>
      </c>
      <c r="C71" t="s">
        <v>73</v>
      </c>
      <c r="D71" t="s">
        <v>319</v>
      </c>
      <c r="E71" t="s">
        <v>261</v>
      </c>
      <c r="F71">
        <v>4</v>
      </c>
      <c r="G71">
        <v>690254</v>
      </c>
      <c r="H71">
        <v>689629</v>
      </c>
      <c r="I71">
        <v>685879</v>
      </c>
      <c r="J71">
        <v>695879</v>
      </c>
      <c r="K71">
        <v>685879</v>
      </c>
      <c r="L71">
        <v>693379</v>
      </c>
    </row>
    <row r="72" spans="1:12" x14ac:dyDescent="0.35">
      <c r="A72">
        <v>2024</v>
      </c>
      <c r="B72">
        <v>10</v>
      </c>
      <c r="C72" t="s">
        <v>73</v>
      </c>
      <c r="D72" t="s">
        <v>319</v>
      </c>
      <c r="E72" t="s">
        <v>267</v>
      </c>
      <c r="F72">
        <v>24590</v>
      </c>
      <c r="G72">
        <v>322729</v>
      </c>
      <c r="H72">
        <v>313252</v>
      </c>
      <c r="I72">
        <v>260064</v>
      </c>
      <c r="J72">
        <v>466517</v>
      </c>
      <c r="K72">
        <v>288252</v>
      </c>
      <c r="L72">
        <v>341442</v>
      </c>
    </row>
    <row r="73" spans="1:12" x14ac:dyDescent="0.35">
      <c r="A73">
        <v>2024</v>
      </c>
      <c r="B73">
        <v>10</v>
      </c>
      <c r="C73" t="s">
        <v>73</v>
      </c>
      <c r="D73" t="s">
        <v>319</v>
      </c>
      <c r="E73" t="s">
        <v>269</v>
      </c>
      <c r="F73">
        <v>4020</v>
      </c>
      <c r="G73">
        <v>238865</v>
      </c>
      <c r="H73">
        <v>234976</v>
      </c>
      <c r="I73">
        <v>216923</v>
      </c>
      <c r="J73">
        <v>288720</v>
      </c>
      <c r="K73">
        <v>226688</v>
      </c>
      <c r="L73">
        <v>249140</v>
      </c>
    </row>
    <row r="74" spans="1:12" x14ac:dyDescent="0.35">
      <c r="A74">
        <v>2024</v>
      </c>
      <c r="B74">
        <v>10</v>
      </c>
      <c r="C74" t="s">
        <v>73</v>
      </c>
      <c r="D74" t="s">
        <v>319</v>
      </c>
      <c r="E74" t="s">
        <v>273</v>
      </c>
      <c r="F74">
        <v>1</v>
      </c>
      <c r="G74">
        <v>252846</v>
      </c>
      <c r="H74">
        <v>252846</v>
      </c>
      <c r="I74">
        <v>252846</v>
      </c>
      <c r="J74">
        <v>252846</v>
      </c>
      <c r="K74">
        <v>252846</v>
      </c>
      <c r="L74">
        <v>252846</v>
      </c>
    </row>
    <row r="75" spans="1:12" x14ac:dyDescent="0.35">
      <c r="A75">
        <v>2024</v>
      </c>
      <c r="B75">
        <v>10</v>
      </c>
      <c r="C75" t="s">
        <v>73</v>
      </c>
      <c r="D75" t="s">
        <v>319</v>
      </c>
      <c r="E75" t="s">
        <v>275</v>
      </c>
      <c r="F75">
        <v>1046</v>
      </c>
      <c r="G75">
        <v>217606</v>
      </c>
      <c r="H75">
        <v>213265</v>
      </c>
      <c r="I75">
        <v>204842</v>
      </c>
      <c r="J75">
        <v>258266</v>
      </c>
      <c r="K75">
        <v>208265</v>
      </c>
      <c r="L75">
        <v>225210</v>
      </c>
    </row>
    <row r="76" spans="1:12" x14ac:dyDescent="0.35">
      <c r="A76">
        <v>2024</v>
      </c>
      <c r="B76">
        <v>11</v>
      </c>
      <c r="C76" t="s">
        <v>74</v>
      </c>
      <c r="D76" t="s">
        <v>319</v>
      </c>
      <c r="E76" t="s">
        <v>255</v>
      </c>
      <c r="F76">
        <v>2234</v>
      </c>
      <c r="G76">
        <v>458982</v>
      </c>
      <c r="H76">
        <v>446936</v>
      </c>
      <c r="I76">
        <v>300385</v>
      </c>
      <c r="J76">
        <v>598072</v>
      </c>
      <c r="K76">
        <v>399485</v>
      </c>
      <c r="L76">
        <v>552515</v>
      </c>
    </row>
    <row r="77" spans="1:12" x14ac:dyDescent="0.35">
      <c r="A77">
        <v>2024</v>
      </c>
      <c r="B77">
        <v>11</v>
      </c>
      <c r="C77" t="s">
        <v>74</v>
      </c>
      <c r="D77" t="s">
        <v>319</v>
      </c>
      <c r="E77" t="s">
        <v>257</v>
      </c>
      <c r="F77">
        <v>423</v>
      </c>
      <c r="G77">
        <v>519753</v>
      </c>
      <c r="H77">
        <v>565804</v>
      </c>
      <c r="I77">
        <v>325286</v>
      </c>
      <c r="J77">
        <v>674400</v>
      </c>
      <c r="K77">
        <v>368474</v>
      </c>
      <c r="L77">
        <v>630977</v>
      </c>
    </row>
    <row r="78" spans="1:12" x14ac:dyDescent="0.35">
      <c r="A78">
        <v>2024</v>
      </c>
      <c r="B78">
        <v>11</v>
      </c>
      <c r="C78" t="s">
        <v>74</v>
      </c>
      <c r="D78" t="s">
        <v>319</v>
      </c>
      <c r="E78" t="s">
        <v>259</v>
      </c>
      <c r="F78">
        <v>12</v>
      </c>
      <c r="G78">
        <v>601314</v>
      </c>
      <c r="H78">
        <v>593490</v>
      </c>
      <c r="I78">
        <v>518082</v>
      </c>
      <c r="J78">
        <v>680189</v>
      </c>
      <c r="K78">
        <v>563538</v>
      </c>
      <c r="L78">
        <v>657824</v>
      </c>
    </row>
    <row r="79" spans="1:12" x14ac:dyDescent="0.35">
      <c r="A79">
        <v>2024</v>
      </c>
      <c r="B79">
        <v>11</v>
      </c>
      <c r="C79" t="s">
        <v>74</v>
      </c>
      <c r="D79" t="s">
        <v>319</v>
      </c>
      <c r="E79" t="s">
        <v>261</v>
      </c>
      <c r="F79">
        <v>4</v>
      </c>
      <c r="G79">
        <v>690254</v>
      </c>
      <c r="H79">
        <v>689629</v>
      </c>
      <c r="I79">
        <v>685879</v>
      </c>
      <c r="J79">
        <v>695879</v>
      </c>
      <c r="K79">
        <v>685879</v>
      </c>
      <c r="L79">
        <v>693379</v>
      </c>
    </row>
    <row r="80" spans="1:12" x14ac:dyDescent="0.35">
      <c r="A80">
        <v>2024</v>
      </c>
      <c r="B80">
        <v>11</v>
      </c>
      <c r="C80" t="s">
        <v>74</v>
      </c>
      <c r="D80" t="s">
        <v>319</v>
      </c>
      <c r="E80" t="s">
        <v>267</v>
      </c>
      <c r="F80">
        <v>24583</v>
      </c>
      <c r="G80">
        <v>322761</v>
      </c>
      <c r="H80">
        <v>313252</v>
      </c>
      <c r="I80">
        <v>260064</v>
      </c>
      <c r="J80">
        <v>466517</v>
      </c>
      <c r="K80">
        <v>288252</v>
      </c>
      <c r="L80">
        <v>341442</v>
      </c>
    </row>
    <row r="81" spans="1:12" x14ac:dyDescent="0.35">
      <c r="A81">
        <v>2024</v>
      </c>
      <c r="B81">
        <v>11</v>
      </c>
      <c r="C81" t="s">
        <v>74</v>
      </c>
      <c r="D81" t="s">
        <v>319</v>
      </c>
      <c r="E81" t="s">
        <v>269</v>
      </c>
      <c r="F81">
        <v>4032</v>
      </c>
      <c r="G81">
        <v>238920</v>
      </c>
      <c r="H81">
        <v>234976</v>
      </c>
      <c r="I81">
        <v>216922</v>
      </c>
      <c r="J81">
        <v>288720</v>
      </c>
      <c r="K81">
        <v>226688</v>
      </c>
      <c r="L81">
        <v>249140</v>
      </c>
    </row>
    <row r="82" spans="1:12" x14ac:dyDescent="0.35">
      <c r="A82">
        <v>2024</v>
      </c>
      <c r="B82">
        <v>11</v>
      </c>
      <c r="C82" t="s">
        <v>74</v>
      </c>
      <c r="D82" t="s">
        <v>319</v>
      </c>
      <c r="E82" t="s">
        <v>273</v>
      </c>
      <c r="F82">
        <v>1</v>
      </c>
      <c r="G82">
        <v>264927</v>
      </c>
      <c r="H82">
        <v>264927</v>
      </c>
      <c r="I82">
        <v>264927</v>
      </c>
      <c r="J82">
        <v>264927</v>
      </c>
      <c r="K82">
        <v>264927</v>
      </c>
      <c r="L82">
        <v>264927</v>
      </c>
    </row>
    <row r="83" spans="1:12" x14ac:dyDescent="0.35">
      <c r="A83">
        <v>2024</v>
      </c>
      <c r="B83">
        <v>11</v>
      </c>
      <c r="C83" t="s">
        <v>74</v>
      </c>
      <c r="D83" t="s">
        <v>319</v>
      </c>
      <c r="E83" t="s">
        <v>275</v>
      </c>
      <c r="F83">
        <v>1045</v>
      </c>
      <c r="G83">
        <v>217791</v>
      </c>
      <c r="H83">
        <v>213684</v>
      </c>
      <c r="I83">
        <v>204842</v>
      </c>
      <c r="J83">
        <v>258266</v>
      </c>
      <c r="K83">
        <v>208265</v>
      </c>
      <c r="L83">
        <v>225210</v>
      </c>
    </row>
    <row r="84" spans="1:12" x14ac:dyDescent="0.35">
      <c r="A84">
        <v>2024</v>
      </c>
      <c r="B84">
        <v>12</v>
      </c>
      <c r="C84" t="s">
        <v>75</v>
      </c>
      <c r="D84" t="s">
        <v>319</v>
      </c>
      <c r="E84" t="s">
        <v>255</v>
      </c>
      <c r="F84">
        <v>2241</v>
      </c>
      <c r="G84">
        <v>458444</v>
      </c>
      <c r="H84">
        <v>446936</v>
      </c>
      <c r="I84">
        <v>300385</v>
      </c>
      <c r="J84">
        <v>598072</v>
      </c>
      <c r="K84">
        <v>399485</v>
      </c>
      <c r="L84">
        <v>552515</v>
      </c>
    </row>
    <row r="85" spans="1:12" x14ac:dyDescent="0.35">
      <c r="A85">
        <v>2024</v>
      </c>
      <c r="B85">
        <v>12</v>
      </c>
      <c r="C85" t="s">
        <v>75</v>
      </c>
      <c r="D85" t="s">
        <v>319</v>
      </c>
      <c r="E85" t="s">
        <v>257</v>
      </c>
      <c r="F85">
        <v>423</v>
      </c>
      <c r="G85">
        <v>519599</v>
      </c>
      <c r="H85">
        <v>565804</v>
      </c>
      <c r="I85">
        <v>325286</v>
      </c>
      <c r="J85">
        <v>674400</v>
      </c>
      <c r="K85">
        <v>368474</v>
      </c>
      <c r="L85">
        <v>630977</v>
      </c>
    </row>
    <row r="86" spans="1:12" x14ac:dyDescent="0.35">
      <c r="A86">
        <v>2024</v>
      </c>
      <c r="B86">
        <v>12</v>
      </c>
      <c r="C86" t="s">
        <v>75</v>
      </c>
      <c r="D86" t="s">
        <v>319</v>
      </c>
      <c r="E86" t="s">
        <v>259</v>
      </c>
      <c r="F86">
        <v>12</v>
      </c>
      <c r="G86">
        <v>601314</v>
      </c>
      <c r="H86">
        <v>593490</v>
      </c>
      <c r="I86">
        <v>518082</v>
      </c>
      <c r="J86">
        <v>680189</v>
      </c>
      <c r="K86">
        <v>563538</v>
      </c>
      <c r="L86">
        <v>657824</v>
      </c>
    </row>
    <row r="87" spans="1:12" x14ac:dyDescent="0.35">
      <c r="A87">
        <v>2024</v>
      </c>
      <c r="B87">
        <v>12</v>
      </c>
      <c r="C87" t="s">
        <v>75</v>
      </c>
      <c r="D87" t="s">
        <v>319</v>
      </c>
      <c r="E87" t="s">
        <v>261</v>
      </c>
      <c r="F87">
        <v>4</v>
      </c>
      <c r="G87">
        <v>690254</v>
      </c>
      <c r="H87">
        <v>689629</v>
      </c>
      <c r="I87">
        <v>685879</v>
      </c>
      <c r="J87">
        <v>695879</v>
      </c>
      <c r="K87">
        <v>685879</v>
      </c>
      <c r="L87">
        <v>693379</v>
      </c>
    </row>
    <row r="88" spans="1:12" x14ac:dyDescent="0.35">
      <c r="A88">
        <v>2024</v>
      </c>
      <c r="B88">
        <v>12</v>
      </c>
      <c r="C88" t="s">
        <v>75</v>
      </c>
      <c r="D88" t="s">
        <v>319</v>
      </c>
      <c r="E88" t="s">
        <v>267</v>
      </c>
      <c r="F88">
        <v>24616</v>
      </c>
      <c r="G88">
        <v>322675</v>
      </c>
      <c r="H88">
        <v>313252</v>
      </c>
      <c r="I88">
        <v>260064</v>
      </c>
      <c r="J88">
        <v>466517</v>
      </c>
      <c r="K88">
        <v>287564</v>
      </c>
      <c r="L88">
        <v>341442</v>
      </c>
    </row>
    <row r="89" spans="1:12" x14ac:dyDescent="0.35">
      <c r="A89">
        <v>2024</v>
      </c>
      <c r="B89">
        <v>12</v>
      </c>
      <c r="C89" t="s">
        <v>75</v>
      </c>
      <c r="D89" t="s">
        <v>319</v>
      </c>
      <c r="E89" t="s">
        <v>269</v>
      </c>
      <c r="F89">
        <v>4037</v>
      </c>
      <c r="G89">
        <v>238949</v>
      </c>
      <c r="H89">
        <v>234976</v>
      </c>
      <c r="I89">
        <v>216922</v>
      </c>
      <c r="J89">
        <v>288720</v>
      </c>
      <c r="K89">
        <v>226688</v>
      </c>
      <c r="L89">
        <v>249140</v>
      </c>
    </row>
    <row r="90" spans="1:12" x14ac:dyDescent="0.35">
      <c r="A90">
        <v>2024</v>
      </c>
      <c r="B90">
        <v>12</v>
      </c>
      <c r="C90" t="s">
        <v>75</v>
      </c>
      <c r="D90" t="s">
        <v>319</v>
      </c>
      <c r="E90" t="s">
        <v>273</v>
      </c>
      <c r="F90">
        <v>1</v>
      </c>
      <c r="G90">
        <v>264927</v>
      </c>
      <c r="H90">
        <v>264927</v>
      </c>
      <c r="I90">
        <v>264927</v>
      </c>
      <c r="J90">
        <v>264927</v>
      </c>
      <c r="K90">
        <v>264927</v>
      </c>
      <c r="L90">
        <v>264927</v>
      </c>
    </row>
    <row r="91" spans="1:12" x14ac:dyDescent="0.35">
      <c r="A91">
        <v>2024</v>
      </c>
      <c r="B91">
        <v>12</v>
      </c>
      <c r="C91" t="s">
        <v>75</v>
      </c>
      <c r="D91" t="s">
        <v>319</v>
      </c>
      <c r="E91" t="s">
        <v>275</v>
      </c>
      <c r="F91">
        <v>1052</v>
      </c>
      <c r="G91">
        <v>217758</v>
      </c>
      <c r="H91">
        <v>213684</v>
      </c>
      <c r="I91">
        <v>204842</v>
      </c>
      <c r="J91">
        <v>258266</v>
      </c>
      <c r="K91">
        <v>208265</v>
      </c>
      <c r="L91">
        <v>225210</v>
      </c>
    </row>
    <row r="92" spans="1:12" x14ac:dyDescent="0.35">
      <c r="A92">
        <v>2025</v>
      </c>
      <c r="B92">
        <v>1</v>
      </c>
      <c r="C92" t="s">
        <v>42</v>
      </c>
      <c r="D92" t="s">
        <v>319</v>
      </c>
      <c r="E92" t="s">
        <v>255</v>
      </c>
      <c r="F92">
        <v>2094</v>
      </c>
      <c r="G92">
        <v>453909</v>
      </c>
      <c r="H92">
        <v>445495</v>
      </c>
      <c r="I92">
        <v>300385</v>
      </c>
      <c r="J92">
        <v>598072</v>
      </c>
      <c r="K92">
        <v>399485</v>
      </c>
      <c r="L92">
        <v>532848</v>
      </c>
    </row>
    <row r="93" spans="1:12" x14ac:dyDescent="0.35">
      <c r="A93">
        <v>2025</v>
      </c>
      <c r="B93">
        <v>1</v>
      </c>
      <c r="C93" t="s">
        <v>42</v>
      </c>
      <c r="D93" t="s">
        <v>319</v>
      </c>
      <c r="E93" t="s">
        <v>257</v>
      </c>
      <c r="F93">
        <v>425</v>
      </c>
      <c r="G93">
        <v>522502</v>
      </c>
      <c r="H93">
        <v>565804</v>
      </c>
      <c r="I93">
        <v>325286</v>
      </c>
      <c r="J93">
        <v>674400</v>
      </c>
      <c r="K93">
        <v>376695</v>
      </c>
      <c r="L93">
        <v>630977</v>
      </c>
    </row>
    <row r="94" spans="1:12" x14ac:dyDescent="0.35">
      <c r="A94">
        <v>2025</v>
      </c>
      <c r="B94">
        <v>1</v>
      </c>
      <c r="C94" t="s">
        <v>42</v>
      </c>
      <c r="D94" t="s">
        <v>319</v>
      </c>
      <c r="E94" t="s">
        <v>259</v>
      </c>
      <c r="F94">
        <v>11</v>
      </c>
      <c r="G94">
        <v>598634</v>
      </c>
      <c r="H94">
        <v>576040</v>
      </c>
      <c r="I94">
        <v>518082</v>
      </c>
      <c r="J94">
        <v>699710</v>
      </c>
      <c r="K94">
        <v>563538</v>
      </c>
      <c r="L94">
        <v>677824</v>
      </c>
    </row>
    <row r="95" spans="1:12" x14ac:dyDescent="0.35">
      <c r="A95">
        <v>2025</v>
      </c>
      <c r="B95">
        <v>1</v>
      </c>
      <c r="C95" t="s">
        <v>42</v>
      </c>
      <c r="D95" t="s">
        <v>319</v>
      </c>
      <c r="E95" t="s">
        <v>261</v>
      </c>
      <c r="F95">
        <v>4</v>
      </c>
      <c r="G95">
        <v>690254</v>
      </c>
      <c r="H95">
        <v>689629</v>
      </c>
      <c r="I95">
        <v>685879</v>
      </c>
      <c r="J95">
        <v>695879</v>
      </c>
      <c r="K95">
        <v>685879</v>
      </c>
      <c r="L95">
        <v>693379</v>
      </c>
    </row>
    <row r="96" spans="1:12" x14ac:dyDescent="0.35">
      <c r="A96">
        <v>2025</v>
      </c>
      <c r="B96">
        <v>1</v>
      </c>
      <c r="C96" t="s">
        <v>42</v>
      </c>
      <c r="D96" t="s">
        <v>319</v>
      </c>
      <c r="E96" t="s">
        <v>267</v>
      </c>
      <c r="F96">
        <v>24451</v>
      </c>
      <c r="G96">
        <v>321942</v>
      </c>
      <c r="H96">
        <v>313019</v>
      </c>
      <c r="I96">
        <v>260064</v>
      </c>
      <c r="J96">
        <v>467894</v>
      </c>
      <c r="K96">
        <v>285986</v>
      </c>
      <c r="L96">
        <v>340052</v>
      </c>
    </row>
    <row r="97" spans="1:12" x14ac:dyDescent="0.35">
      <c r="A97">
        <v>2025</v>
      </c>
      <c r="B97">
        <v>1</v>
      </c>
      <c r="C97" t="s">
        <v>42</v>
      </c>
      <c r="D97" t="s">
        <v>319</v>
      </c>
      <c r="E97" t="s">
        <v>269</v>
      </c>
      <c r="F97">
        <v>3994</v>
      </c>
      <c r="G97">
        <v>238933</v>
      </c>
      <c r="H97">
        <v>234976</v>
      </c>
      <c r="I97">
        <v>215668</v>
      </c>
      <c r="J97">
        <v>288720</v>
      </c>
      <c r="K97">
        <v>226688</v>
      </c>
      <c r="L97">
        <v>249140</v>
      </c>
    </row>
    <row r="98" spans="1:12" x14ac:dyDescent="0.35">
      <c r="A98">
        <v>2025</v>
      </c>
      <c r="B98">
        <v>1</v>
      </c>
      <c r="C98" t="s">
        <v>42</v>
      </c>
      <c r="D98" t="s">
        <v>319</v>
      </c>
      <c r="E98" t="s">
        <v>273</v>
      </c>
      <c r="F98">
        <v>1</v>
      </c>
      <c r="G98">
        <v>264927</v>
      </c>
      <c r="H98">
        <v>264927</v>
      </c>
      <c r="I98">
        <v>264927</v>
      </c>
      <c r="J98">
        <v>264927</v>
      </c>
      <c r="K98">
        <v>264927</v>
      </c>
      <c r="L98">
        <v>264927</v>
      </c>
    </row>
    <row r="99" spans="1:12" x14ac:dyDescent="0.35">
      <c r="A99">
        <v>2025</v>
      </c>
      <c r="B99">
        <v>1</v>
      </c>
      <c r="C99" t="s">
        <v>42</v>
      </c>
      <c r="D99" t="s">
        <v>319</v>
      </c>
      <c r="E99" t="s">
        <v>275</v>
      </c>
      <c r="F99">
        <v>1042</v>
      </c>
      <c r="G99">
        <v>218127</v>
      </c>
      <c r="H99">
        <v>214842</v>
      </c>
      <c r="I99">
        <v>204842</v>
      </c>
      <c r="J99">
        <v>258266</v>
      </c>
      <c r="K99">
        <v>209842</v>
      </c>
      <c r="L99">
        <v>225210</v>
      </c>
    </row>
    <row r="100" spans="1:12" x14ac:dyDescent="0.35">
      <c r="A100">
        <v>2025</v>
      </c>
      <c r="B100">
        <v>2</v>
      </c>
      <c r="C100" t="s">
        <v>63</v>
      </c>
      <c r="D100" t="s">
        <v>319</v>
      </c>
      <c r="E100" t="s">
        <v>255</v>
      </c>
      <c r="F100">
        <v>2103</v>
      </c>
      <c r="G100">
        <v>454086</v>
      </c>
      <c r="H100">
        <v>443044</v>
      </c>
      <c r="I100">
        <v>300385</v>
      </c>
      <c r="J100">
        <v>598365</v>
      </c>
      <c r="K100">
        <v>397822</v>
      </c>
      <c r="L100">
        <v>540348</v>
      </c>
    </row>
    <row r="101" spans="1:12" x14ac:dyDescent="0.35">
      <c r="A101">
        <v>2025</v>
      </c>
      <c r="B101">
        <v>2</v>
      </c>
      <c r="C101" t="s">
        <v>63</v>
      </c>
      <c r="D101" t="s">
        <v>319</v>
      </c>
      <c r="E101" t="s">
        <v>257</v>
      </c>
      <c r="F101">
        <v>448</v>
      </c>
      <c r="G101">
        <v>530332</v>
      </c>
      <c r="H101">
        <v>592418</v>
      </c>
      <c r="I101">
        <v>325286</v>
      </c>
      <c r="J101">
        <v>684871</v>
      </c>
      <c r="K101">
        <v>373474</v>
      </c>
      <c r="L101">
        <v>630977</v>
      </c>
    </row>
    <row r="102" spans="1:12" x14ac:dyDescent="0.35">
      <c r="A102">
        <v>2025</v>
      </c>
      <c r="B102">
        <v>2</v>
      </c>
      <c r="C102" t="s">
        <v>63</v>
      </c>
      <c r="D102" t="s">
        <v>319</v>
      </c>
      <c r="E102" t="s">
        <v>259</v>
      </c>
      <c r="F102">
        <v>11</v>
      </c>
      <c r="G102">
        <v>621941</v>
      </c>
      <c r="H102">
        <v>625108</v>
      </c>
      <c r="I102">
        <v>518084</v>
      </c>
      <c r="J102">
        <v>690140</v>
      </c>
      <c r="K102">
        <v>601223</v>
      </c>
      <c r="L102">
        <v>677824</v>
      </c>
    </row>
    <row r="103" spans="1:12" x14ac:dyDescent="0.35">
      <c r="A103">
        <v>2025</v>
      </c>
      <c r="B103">
        <v>2</v>
      </c>
      <c r="C103" t="s">
        <v>63</v>
      </c>
      <c r="D103" t="s">
        <v>319</v>
      </c>
      <c r="E103" t="s">
        <v>261</v>
      </c>
      <c r="F103">
        <v>4</v>
      </c>
      <c r="G103">
        <v>690254</v>
      </c>
      <c r="H103">
        <v>689629</v>
      </c>
      <c r="I103">
        <v>685879</v>
      </c>
      <c r="J103">
        <v>695879</v>
      </c>
      <c r="K103">
        <v>685879</v>
      </c>
      <c r="L103">
        <v>693379</v>
      </c>
    </row>
    <row r="104" spans="1:12" x14ac:dyDescent="0.35">
      <c r="A104">
        <v>2025</v>
      </c>
      <c r="B104">
        <v>2</v>
      </c>
      <c r="C104" t="s">
        <v>63</v>
      </c>
      <c r="D104" t="s">
        <v>319</v>
      </c>
      <c r="E104" t="s">
        <v>267</v>
      </c>
      <c r="F104">
        <v>24756</v>
      </c>
      <c r="G104">
        <v>324328</v>
      </c>
      <c r="H104">
        <v>313252</v>
      </c>
      <c r="I104">
        <v>260064</v>
      </c>
      <c r="J104">
        <v>466517</v>
      </c>
      <c r="K104">
        <v>285752</v>
      </c>
      <c r="L104">
        <v>350052</v>
      </c>
    </row>
    <row r="105" spans="1:12" x14ac:dyDescent="0.35">
      <c r="A105">
        <v>2025</v>
      </c>
      <c r="B105">
        <v>2</v>
      </c>
      <c r="C105" t="s">
        <v>63</v>
      </c>
      <c r="D105" t="s">
        <v>319</v>
      </c>
      <c r="E105" t="s">
        <v>269</v>
      </c>
      <c r="F105">
        <v>4033</v>
      </c>
      <c r="G105">
        <v>239392</v>
      </c>
      <c r="H105">
        <v>236712</v>
      </c>
      <c r="I105">
        <v>216923</v>
      </c>
      <c r="J105">
        <v>288720</v>
      </c>
      <c r="K105">
        <v>227107</v>
      </c>
      <c r="L105">
        <v>249140</v>
      </c>
    </row>
    <row r="106" spans="1:12" x14ac:dyDescent="0.35">
      <c r="A106">
        <v>2025</v>
      </c>
      <c r="B106">
        <v>2</v>
      </c>
      <c r="C106" t="s">
        <v>63</v>
      </c>
      <c r="D106" t="s">
        <v>319</v>
      </c>
      <c r="E106" t="s">
        <v>273</v>
      </c>
      <c r="F106">
        <v>2</v>
      </c>
      <c r="G106">
        <v>263745</v>
      </c>
      <c r="H106">
        <v>263745</v>
      </c>
      <c r="I106">
        <v>262563</v>
      </c>
      <c r="J106">
        <v>264927</v>
      </c>
      <c r="K106">
        <v>262563</v>
      </c>
      <c r="L106">
        <v>264927</v>
      </c>
    </row>
    <row r="107" spans="1:12" x14ac:dyDescent="0.35">
      <c r="A107">
        <v>2025</v>
      </c>
      <c r="B107">
        <v>2</v>
      </c>
      <c r="C107" t="s">
        <v>63</v>
      </c>
      <c r="D107" t="s">
        <v>319</v>
      </c>
      <c r="E107" t="s">
        <v>275</v>
      </c>
      <c r="F107">
        <v>1111</v>
      </c>
      <c r="G107">
        <v>217329</v>
      </c>
      <c r="H107">
        <v>213265</v>
      </c>
      <c r="I107">
        <v>204842</v>
      </c>
      <c r="J107">
        <v>258266</v>
      </c>
      <c r="K107">
        <v>208265</v>
      </c>
      <c r="L107">
        <v>223265</v>
      </c>
    </row>
    <row r="108" spans="1:12" x14ac:dyDescent="0.35">
      <c r="A108">
        <v>2025</v>
      </c>
      <c r="B108">
        <v>3</v>
      </c>
      <c r="C108" t="s">
        <v>66</v>
      </c>
      <c r="D108" t="s">
        <v>319</v>
      </c>
      <c r="E108" t="s">
        <v>255</v>
      </c>
      <c r="F108">
        <v>2086</v>
      </c>
      <c r="G108">
        <v>452380</v>
      </c>
      <c r="H108">
        <v>440544</v>
      </c>
      <c r="I108">
        <v>308575</v>
      </c>
      <c r="J108">
        <v>598072</v>
      </c>
      <c r="K108">
        <v>397822</v>
      </c>
      <c r="L108">
        <v>535348</v>
      </c>
    </row>
    <row r="109" spans="1:12" x14ac:dyDescent="0.35">
      <c r="A109">
        <v>2025</v>
      </c>
      <c r="B109">
        <v>3</v>
      </c>
      <c r="C109" t="s">
        <v>66</v>
      </c>
      <c r="D109" t="s">
        <v>319</v>
      </c>
      <c r="E109" t="s">
        <v>257</v>
      </c>
      <c r="F109">
        <v>502</v>
      </c>
      <c r="G109">
        <v>531749</v>
      </c>
      <c r="H109">
        <v>592418</v>
      </c>
      <c r="I109">
        <v>325286</v>
      </c>
      <c r="J109">
        <v>691619</v>
      </c>
      <c r="K109">
        <v>373474</v>
      </c>
      <c r="L109">
        <v>627420</v>
      </c>
    </row>
    <row r="110" spans="1:12" x14ac:dyDescent="0.35">
      <c r="A110">
        <v>2025</v>
      </c>
      <c r="B110">
        <v>3</v>
      </c>
      <c r="C110" t="s">
        <v>66</v>
      </c>
      <c r="D110" t="s">
        <v>319</v>
      </c>
      <c r="E110" t="s">
        <v>259</v>
      </c>
      <c r="F110">
        <v>8</v>
      </c>
      <c r="G110">
        <v>621874</v>
      </c>
      <c r="H110">
        <v>614364</v>
      </c>
      <c r="I110">
        <v>561038</v>
      </c>
      <c r="J110">
        <v>690140</v>
      </c>
      <c r="K110">
        <v>576040</v>
      </c>
      <c r="L110">
        <v>677824</v>
      </c>
    </row>
    <row r="111" spans="1:12" x14ac:dyDescent="0.35">
      <c r="A111">
        <v>2025</v>
      </c>
      <c r="B111">
        <v>3</v>
      </c>
      <c r="C111" t="s">
        <v>66</v>
      </c>
      <c r="D111" t="s">
        <v>319</v>
      </c>
      <c r="E111" t="s">
        <v>261</v>
      </c>
      <c r="F111">
        <v>8</v>
      </c>
      <c r="G111">
        <v>662544</v>
      </c>
      <c r="H111">
        <v>679629</v>
      </c>
      <c r="I111">
        <v>598859</v>
      </c>
      <c r="J111">
        <v>695879</v>
      </c>
      <c r="K111">
        <v>637368</v>
      </c>
      <c r="L111">
        <v>685879</v>
      </c>
    </row>
    <row r="112" spans="1:12" x14ac:dyDescent="0.35">
      <c r="A112">
        <v>2025</v>
      </c>
      <c r="B112">
        <v>3</v>
      </c>
      <c r="C112" t="s">
        <v>66</v>
      </c>
      <c r="D112" t="s">
        <v>319</v>
      </c>
      <c r="E112" t="s">
        <v>267</v>
      </c>
      <c r="F112">
        <v>25259</v>
      </c>
      <c r="G112">
        <v>323003</v>
      </c>
      <c r="H112">
        <v>316442</v>
      </c>
      <c r="I112">
        <v>260064</v>
      </c>
      <c r="J112">
        <v>467763</v>
      </c>
      <c r="K112">
        <v>285064</v>
      </c>
      <c r="L112">
        <v>345519</v>
      </c>
    </row>
    <row r="113" spans="1:12" x14ac:dyDescent="0.35">
      <c r="A113">
        <v>2025</v>
      </c>
      <c r="B113">
        <v>3</v>
      </c>
      <c r="C113" t="s">
        <v>66</v>
      </c>
      <c r="D113" t="s">
        <v>319</v>
      </c>
      <c r="E113" t="s">
        <v>269</v>
      </c>
      <c r="F113">
        <v>3919</v>
      </c>
      <c r="G113">
        <v>238755</v>
      </c>
      <c r="H113">
        <v>235523</v>
      </c>
      <c r="I113">
        <v>216923</v>
      </c>
      <c r="J113">
        <v>288720</v>
      </c>
      <c r="K113">
        <v>227107</v>
      </c>
      <c r="L113">
        <v>249140</v>
      </c>
    </row>
    <row r="114" spans="1:12" x14ac:dyDescent="0.35">
      <c r="A114">
        <v>2025</v>
      </c>
      <c r="B114">
        <v>3</v>
      </c>
      <c r="C114" t="s">
        <v>66</v>
      </c>
      <c r="D114" t="s">
        <v>319</v>
      </c>
      <c r="E114" t="s">
        <v>273</v>
      </c>
      <c r="F114">
        <v>139</v>
      </c>
      <c r="G114">
        <v>276166</v>
      </c>
      <c r="H114">
        <v>266269</v>
      </c>
      <c r="I114">
        <v>223634</v>
      </c>
      <c r="J114">
        <v>334993</v>
      </c>
      <c r="K114">
        <v>255851</v>
      </c>
      <c r="L114">
        <v>304993</v>
      </c>
    </row>
    <row r="115" spans="1:12" x14ac:dyDescent="0.35">
      <c r="A115">
        <v>2025</v>
      </c>
      <c r="B115">
        <v>3</v>
      </c>
      <c r="C115" t="s">
        <v>66</v>
      </c>
      <c r="D115" t="s">
        <v>319</v>
      </c>
      <c r="E115" t="s">
        <v>275</v>
      </c>
      <c r="F115">
        <v>1154</v>
      </c>
      <c r="G115">
        <v>218206</v>
      </c>
      <c r="H115">
        <v>215765</v>
      </c>
      <c r="I115">
        <v>204260</v>
      </c>
      <c r="J115">
        <v>264419</v>
      </c>
      <c r="K115">
        <v>208767</v>
      </c>
      <c r="L115">
        <v>224487</v>
      </c>
    </row>
    <row r="116" spans="1:12" x14ac:dyDescent="0.35">
      <c r="A116">
        <v>2025</v>
      </c>
      <c r="B116">
        <v>4</v>
      </c>
      <c r="C116" t="s">
        <v>67</v>
      </c>
      <c r="D116" t="s">
        <v>319</v>
      </c>
      <c r="E116" t="s">
        <v>255</v>
      </c>
      <c r="F116">
        <v>2100</v>
      </c>
      <c r="G116">
        <v>454290</v>
      </c>
      <c r="H116">
        <v>443044</v>
      </c>
      <c r="I116">
        <v>300385</v>
      </c>
      <c r="J116">
        <v>598365</v>
      </c>
      <c r="K116">
        <v>397822</v>
      </c>
      <c r="L116">
        <v>545201</v>
      </c>
    </row>
    <row r="117" spans="1:12" x14ac:dyDescent="0.35">
      <c r="A117">
        <v>2025</v>
      </c>
      <c r="B117">
        <v>4</v>
      </c>
      <c r="C117" t="s">
        <v>67</v>
      </c>
      <c r="D117" t="s">
        <v>319</v>
      </c>
      <c r="E117" t="s">
        <v>257</v>
      </c>
      <c r="F117">
        <v>448</v>
      </c>
      <c r="G117">
        <v>530332</v>
      </c>
      <c r="H117">
        <v>592418</v>
      </c>
      <c r="I117">
        <v>325286</v>
      </c>
      <c r="J117">
        <v>684871</v>
      </c>
      <c r="K117">
        <v>373474</v>
      </c>
      <c r="L117">
        <v>630977</v>
      </c>
    </row>
    <row r="118" spans="1:12" x14ac:dyDescent="0.35">
      <c r="A118">
        <v>2025</v>
      </c>
      <c r="B118">
        <v>4</v>
      </c>
      <c r="C118" t="s">
        <v>67</v>
      </c>
      <c r="D118" t="s">
        <v>319</v>
      </c>
      <c r="E118" t="s">
        <v>259</v>
      </c>
      <c r="F118">
        <v>11</v>
      </c>
      <c r="G118">
        <v>621941</v>
      </c>
      <c r="H118">
        <v>625108</v>
      </c>
      <c r="I118">
        <v>518084</v>
      </c>
      <c r="J118">
        <v>690140</v>
      </c>
      <c r="K118">
        <v>601223</v>
      </c>
      <c r="L118">
        <v>677824</v>
      </c>
    </row>
    <row r="119" spans="1:12" x14ac:dyDescent="0.35">
      <c r="A119">
        <v>2025</v>
      </c>
      <c r="B119">
        <v>4</v>
      </c>
      <c r="C119" t="s">
        <v>67</v>
      </c>
      <c r="D119" t="s">
        <v>319</v>
      </c>
      <c r="E119" t="s">
        <v>261</v>
      </c>
      <c r="F119">
        <v>4</v>
      </c>
      <c r="G119">
        <v>690254</v>
      </c>
      <c r="H119">
        <v>689629</v>
      </c>
      <c r="I119">
        <v>685879</v>
      </c>
      <c r="J119">
        <v>695879</v>
      </c>
      <c r="K119">
        <v>685879</v>
      </c>
      <c r="L119">
        <v>693379</v>
      </c>
    </row>
    <row r="120" spans="1:12" x14ac:dyDescent="0.35">
      <c r="A120">
        <v>2025</v>
      </c>
      <c r="B120">
        <v>4</v>
      </c>
      <c r="C120" t="s">
        <v>67</v>
      </c>
      <c r="D120" t="s">
        <v>319</v>
      </c>
      <c r="E120" t="s">
        <v>267</v>
      </c>
      <c r="F120">
        <v>24755</v>
      </c>
      <c r="G120">
        <v>324343</v>
      </c>
      <c r="H120">
        <v>313252</v>
      </c>
      <c r="I120">
        <v>260064</v>
      </c>
      <c r="J120">
        <v>466517</v>
      </c>
      <c r="K120">
        <v>285752</v>
      </c>
      <c r="L120">
        <v>350052</v>
      </c>
    </row>
    <row r="121" spans="1:12" x14ac:dyDescent="0.35">
      <c r="A121">
        <v>2025</v>
      </c>
      <c r="B121">
        <v>4</v>
      </c>
      <c r="C121" t="s">
        <v>67</v>
      </c>
      <c r="D121" t="s">
        <v>319</v>
      </c>
      <c r="E121" t="s">
        <v>269</v>
      </c>
      <c r="F121">
        <v>4033</v>
      </c>
      <c r="G121">
        <v>239392</v>
      </c>
      <c r="H121">
        <v>236712</v>
      </c>
      <c r="I121">
        <v>216923</v>
      </c>
      <c r="J121">
        <v>288720</v>
      </c>
      <c r="K121">
        <v>227107</v>
      </c>
      <c r="L121">
        <v>249140</v>
      </c>
    </row>
    <row r="122" spans="1:12" x14ac:dyDescent="0.35">
      <c r="A122">
        <v>2025</v>
      </c>
      <c r="B122">
        <v>4</v>
      </c>
      <c r="C122" t="s">
        <v>67</v>
      </c>
      <c r="D122" t="s">
        <v>319</v>
      </c>
      <c r="E122" t="s">
        <v>273</v>
      </c>
      <c r="F122">
        <v>2</v>
      </c>
      <c r="G122">
        <v>263745</v>
      </c>
      <c r="H122">
        <v>263745</v>
      </c>
      <c r="I122">
        <v>262563</v>
      </c>
      <c r="J122">
        <v>264927</v>
      </c>
      <c r="K122">
        <v>262563</v>
      </c>
      <c r="L122">
        <v>264927</v>
      </c>
    </row>
    <row r="123" spans="1:12" x14ac:dyDescent="0.35">
      <c r="A123">
        <v>2025</v>
      </c>
      <c r="B123">
        <v>4</v>
      </c>
      <c r="C123" t="s">
        <v>67</v>
      </c>
      <c r="D123" t="s">
        <v>319</v>
      </c>
      <c r="E123" t="s">
        <v>275</v>
      </c>
      <c r="F123">
        <v>1111</v>
      </c>
      <c r="G123">
        <v>217329</v>
      </c>
      <c r="H123">
        <v>213265</v>
      </c>
      <c r="I123">
        <v>204842</v>
      </c>
      <c r="J123">
        <v>258266</v>
      </c>
      <c r="K123">
        <v>208265</v>
      </c>
      <c r="L123">
        <v>223265</v>
      </c>
    </row>
    <row r="124" spans="1:12" x14ac:dyDescent="0.35">
      <c r="A124">
        <v>2025</v>
      </c>
      <c r="B124">
        <v>5</v>
      </c>
      <c r="C124" t="s">
        <v>68</v>
      </c>
      <c r="D124" t="s">
        <v>319</v>
      </c>
      <c r="E124" t="s">
        <v>255</v>
      </c>
      <c r="F124">
        <v>2177</v>
      </c>
      <c r="G124">
        <v>452233</v>
      </c>
      <c r="H124">
        <v>440544</v>
      </c>
      <c r="I124">
        <v>308573</v>
      </c>
      <c r="J124">
        <v>598070</v>
      </c>
      <c r="K124">
        <v>394485</v>
      </c>
      <c r="L124">
        <v>532848</v>
      </c>
    </row>
    <row r="125" spans="1:12" x14ac:dyDescent="0.35">
      <c r="A125">
        <v>2025</v>
      </c>
      <c r="B125">
        <v>5</v>
      </c>
      <c r="C125" t="s">
        <v>68</v>
      </c>
      <c r="D125" t="s">
        <v>319</v>
      </c>
      <c r="E125" t="s">
        <v>257</v>
      </c>
      <c r="F125">
        <v>518</v>
      </c>
      <c r="G125">
        <v>531011</v>
      </c>
      <c r="H125">
        <v>592418</v>
      </c>
      <c r="I125">
        <v>325286</v>
      </c>
      <c r="J125">
        <v>674400</v>
      </c>
      <c r="K125">
        <v>373474</v>
      </c>
      <c r="L125">
        <v>625977</v>
      </c>
    </row>
    <row r="126" spans="1:12" x14ac:dyDescent="0.35">
      <c r="A126">
        <v>2025</v>
      </c>
      <c r="B126">
        <v>5</v>
      </c>
      <c r="C126" t="s">
        <v>68</v>
      </c>
      <c r="D126" t="s">
        <v>319</v>
      </c>
      <c r="E126" t="s">
        <v>259</v>
      </c>
      <c r="F126">
        <v>8</v>
      </c>
      <c r="G126">
        <v>620937</v>
      </c>
      <c r="H126">
        <v>610614</v>
      </c>
      <c r="I126">
        <v>561038</v>
      </c>
      <c r="J126">
        <v>690140</v>
      </c>
      <c r="K126">
        <v>576040</v>
      </c>
      <c r="L126">
        <v>677824</v>
      </c>
    </row>
    <row r="127" spans="1:12" x14ac:dyDescent="0.35">
      <c r="A127">
        <v>2025</v>
      </c>
      <c r="B127">
        <v>5</v>
      </c>
      <c r="C127" t="s">
        <v>68</v>
      </c>
      <c r="D127" t="s">
        <v>319</v>
      </c>
      <c r="E127" t="s">
        <v>261</v>
      </c>
      <c r="F127">
        <v>8</v>
      </c>
      <c r="G127">
        <v>666404</v>
      </c>
      <c r="H127">
        <v>679629</v>
      </c>
      <c r="I127">
        <v>629733</v>
      </c>
      <c r="J127">
        <v>695879</v>
      </c>
      <c r="K127">
        <v>637368</v>
      </c>
      <c r="L127">
        <v>685879</v>
      </c>
    </row>
    <row r="128" spans="1:12" x14ac:dyDescent="0.35">
      <c r="A128">
        <v>2025</v>
      </c>
      <c r="B128">
        <v>5</v>
      </c>
      <c r="C128" t="s">
        <v>68</v>
      </c>
      <c r="D128" t="s">
        <v>319</v>
      </c>
      <c r="E128" t="s">
        <v>267</v>
      </c>
      <c r="F128">
        <v>25753</v>
      </c>
      <c r="G128">
        <v>321941</v>
      </c>
      <c r="H128">
        <v>313942</v>
      </c>
      <c r="I128">
        <v>260064</v>
      </c>
      <c r="J128">
        <v>466517</v>
      </c>
      <c r="K128">
        <v>280986</v>
      </c>
      <c r="L128">
        <v>347552</v>
      </c>
    </row>
    <row r="129" spans="1:12" x14ac:dyDescent="0.35">
      <c r="A129">
        <v>2025</v>
      </c>
      <c r="B129">
        <v>5</v>
      </c>
      <c r="C129" t="s">
        <v>68</v>
      </c>
      <c r="D129" t="s">
        <v>319</v>
      </c>
      <c r="E129" t="s">
        <v>269</v>
      </c>
      <c r="F129">
        <v>3440</v>
      </c>
      <c r="G129">
        <v>237167</v>
      </c>
      <c r="H129">
        <v>234373</v>
      </c>
      <c r="I129">
        <v>216922</v>
      </c>
      <c r="J129">
        <v>288720</v>
      </c>
      <c r="K129">
        <v>224976</v>
      </c>
      <c r="L129">
        <v>246824</v>
      </c>
    </row>
    <row r="130" spans="1:12" x14ac:dyDescent="0.35">
      <c r="A130">
        <v>2025</v>
      </c>
      <c r="B130">
        <v>5</v>
      </c>
      <c r="C130" t="s">
        <v>68</v>
      </c>
      <c r="D130" t="s">
        <v>319</v>
      </c>
      <c r="E130" t="s">
        <v>273</v>
      </c>
      <c r="F130">
        <v>1151</v>
      </c>
      <c r="G130">
        <v>247340</v>
      </c>
      <c r="H130">
        <v>243769</v>
      </c>
      <c r="I130">
        <v>223636</v>
      </c>
      <c r="J130">
        <v>333518</v>
      </c>
      <c r="K130">
        <v>223636</v>
      </c>
      <c r="L130">
        <v>262563</v>
      </c>
    </row>
    <row r="131" spans="1:12" x14ac:dyDescent="0.35">
      <c r="A131">
        <v>2025</v>
      </c>
      <c r="B131">
        <v>5</v>
      </c>
      <c r="C131" t="s">
        <v>68</v>
      </c>
      <c r="D131" t="s">
        <v>319</v>
      </c>
      <c r="E131" t="s">
        <v>275</v>
      </c>
      <c r="F131">
        <v>1209</v>
      </c>
      <c r="G131">
        <v>217945</v>
      </c>
      <c r="H131">
        <v>214842</v>
      </c>
      <c r="I131">
        <v>204237</v>
      </c>
      <c r="J131">
        <v>260950</v>
      </c>
      <c r="K131">
        <v>208684</v>
      </c>
      <c r="L131">
        <v>223684</v>
      </c>
    </row>
    <row r="132" spans="1:12" x14ac:dyDescent="0.35">
      <c r="A132">
        <v>2025</v>
      </c>
      <c r="B132">
        <v>6</v>
      </c>
      <c r="C132" t="s">
        <v>69</v>
      </c>
      <c r="D132" t="s">
        <v>319</v>
      </c>
      <c r="E132" t="s">
        <v>255</v>
      </c>
      <c r="F132">
        <v>2202</v>
      </c>
      <c r="G132">
        <v>452601</v>
      </c>
      <c r="H132">
        <v>440544</v>
      </c>
      <c r="I132">
        <v>308573</v>
      </c>
      <c r="J132">
        <v>598070</v>
      </c>
      <c r="K132">
        <v>394485</v>
      </c>
      <c r="L132">
        <v>535348</v>
      </c>
    </row>
    <row r="133" spans="1:12" x14ac:dyDescent="0.35">
      <c r="A133">
        <v>2025</v>
      </c>
      <c r="B133">
        <v>6</v>
      </c>
      <c r="C133" t="s">
        <v>69</v>
      </c>
      <c r="D133" t="s">
        <v>319</v>
      </c>
      <c r="E133" t="s">
        <v>257</v>
      </c>
      <c r="F133">
        <v>519</v>
      </c>
      <c r="G133">
        <v>535829</v>
      </c>
      <c r="H133">
        <v>592418</v>
      </c>
      <c r="I133">
        <v>325286</v>
      </c>
      <c r="J133">
        <v>674400</v>
      </c>
      <c r="K133">
        <v>394849</v>
      </c>
      <c r="L133">
        <v>630977</v>
      </c>
    </row>
    <row r="134" spans="1:12" x14ac:dyDescent="0.35">
      <c r="A134">
        <v>2025</v>
      </c>
      <c r="B134">
        <v>6</v>
      </c>
      <c r="C134" t="s">
        <v>69</v>
      </c>
      <c r="D134" t="s">
        <v>319</v>
      </c>
      <c r="E134" t="s">
        <v>259</v>
      </c>
      <c r="F134">
        <v>8</v>
      </c>
      <c r="G134">
        <v>620937</v>
      </c>
      <c r="H134">
        <v>610614</v>
      </c>
      <c r="I134">
        <v>561038</v>
      </c>
      <c r="J134">
        <v>690140</v>
      </c>
      <c r="K134">
        <v>576040</v>
      </c>
      <c r="L134">
        <v>677824</v>
      </c>
    </row>
    <row r="135" spans="1:12" x14ac:dyDescent="0.35">
      <c r="A135">
        <v>2025</v>
      </c>
      <c r="B135">
        <v>6</v>
      </c>
      <c r="C135" t="s">
        <v>69</v>
      </c>
      <c r="D135" t="s">
        <v>319</v>
      </c>
      <c r="E135" t="s">
        <v>261</v>
      </c>
      <c r="F135">
        <v>7</v>
      </c>
      <c r="G135">
        <v>663621</v>
      </c>
      <c r="H135">
        <v>673379</v>
      </c>
      <c r="I135">
        <v>629733</v>
      </c>
      <c r="J135">
        <v>695879</v>
      </c>
      <c r="K135">
        <v>637368</v>
      </c>
      <c r="L135">
        <v>693379</v>
      </c>
    </row>
    <row r="136" spans="1:12" x14ac:dyDescent="0.35">
      <c r="A136">
        <v>2025</v>
      </c>
      <c r="B136">
        <v>6</v>
      </c>
      <c r="C136" t="s">
        <v>69</v>
      </c>
      <c r="D136" t="s">
        <v>319</v>
      </c>
      <c r="E136" t="s">
        <v>267</v>
      </c>
      <c r="F136">
        <v>27412</v>
      </c>
      <c r="G136">
        <v>320467</v>
      </c>
      <c r="H136">
        <v>313019</v>
      </c>
      <c r="I136">
        <v>260064</v>
      </c>
      <c r="J136">
        <v>466517</v>
      </c>
      <c r="K136">
        <v>280752</v>
      </c>
      <c r="L136">
        <v>343942</v>
      </c>
    </row>
    <row r="137" spans="1:12" x14ac:dyDescent="0.35">
      <c r="A137">
        <v>2025</v>
      </c>
      <c r="B137">
        <v>6</v>
      </c>
      <c r="C137" t="s">
        <v>69</v>
      </c>
      <c r="D137" t="s">
        <v>319</v>
      </c>
      <c r="E137" t="s">
        <v>269</v>
      </c>
      <c r="F137">
        <v>3427</v>
      </c>
      <c r="G137">
        <v>237055</v>
      </c>
      <c r="H137">
        <v>234373</v>
      </c>
      <c r="I137">
        <v>216922</v>
      </c>
      <c r="J137">
        <v>288720</v>
      </c>
      <c r="K137">
        <v>224976</v>
      </c>
      <c r="L137">
        <v>246688</v>
      </c>
    </row>
    <row r="138" spans="1:12" x14ac:dyDescent="0.35">
      <c r="A138">
        <v>2025</v>
      </c>
      <c r="B138">
        <v>6</v>
      </c>
      <c r="C138" t="s">
        <v>69</v>
      </c>
      <c r="D138" t="s">
        <v>319</v>
      </c>
      <c r="E138" t="s">
        <v>273</v>
      </c>
      <c r="F138">
        <v>1222</v>
      </c>
      <c r="G138">
        <v>247021</v>
      </c>
      <c r="H138">
        <v>243769</v>
      </c>
      <c r="I138">
        <v>223634</v>
      </c>
      <c r="J138">
        <v>334896</v>
      </c>
      <c r="K138">
        <v>226136</v>
      </c>
      <c r="L138">
        <v>262563</v>
      </c>
    </row>
    <row r="139" spans="1:12" x14ac:dyDescent="0.35">
      <c r="A139">
        <v>2025</v>
      </c>
      <c r="B139">
        <v>6</v>
      </c>
      <c r="C139" t="s">
        <v>69</v>
      </c>
      <c r="D139" t="s">
        <v>319</v>
      </c>
      <c r="E139" t="s">
        <v>275</v>
      </c>
      <c r="F139">
        <v>1227</v>
      </c>
      <c r="G139">
        <v>218024</v>
      </c>
      <c r="H139">
        <v>214842</v>
      </c>
      <c r="I139">
        <v>204237</v>
      </c>
      <c r="J139">
        <v>260950</v>
      </c>
      <c r="K139">
        <v>208684</v>
      </c>
      <c r="L139">
        <v>223684</v>
      </c>
    </row>
    <row r="140" spans="1:12" x14ac:dyDescent="0.35">
      <c r="A140">
        <v>2025</v>
      </c>
      <c r="B140">
        <v>7</v>
      </c>
      <c r="C140" t="s">
        <v>70</v>
      </c>
      <c r="D140" t="s">
        <v>319</v>
      </c>
      <c r="E140" t="s">
        <v>255</v>
      </c>
      <c r="F140">
        <v>2190</v>
      </c>
      <c r="G140">
        <v>450516</v>
      </c>
      <c r="H140">
        <v>439485</v>
      </c>
      <c r="I140">
        <v>308573</v>
      </c>
      <c r="J140">
        <v>598070</v>
      </c>
      <c r="K140">
        <v>390322</v>
      </c>
      <c r="L140">
        <v>525348</v>
      </c>
    </row>
    <row r="141" spans="1:12" x14ac:dyDescent="0.35">
      <c r="A141">
        <v>2025</v>
      </c>
      <c r="B141">
        <v>7</v>
      </c>
      <c r="C141" t="s">
        <v>70</v>
      </c>
      <c r="D141" t="s">
        <v>319</v>
      </c>
      <c r="E141" t="s">
        <v>257</v>
      </c>
      <c r="F141">
        <v>566</v>
      </c>
      <c r="G141">
        <v>542589</v>
      </c>
      <c r="H141">
        <v>596168</v>
      </c>
      <c r="I141">
        <v>325286</v>
      </c>
      <c r="J141">
        <v>691559</v>
      </c>
      <c r="K141">
        <v>407822</v>
      </c>
      <c r="L141">
        <v>630977</v>
      </c>
    </row>
    <row r="142" spans="1:12" x14ac:dyDescent="0.35">
      <c r="A142">
        <v>2025</v>
      </c>
      <c r="B142">
        <v>7</v>
      </c>
      <c r="C142" t="s">
        <v>70</v>
      </c>
      <c r="D142" t="s">
        <v>319</v>
      </c>
      <c r="E142" t="s">
        <v>259</v>
      </c>
      <c r="F142">
        <v>8</v>
      </c>
      <c r="G142">
        <v>620937</v>
      </c>
      <c r="H142">
        <v>610614</v>
      </c>
      <c r="I142">
        <v>561038</v>
      </c>
      <c r="J142">
        <v>690140</v>
      </c>
      <c r="K142">
        <v>576040</v>
      </c>
      <c r="L142">
        <v>677824</v>
      </c>
    </row>
    <row r="143" spans="1:12" x14ac:dyDescent="0.35">
      <c r="A143">
        <v>2025</v>
      </c>
      <c r="B143">
        <v>7</v>
      </c>
      <c r="C143" t="s">
        <v>70</v>
      </c>
      <c r="D143" t="s">
        <v>319</v>
      </c>
      <c r="E143" t="s">
        <v>261</v>
      </c>
      <c r="F143">
        <v>7</v>
      </c>
      <c r="G143">
        <v>666498</v>
      </c>
      <c r="H143">
        <v>673379</v>
      </c>
      <c r="I143">
        <v>629733</v>
      </c>
      <c r="J143">
        <v>695879</v>
      </c>
      <c r="K143">
        <v>649868</v>
      </c>
      <c r="L143">
        <v>693379</v>
      </c>
    </row>
    <row r="144" spans="1:12" x14ac:dyDescent="0.35">
      <c r="A144">
        <v>2025</v>
      </c>
      <c r="B144">
        <v>7</v>
      </c>
      <c r="C144" t="s">
        <v>70</v>
      </c>
      <c r="D144" t="s">
        <v>319</v>
      </c>
      <c r="E144" t="s">
        <v>267</v>
      </c>
      <c r="F144">
        <v>27800</v>
      </c>
      <c r="G144">
        <v>320026</v>
      </c>
      <c r="H144">
        <v>313019</v>
      </c>
      <c r="I144">
        <v>260064</v>
      </c>
      <c r="J144">
        <v>466517</v>
      </c>
      <c r="K144">
        <v>280752</v>
      </c>
      <c r="L144">
        <v>343474</v>
      </c>
    </row>
    <row r="145" spans="1:12" x14ac:dyDescent="0.35">
      <c r="A145">
        <v>2025</v>
      </c>
      <c r="B145">
        <v>7</v>
      </c>
      <c r="C145" t="s">
        <v>70</v>
      </c>
      <c r="D145" t="s">
        <v>319</v>
      </c>
      <c r="E145" t="s">
        <v>269</v>
      </c>
      <c r="F145">
        <v>3404</v>
      </c>
      <c r="G145">
        <v>237052</v>
      </c>
      <c r="H145">
        <v>234373</v>
      </c>
      <c r="I145">
        <v>216922</v>
      </c>
      <c r="J145">
        <v>288720</v>
      </c>
      <c r="K145">
        <v>224976</v>
      </c>
      <c r="L145">
        <v>246688</v>
      </c>
    </row>
    <row r="146" spans="1:12" x14ac:dyDescent="0.35">
      <c r="A146">
        <v>2025</v>
      </c>
      <c r="B146">
        <v>7</v>
      </c>
      <c r="C146" t="s">
        <v>70</v>
      </c>
      <c r="D146" t="s">
        <v>319</v>
      </c>
      <c r="E146" t="s">
        <v>273</v>
      </c>
      <c r="F146">
        <v>1292</v>
      </c>
      <c r="G146">
        <v>246680</v>
      </c>
      <c r="H146">
        <v>243769</v>
      </c>
      <c r="I146">
        <v>223634</v>
      </c>
      <c r="J146">
        <v>332795</v>
      </c>
      <c r="K146">
        <v>228636</v>
      </c>
      <c r="L146">
        <v>262058</v>
      </c>
    </row>
    <row r="147" spans="1:12" x14ac:dyDescent="0.35">
      <c r="A147">
        <v>2025</v>
      </c>
      <c r="B147">
        <v>7</v>
      </c>
      <c r="C147" t="s">
        <v>70</v>
      </c>
      <c r="D147" t="s">
        <v>319</v>
      </c>
      <c r="E147" t="s">
        <v>275</v>
      </c>
      <c r="F147">
        <v>1238</v>
      </c>
      <c r="G147">
        <v>218141</v>
      </c>
      <c r="H147">
        <v>215950</v>
      </c>
      <c r="I147">
        <v>204237</v>
      </c>
      <c r="J147">
        <v>260950</v>
      </c>
      <c r="K147">
        <v>209237</v>
      </c>
      <c r="L147">
        <v>223684</v>
      </c>
    </row>
    <row r="148" spans="1:12" x14ac:dyDescent="0.35">
      <c r="A148">
        <v>2025</v>
      </c>
      <c r="B148">
        <v>8</v>
      </c>
      <c r="C148" t="s">
        <v>71</v>
      </c>
      <c r="D148" t="s">
        <v>319</v>
      </c>
      <c r="E148" t="s">
        <v>255</v>
      </c>
      <c r="F148">
        <v>2230</v>
      </c>
      <c r="G148">
        <v>450312</v>
      </c>
      <c r="H148">
        <v>439436</v>
      </c>
      <c r="I148">
        <v>308573</v>
      </c>
      <c r="J148">
        <v>598070</v>
      </c>
      <c r="K148">
        <v>390322</v>
      </c>
      <c r="L148">
        <v>520348</v>
      </c>
    </row>
    <row r="149" spans="1:12" x14ac:dyDescent="0.35">
      <c r="A149">
        <v>2025</v>
      </c>
      <c r="B149">
        <v>8</v>
      </c>
      <c r="C149" t="s">
        <v>71</v>
      </c>
      <c r="D149" t="s">
        <v>319</v>
      </c>
      <c r="E149" t="s">
        <v>257</v>
      </c>
      <c r="F149">
        <v>571</v>
      </c>
      <c r="G149">
        <v>541959</v>
      </c>
      <c r="H149">
        <v>593304</v>
      </c>
      <c r="I149">
        <v>325286</v>
      </c>
      <c r="J149">
        <v>684400</v>
      </c>
      <c r="K149">
        <v>407822</v>
      </c>
      <c r="L149">
        <v>630977</v>
      </c>
    </row>
    <row r="150" spans="1:12" x14ac:dyDescent="0.35">
      <c r="A150">
        <v>2025</v>
      </c>
      <c r="B150">
        <v>8</v>
      </c>
      <c r="C150" t="s">
        <v>71</v>
      </c>
      <c r="D150" t="s">
        <v>319</v>
      </c>
      <c r="E150" t="s">
        <v>259</v>
      </c>
      <c r="F150">
        <v>8</v>
      </c>
      <c r="G150">
        <v>633018</v>
      </c>
      <c r="H150">
        <v>655190</v>
      </c>
      <c r="I150">
        <v>561038</v>
      </c>
      <c r="J150">
        <v>690140</v>
      </c>
      <c r="K150">
        <v>583538</v>
      </c>
      <c r="L150">
        <v>677824</v>
      </c>
    </row>
    <row r="151" spans="1:12" x14ac:dyDescent="0.35">
      <c r="A151">
        <v>2025</v>
      </c>
      <c r="B151">
        <v>8</v>
      </c>
      <c r="C151" t="s">
        <v>71</v>
      </c>
      <c r="D151" t="s">
        <v>319</v>
      </c>
      <c r="E151" t="s">
        <v>261</v>
      </c>
      <c r="F151">
        <v>7</v>
      </c>
      <c r="G151">
        <v>669355</v>
      </c>
      <c r="H151">
        <v>685879</v>
      </c>
      <c r="I151">
        <v>629733</v>
      </c>
      <c r="J151">
        <v>695879</v>
      </c>
      <c r="K151">
        <v>649868</v>
      </c>
      <c r="L151">
        <v>693379</v>
      </c>
    </row>
    <row r="152" spans="1:12" x14ac:dyDescent="0.35">
      <c r="A152">
        <v>2025</v>
      </c>
      <c r="B152">
        <v>8</v>
      </c>
      <c r="C152" t="s">
        <v>71</v>
      </c>
      <c r="D152" t="s">
        <v>319</v>
      </c>
      <c r="E152" t="s">
        <v>267</v>
      </c>
      <c r="F152">
        <v>27807</v>
      </c>
      <c r="G152">
        <v>321164</v>
      </c>
      <c r="H152">
        <v>313019</v>
      </c>
      <c r="I152">
        <v>260064</v>
      </c>
      <c r="J152">
        <v>466517</v>
      </c>
      <c r="K152">
        <v>285515</v>
      </c>
      <c r="L152">
        <v>343474</v>
      </c>
    </row>
    <row r="153" spans="1:12" x14ac:dyDescent="0.35">
      <c r="A153">
        <v>2025</v>
      </c>
      <c r="B153">
        <v>8</v>
      </c>
      <c r="C153" t="s">
        <v>71</v>
      </c>
      <c r="D153" t="s">
        <v>319</v>
      </c>
      <c r="E153" t="s">
        <v>269</v>
      </c>
      <c r="F153">
        <v>3386</v>
      </c>
      <c r="G153">
        <v>236940</v>
      </c>
      <c r="H153">
        <v>234373</v>
      </c>
      <c r="I153">
        <v>216922</v>
      </c>
      <c r="J153">
        <v>287748</v>
      </c>
      <c r="K153">
        <v>224976</v>
      </c>
      <c r="L153">
        <v>246688</v>
      </c>
    </row>
    <row r="154" spans="1:12" x14ac:dyDescent="0.35">
      <c r="A154">
        <v>2025</v>
      </c>
      <c r="B154">
        <v>8</v>
      </c>
      <c r="C154" t="s">
        <v>71</v>
      </c>
      <c r="D154" t="s">
        <v>319</v>
      </c>
      <c r="E154" t="s">
        <v>273</v>
      </c>
      <c r="F154">
        <v>1342</v>
      </c>
      <c r="G154">
        <v>247065</v>
      </c>
      <c r="H154">
        <v>243769</v>
      </c>
      <c r="I154">
        <v>223636</v>
      </c>
      <c r="J154">
        <v>333605</v>
      </c>
      <c r="K154">
        <v>231136</v>
      </c>
      <c r="L154">
        <v>262563</v>
      </c>
    </row>
    <row r="155" spans="1:12" x14ac:dyDescent="0.35">
      <c r="A155">
        <v>2025</v>
      </c>
      <c r="B155">
        <v>8</v>
      </c>
      <c r="C155" t="s">
        <v>71</v>
      </c>
      <c r="D155" t="s">
        <v>319</v>
      </c>
      <c r="E155" t="s">
        <v>275</v>
      </c>
      <c r="F155">
        <v>1231</v>
      </c>
      <c r="G155">
        <v>218237</v>
      </c>
      <c r="H155">
        <v>215950</v>
      </c>
      <c r="I155">
        <v>204237</v>
      </c>
      <c r="J155">
        <v>260950</v>
      </c>
      <c r="K155">
        <v>209237</v>
      </c>
      <c r="L155">
        <v>223684</v>
      </c>
    </row>
    <row r="156" spans="1:12" x14ac:dyDescent="0.35">
      <c r="A156">
        <v>2025</v>
      </c>
      <c r="B156">
        <v>9</v>
      </c>
      <c r="C156" t="s">
        <v>72</v>
      </c>
      <c r="D156" t="s">
        <v>319</v>
      </c>
      <c r="E156" t="s">
        <v>255</v>
      </c>
      <c r="F156">
        <v>2244</v>
      </c>
      <c r="G156">
        <v>449156</v>
      </c>
      <c r="H156">
        <v>436240</v>
      </c>
      <c r="I156">
        <v>308573</v>
      </c>
      <c r="J156">
        <v>598070</v>
      </c>
      <c r="K156">
        <v>390322</v>
      </c>
      <c r="L156">
        <v>520348</v>
      </c>
    </row>
    <row r="157" spans="1:12" x14ac:dyDescent="0.35">
      <c r="A157">
        <v>2025</v>
      </c>
      <c r="B157">
        <v>9</v>
      </c>
      <c r="C157" t="s">
        <v>72</v>
      </c>
      <c r="D157" t="s">
        <v>319</v>
      </c>
      <c r="E157" t="s">
        <v>257</v>
      </c>
      <c r="F157">
        <v>575</v>
      </c>
      <c r="G157">
        <v>542582</v>
      </c>
      <c r="H157">
        <v>592418</v>
      </c>
      <c r="I157">
        <v>325286</v>
      </c>
      <c r="J157">
        <v>684400</v>
      </c>
      <c r="K157">
        <v>407822</v>
      </c>
      <c r="L157">
        <v>630977</v>
      </c>
    </row>
    <row r="158" spans="1:12" x14ac:dyDescent="0.35">
      <c r="A158">
        <v>2025</v>
      </c>
      <c r="B158">
        <v>9</v>
      </c>
      <c r="C158" t="s">
        <v>72</v>
      </c>
      <c r="D158" t="s">
        <v>319</v>
      </c>
      <c r="E158" t="s">
        <v>259</v>
      </c>
      <c r="F158">
        <v>8</v>
      </c>
      <c r="G158">
        <v>633018</v>
      </c>
      <c r="H158">
        <v>655190</v>
      </c>
      <c r="I158">
        <v>561038</v>
      </c>
      <c r="J158">
        <v>690140</v>
      </c>
      <c r="K158">
        <v>583538</v>
      </c>
      <c r="L158">
        <v>677824</v>
      </c>
    </row>
    <row r="159" spans="1:12" x14ac:dyDescent="0.35">
      <c r="A159">
        <v>2025</v>
      </c>
      <c r="B159">
        <v>9</v>
      </c>
      <c r="C159" t="s">
        <v>72</v>
      </c>
      <c r="D159" t="s">
        <v>319</v>
      </c>
      <c r="E159" t="s">
        <v>261</v>
      </c>
      <c r="F159">
        <v>8</v>
      </c>
      <c r="G159">
        <v>672792</v>
      </c>
      <c r="H159">
        <v>689629</v>
      </c>
      <c r="I159">
        <v>629733</v>
      </c>
      <c r="J159">
        <v>696851</v>
      </c>
      <c r="K159">
        <v>649868</v>
      </c>
      <c r="L159">
        <v>693379</v>
      </c>
    </row>
    <row r="160" spans="1:12" x14ac:dyDescent="0.35">
      <c r="A160">
        <v>2025</v>
      </c>
      <c r="B160">
        <v>9</v>
      </c>
      <c r="C160" t="s">
        <v>72</v>
      </c>
      <c r="D160" t="s">
        <v>319</v>
      </c>
      <c r="E160" t="s">
        <v>267</v>
      </c>
      <c r="F160">
        <v>27847</v>
      </c>
      <c r="G160">
        <v>320836</v>
      </c>
      <c r="H160">
        <v>313019</v>
      </c>
      <c r="I160">
        <v>260064</v>
      </c>
      <c r="J160">
        <v>467642</v>
      </c>
      <c r="K160">
        <v>280986</v>
      </c>
      <c r="L160">
        <v>343942</v>
      </c>
    </row>
    <row r="161" spans="1:12" x14ac:dyDescent="0.35">
      <c r="A161">
        <v>2025</v>
      </c>
      <c r="B161">
        <v>9</v>
      </c>
      <c r="C161" t="s">
        <v>72</v>
      </c>
      <c r="D161" t="s">
        <v>319</v>
      </c>
      <c r="E161" t="s">
        <v>269</v>
      </c>
      <c r="F161">
        <v>3401</v>
      </c>
      <c r="G161">
        <v>237043</v>
      </c>
      <c r="H161">
        <v>234373</v>
      </c>
      <c r="I161">
        <v>216922</v>
      </c>
      <c r="J161">
        <v>287748</v>
      </c>
      <c r="K161">
        <v>224976</v>
      </c>
      <c r="L161">
        <v>246824</v>
      </c>
    </row>
    <row r="162" spans="1:12" x14ac:dyDescent="0.35">
      <c r="A162">
        <v>2025</v>
      </c>
      <c r="B162">
        <v>9</v>
      </c>
      <c r="C162" t="s">
        <v>72</v>
      </c>
      <c r="D162" t="s">
        <v>319</v>
      </c>
      <c r="E162" t="s">
        <v>273</v>
      </c>
      <c r="F162">
        <v>1362</v>
      </c>
      <c r="G162">
        <v>246940</v>
      </c>
      <c r="H162">
        <v>243769</v>
      </c>
      <c r="I162">
        <v>223636</v>
      </c>
      <c r="J162">
        <v>334537</v>
      </c>
      <c r="K162">
        <v>231136</v>
      </c>
      <c r="L162">
        <v>261269</v>
      </c>
    </row>
    <row r="163" spans="1:12" x14ac:dyDescent="0.35">
      <c r="A163">
        <v>2025</v>
      </c>
      <c r="B163">
        <v>9</v>
      </c>
      <c r="C163" t="s">
        <v>72</v>
      </c>
      <c r="D163" t="s">
        <v>319</v>
      </c>
      <c r="E163" t="s">
        <v>275</v>
      </c>
      <c r="F163">
        <v>1235</v>
      </c>
      <c r="G163">
        <v>218347</v>
      </c>
      <c r="H163">
        <v>215950</v>
      </c>
      <c r="I163">
        <v>204237</v>
      </c>
      <c r="J163">
        <v>260950</v>
      </c>
      <c r="K163">
        <v>209842</v>
      </c>
      <c r="L163">
        <v>224237</v>
      </c>
    </row>
    <row r="164" spans="1:12" x14ac:dyDescent="0.35">
      <c r="A164">
        <v>2025</v>
      </c>
      <c r="B164">
        <v>10</v>
      </c>
      <c r="C164" t="s">
        <v>73</v>
      </c>
      <c r="D164" t="s">
        <v>319</v>
      </c>
      <c r="E164" t="s">
        <v>255</v>
      </c>
      <c r="F164">
        <v>2249</v>
      </c>
      <c r="G164">
        <v>448599</v>
      </c>
      <c r="H164">
        <v>434436</v>
      </c>
      <c r="I164">
        <v>308573</v>
      </c>
      <c r="J164">
        <v>598070</v>
      </c>
      <c r="K164">
        <v>390322</v>
      </c>
      <c r="L164">
        <v>517848</v>
      </c>
    </row>
    <row r="165" spans="1:12" x14ac:dyDescent="0.35">
      <c r="A165">
        <v>2025</v>
      </c>
      <c r="B165">
        <v>10</v>
      </c>
      <c r="C165" t="s">
        <v>73</v>
      </c>
      <c r="D165" t="s">
        <v>319</v>
      </c>
      <c r="E165" t="s">
        <v>257</v>
      </c>
      <c r="F165">
        <v>576</v>
      </c>
      <c r="G165">
        <v>542978</v>
      </c>
      <c r="H165">
        <v>592418</v>
      </c>
      <c r="I165">
        <v>325286</v>
      </c>
      <c r="J165">
        <v>694927</v>
      </c>
      <c r="K165">
        <v>407822</v>
      </c>
      <c r="L165">
        <v>630977</v>
      </c>
    </row>
    <row r="166" spans="1:12" x14ac:dyDescent="0.35">
      <c r="A166">
        <v>2025</v>
      </c>
      <c r="B166">
        <v>10</v>
      </c>
      <c r="C166" t="s">
        <v>73</v>
      </c>
      <c r="D166" t="s">
        <v>319</v>
      </c>
      <c r="E166" t="s">
        <v>259</v>
      </c>
      <c r="F166">
        <v>8</v>
      </c>
      <c r="G166">
        <v>636444</v>
      </c>
      <c r="H166">
        <v>655190</v>
      </c>
      <c r="I166">
        <v>561038</v>
      </c>
      <c r="J166">
        <v>707591</v>
      </c>
      <c r="K166">
        <v>583538</v>
      </c>
      <c r="L166">
        <v>677824</v>
      </c>
    </row>
    <row r="167" spans="1:12" x14ac:dyDescent="0.35">
      <c r="A167">
        <v>2025</v>
      </c>
      <c r="B167">
        <v>10</v>
      </c>
      <c r="C167" t="s">
        <v>73</v>
      </c>
      <c r="D167" t="s">
        <v>319</v>
      </c>
      <c r="E167" t="s">
        <v>261</v>
      </c>
      <c r="F167">
        <v>8</v>
      </c>
      <c r="G167">
        <v>672792</v>
      </c>
      <c r="H167">
        <v>689629</v>
      </c>
      <c r="I167">
        <v>629733</v>
      </c>
      <c r="J167">
        <v>696851</v>
      </c>
      <c r="K167">
        <v>649868</v>
      </c>
      <c r="L167">
        <v>693379</v>
      </c>
    </row>
    <row r="168" spans="1:12" x14ac:dyDescent="0.35">
      <c r="A168">
        <v>2025</v>
      </c>
      <c r="B168">
        <v>10</v>
      </c>
      <c r="C168" t="s">
        <v>73</v>
      </c>
      <c r="D168" t="s">
        <v>319</v>
      </c>
      <c r="E168" t="s">
        <v>267</v>
      </c>
      <c r="F168">
        <v>27910</v>
      </c>
      <c r="G168">
        <v>320915</v>
      </c>
      <c r="H168">
        <v>313019</v>
      </c>
      <c r="I168">
        <v>260064</v>
      </c>
      <c r="J168">
        <v>466517</v>
      </c>
      <c r="K168">
        <v>280986</v>
      </c>
      <c r="L168">
        <v>343942</v>
      </c>
    </row>
    <row r="169" spans="1:12" x14ac:dyDescent="0.35">
      <c r="A169">
        <v>2025</v>
      </c>
      <c r="B169">
        <v>10</v>
      </c>
      <c r="C169" t="s">
        <v>73</v>
      </c>
      <c r="D169" t="s">
        <v>319</v>
      </c>
      <c r="E169" t="s">
        <v>269</v>
      </c>
      <c r="F169">
        <v>3399</v>
      </c>
      <c r="G169">
        <v>237099</v>
      </c>
      <c r="H169">
        <v>234373</v>
      </c>
      <c r="I169">
        <v>216922</v>
      </c>
      <c r="J169">
        <v>287748</v>
      </c>
      <c r="K169">
        <v>224976</v>
      </c>
      <c r="L169">
        <v>246824</v>
      </c>
    </row>
    <row r="170" spans="1:12" x14ac:dyDescent="0.35">
      <c r="A170">
        <v>2025</v>
      </c>
      <c r="B170">
        <v>10</v>
      </c>
      <c r="C170" t="s">
        <v>73</v>
      </c>
      <c r="D170" t="s">
        <v>319</v>
      </c>
      <c r="E170" t="s">
        <v>273</v>
      </c>
      <c r="F170">
        <v>1386</v>
      </c>
      <c r="G170">
        <v>246674</v>
      </c>
      <c r="H170">
        <v>243769</v>
      </c>
      <c r="I170">
        <v>223636</v>
      </c>
      <c r="J170">
        <v>333222</v>
      </c>
      <c r="K170">
        <v>231136</v>
      </c>
      <c r="L170">
        <v>259558</v>
      </c>
    </row>
    <row r="171" spans="1:12" x14ac:dyDescent="0.35">
      <c r="A171">
        <v>2025</v>
      </c>
      <c r="B171">
        <v>10</v>
      </c>
      <c r="C171" t="s">
        <v>73</v>
      </c>
      <c r="D171" t="s">
        <v>319</v>
      </c>
      <c r="E171" t="s">
        <v>275</v>
      </c>
      <c r="F171">
        <v>1241</v>
      </c>
      <c r="G171">
        <v>218419</v>
      </c>
      <c r="H171">
        <v>215950</v>
      </c>
      <c r="I171">
        <v>204237</v>
      </c>
      <c r="J171">
        <v>260950</v>
      </c>
      <c r="K171">
        <v>210210</v>
      </c>
      <c r="L171">
        <v>224237</v>
      </c>
    </row>
    <row r="172" spans="1:12" x14ac:dyDescent="0.35">
      <c r="A172">
        <v>2025</v>
      </c>
      <c r="B172">
        <v>11</v>
      </c>
      <c r="C172" t="s">
        <v>74</v>
      </c>
      <c r="D172" t="s">
        <v>319</v>
      </c>
      <c r="E172" t="s">
        <v>255</v>
      </c>
      <c r="F172">
        <v>2248</v>
      </c>
      <c r="G172">
        <v>448696</v>
      </c>
      <c r="H172">
        <v>434436</v>
      </c>
      <c r="I172">
        <v>308573</v>
      </c>
      <c r="J172">
        <v>598070</v>
      </c>
      <c r="K172">
        <v>390322</v>
      </c>
      <c r="L172">
        <v>517848</v>
      </c>
    </row>
    <row r="173" spans="1:12" x14ac:dyDescent="0.35">
      <c r="A173">
        <v>2025</v>
      </c>
      <c r="B173">
        <v>11</v>
      </c>
      <c r="C173" t="s">
        <v>74</v>
      </c>
      <c r="D173" t="s">
        <v>319</v>
      </c>
      <c r="E173" t="s">
        <v>257</v>
      </c>
      <c r="F173">
        <v>581</v>
      </c>
      <c r="G173">
        <v>544114</v>
      </c>
      <c r="H173">
        <v>597418</v>
      </c>
      <c r="I173">
        <v>325286</v>
      </c>
      <c r="J173">
        <v>684400</v>
      </c>
      <c r="K173">
        <v>415322</v>
      </c>
      <c r="L173">
        <v>630977</v>
      </c>
    </row>
    <row r="174" spans="1:12" x14ac:dyDescent="0.35">
      <c r="A174">
        <v>2025</v>
      </c>
      <c r="B174">
        <v>11</v>
      </c>
      <c r="C174" t="s">
        <v>74</v>
      </c>
      <c r="D174" t="s">
        <v>319</v>
      </c>
      <c r="E174" t="s">
        <v>259</v>
      </c>
      <c r="F174">
        <v>8</v>
      </c>
      <c r="G174">
        <v>634262</v>
      </c>
      <c r="H174">
        <v>655190</v>
      </c>
      <c r="I174">
        <v>561038</v>
      </c>
      <c r="J174">
        <v>690140</v>
      </c>
      <c r="K174">
        <v>583538</v>
      </c>
      <c r="L174">
        <v>677824</v>
      </c>
    </row>
    <row r="175" spans="1:12" x14ac:dyDescent="0.35">
      <c r="A175">
        <v>2025</v>
      </c>
      <c r="B175">
        <v>11</v>
      </c>
      <c r="C175" t="s">
        <v>74</v>
      </c>
      <c r="D175" t="s">
        <v>319</v>
      </c>
      <c r="E175" t="s">
        <v>261</v>
      </c>
      <c r="F175">
        <v>8</v>
      </c>
      <c r="G175">
        <v>672792</v>
      </c>
      <c r="H175">
        <v>689629</v>
      </c>
      <c r="I175">
        <v>629733</v>
      </c>
      <c r="J175">
        <v>696851</v>
      </c>
      <c r="K175">
        <v>649868</v>
      </c>
      <c r="L175">
        <v>693379</v>
      </c>
    </row>
    <row r="176" spans="1:12" x14ac:dyDescent="0.35">
      <c r="A176">
        <v>2025</v>
      </c>
      <c r="B176">
        <v>11</v>
      </c>
      <c r="C176" t="s">
        <v>74</v>
      </c>
      <c r="D176" t="s">
        <v>319</v>
      </c>
      <c r="E176" t="s">
        <v>267</v>
      </c>
      <c r="F176">
        <v>28059</v>
      </c>
      <c r="G176">
        <v>320824</v>
      </c>
      <c r="H176">
        <v>313019</v>
      </c>
      <c r="I176">
        <v>260064</v>
      </c>
      <c r="J176">
        <v>466517</v>
      </c>
      <c r="K176">
        <v>280986</v>
      </c>
      <c r="L176">
        <v>343942</v>
      </c>
    </row>
    <row r="177" spans="1:12" x14ac:dyDescent="0.35">
      <c r="A177">
        <v>2025</v>
      </c>
      <c r="B177">
        <v>11</v>
      </c>
      <c r="C177" t="s">
        <v>74</v>
      </c>
      <c r="D177" t="s">
        <v>319</v>
      </c>
      <c r="E177" t="s">
        <v>269</v>
      </c>
      <c r="F177">
        <v>3395</v>
      </c>
      <c r="G177">
        <v>237061</v>
      </c>
      <c r="H177">
        <v>234373</v>
      </c>
      <c r="I177">
        <v>216922</v>
      </c>
      <c r="J177">
        <v>287748</v>
      </c>
      <c r="K177">
        <v>224976</v>
      </c>
      <c r="L177">
        <v>246688</v>
      </c>
    </row>
    <row r="178" spans="1:12" x14ac:dyDescent="0.35">
      <c r="A178">
        <v>2025</v>
      </c>
      <c r="B178">
        <v>11</v>
      </c>
      <c r="C178" t="s">
        <v>74</v>
      </c>
      <c r="D178" t="s">
        <v>319</v>
      </c>
      <c r="E178" t="s">
        <v>273</v>
      </c>
      <c r="F178">
        <v>1450</v>
      </c>
      <c r="G178">
        <v>245767</v>
      </c>
      <c r="H178">
        <v>243636</v>
      </c>
      <c r="I178">
        <v>223636</v>
      </c>
      <c r="J178">
        <v>317046</v>
      </c>
      <c r="K178">
        <v>230347</v>
      </c>
      <c r="L178">
        <v>258769</v>
      </c>
    </row>
    <row r="179" spans="1:12" x14ac:dyDescent="0.35">
      <c r="A179">
        <v>2025</v>
      </c>
      <c r="B179">
        <v>11</v>
      </c>
      <c r="C179" t="s">
        <v>74</v>
      </c>
      <c r="D179" t="s">
        <v>319</v>
      </c>
      <c r="E179" t="s">
        <v>275</v>
      </c>
      <c r="F179">
        <v>1244</v>
      </c>
      <c r="G179">
        <v>218456</v>
      </c>
      <c r="H179">
        <v>215950</v>
      </c>
      <c r="I179">
        <v>204237</v>
      </c>
      <c r="J179">
        <v>260950</v>
      </c>
      <c r="K179">
        <v>210210</v>
      </c>
      <c r="L179">
        <v>224237</v>
      </c>
    </row>
    <row r="180" spans="1:12" x14ac:dyDescent="0.35">
      <c r="A180">
        <v>2025</v>
      </c>
      <c r="B180">
        <v>12</v>
      </c>
      <c r="C180" t="s">
        <v>75</v>
      </c>
      <c r="D180" t="s">
        <v>319</v>
      </c>
      <c r="E180" t="s">
        <v>255</v>
      </c>
      <c r="F180">
        <v>2262</v>
      </c>
      <c r="G180">
        <v>450506</v>
      </c>
      <c r="H180">
        <v>434436</v>
      </c>
      <c r="I180">
        <v>308573</v>
      </c>
      <c r="J180">
        <v>598070</v>
      </c>
      <c r="K180">
        <v>394485</v>
      </c>
      <c r="L180">
        <v>517848</v>
      </c>
    </row>
    <row r="181" spans="1:12" x14ac:dyDescent="0.35">
      <c r="A181">
        <v>2025</v>
      </c>
      <c r="B181">
        <v>12</v>
      </c>
      <c r="C181" t="s">
        <v>75</v>
      </c>
      <c r="D181" t="s">
        <v>319</v>
      </c>
      <c r="E181" t="s">
        <v>257</v>
      </c>
      <c r="F181">
        <v>587</v>
      </c>
      <c r="G181">
        <v>544380</v>
      </c>
      <c r="H181">
        <v>594918</v>
      </c>
      <c r="I181">
        <v>325286</v>
      </c>
      <c r="J181">
        <v>684400</v>
      </c>
      <c r="K181">
        <v>443044</v>
      </c>
      <c r="L181">
        <v>630977</v>
      </c>
    </row>
    <row r="182" spans="1:12" x14ac:dyDescent="0.35">
      <c r="A182">
        <v>2025</v>
      </c>
      <c r="B182">
        <v>12</v>
      </c>
      <c r="C182" t="s">
        <v>75</v>
      </c>
      <c r="D182" t="s">
        <v>319</v>
      </c>
      <c r="E182" t="s">
        <v>259</v>
      </c>
      <c r="F182">
        <v>8</v>
      </c>
      <c r="G182">
        <v>634262</v>
      </c>
      <c r="H182">
        <v>655190</v>
      </c>
      <c r="I182">
        <v>561038</v>
      </c>
      <c r="J182">
        <v>690140</v>
      </c>
      <c r="K182">
        <v>583538</v>
      </c>
      <c r="L182">
        <v>677824</v>
      </c>
    </row>
    <row r="183" spans="1:12" x14ac:dyDescent="0.35">
      <c r="A183">
        <v>2025</v>
      </c>
      <c r="B183">
        <v>12</v>
      </c>
      <c r="C183" t="s">
        <v>75</v>
      </c>
      <c r="D183" t="s">
        <v>319</v>
      </c>
      <c r="E183" t="s">
        <v>261</v>
      </c>
      <c r="F183">
        <v>8</v>
      </c>
      <c r="G183">
        <v>671854</v>
      </c>
      <c r="H183">
        <v>687129</v>
      </c>
      <c r="I183">
        <v>629733</v>
      </c>
      <c r="J183">
        <v>696851</v>
      </c>
      <c r="K183">
        <v>649868</v>
      </c>
      <c r="L183">
        <v>693379</v>
      </c>
    </row>
    <row r="184" spans="1:12" x14ac:dyDescent="0.35">
      <c r="A184">
        <v>2025</v>
      </c>
      <c r="B184">
        <v>12</v>
      </c>
      <c r="C184" t="s">
        <v>75</v>
      </c>
      <c r="D184" t="s">
        <v>319</v>
      </c>
      <c r="E184" t="s">
        <v>267</v>
      </c>
      <c r="F184">
        <v>27997</v>
      </c>
      <c r="G184">
        <v>320931</v>
      </c>
      <c r="H184">
        <v>313019</v>
      </c>
      <c r="I184">
        <v>260064</v>
      </c>
      <c r="J184">
        <v>467519</v>
      </c>
      <c r="K184">
        <v>280986</v>
      </c>
      <c r="L184">
        <v>343942</v>
      </c>
    </row>
    <row r="185" spans="1:12" x14ac:dyDescent="0.35">
      <c r="A185">
        <v>2025</v>
      </c>
      <c r="B185">
        <v>12</v>
      </c>
      <c r="C185" t="s">
        <v>75</v>
      </c>
      <c r="D185" t="s">
        <v>319</v>
      </c>
      <c r="E185" t="s">
        <v>269</v>
      </c>
      <c r="F185">
        <v>3392</v>
      </c>
      <c r="G185">
        <v>237390</v>
      </c>
      <c r="H185">
        <v>234373</v>
      </c>
      <c r="I185">
        <v>216922</v>
      </c>
      <c r="J185">
        <v>287748</v>
      </c>
      <c r="K185">
        <v>224976</v>
      </c>
      <c r="L185">
        <v>246824</v>
      </c>
    </row>
    <row r="186" spans="1:12" x14ac:dyDescent="0.35">
      <c r="A186">
        <v>2025</v>
      </c>
      <c r="B186">
        <v>12</v>
      </c>
      <c r="C186" t="s">
        <v>75</v>
      </c>
      <c r="D186" t="s">
        <v>319</v>
      </c>
      <c r="E186" t="s">
        <v>273</v>
      </c>
      <c r="F186">
        <v>1452</v>
      </c>
      <c r="G186">
        <v>247097</v>
      </c>
      <c r="H186">
        <v>243769</v>
      </c>
      <c r="I186">
        <v>223636</v>
      </c>
      <c r="J186">
        <v>330170</v>
      </c>
      <c r="K186">
        <v>231136</v>
      </c>
      <c r="L186">
        <v>261269</v>
      </c>
    </row>
    <row r="187" spans="1:12" x14ac:dyDescent="0.35">
      <c r="A187">
        <v>2025</v>
      </c>
      <c r="B187">
        <v>12</v>
      </c>
      <c r="C187" t="s">
        <v>75</v>
      </c>
      <c r="D187" t="s">
        <v>319</v>
      </c>
      <c r="E187" t="s">
        <v>275</v>
      </c>
      <c r="F187">
        <v>1250</v>
      </c>
      <c r="G187">
        <v>218520</v>
      </c>
      <c r="H187">
        <v>215950</v>
      </c>
      <c r="I187">
        <v>204237</v>
      </c>
      <c r="J187">
        <v>260950</v>
      </c>
      <c r="K187">
        <v>210210</v>
      </c>
      <c r="L187">
        <v>224842</v>
      </c>
    </row>
  </sheetData>
  <mergeCells count="1">
    <mergeCell ref="A1:L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299</v>
      </c>
      <c r="E5" t="s">
        <v>280</v>
      </c>
      <c r="F5">
        <v>17150</v>
      </c>
      <c r="G5">
        <v>307879</v>
      </c>
      <c r="H5">
        <v>284996</v>
      </c>
      <c r="I5">
        <v>191418</v>
      </c>
      <c r="J5">
        <v>760916</v>
      </c>
      <c r="K5">
        <v>230765</v>
      </c>
      <c r="L5">
        <v>350974</v>
      </c>
    </row>
    <row r="6" spans="1:12" x14ac:dyDescent="0.35">
      <c r="A6">
        <v>2024</v>
      </c>
      <c r="B6">
        <v>1</v>
      </c>
      <c r="C6" t="s">
        <v>42</v>
      </c>
      <c r="D6" t="s">
        <v>299</v>
      </c>
      <c r="E6" t="s">
        <v>282</v>
      </c>
      <c r="F6">
        <v>35622</v>
      </c>
      <c r="G6">
        <v>322046</v>
      </c>
      <c r="H6">
        <v>282427</v>
      </c>
      <c r="I6">
        <v>191417</v>
      </c>
      <c r="J6">
        <v>768416</v>
      </c>
      <c r="K6">
        <v>240765</v>
      </c>
      <c r="L6">
        <v>365974</v>
      </c>
    </row>
    <row r="7" spans="1:12" x14ac:dyDescent="0.35">
      <c r="A7">
        <v>2024</v>
      </c>
      <c r="B7">
        <v>2</v>
      </c>
      <c r="C7" t="s">
        <v>63</v>
      </c>
      <c r="D7" t="s">
        <v>299</v>
      </c>
      <c r="E7" t="s">
        <v>280</v>
      </c>
      <c r="F7">
        <v>17509</v>
      </c>
      <c r="G7">
        <v>311498</v>
      </c>
      <c r="H7">
        <v>288486</v>
      </c>
      <c r="I7">
        <v>191418</v>
      </c>
      <c r="J7">
        <v>775351</v>
      </c>
      <c r="K7">
        <v>232895</v>
      </c>
      <c r="L7">
        <v>355042</v>
      </c>
    </row>
    <row r="8" spans="1:12" x14ac:dyDescent="0.35">
      <c r="A8">
        <v>2024</v>
      </c>
      <c r="B8">
        <v>2</v>
      </c>
      <c r="C8" t="s">
        <v>63</v>
      </c>
      <c r="D8" t="s">
        <v>299</v>
      </c>
      <c r="E8" t="s">
        <v>282</v>
      </c>
      <c r="F8">
        <v>35978</v>
      </c>
      <c r="G8">
        <v>324816</v>
      </c>
      <c r="H8">
        <v>283486</v>
      </c>
      <c r="I8">
        <v>191417</v>
      </c>
      <c r="J8">
        <v>780954</v>
      </c>
      <c r="K8">
        <v>241134</v>
      </c>
      <c r="L8">
        <v>369810</v>
      </c>
    </row>
    <row r="9" spans="1:12" x14ac:dyDescent="0.35">
      <c r="A9">
        <v>2024</v>
      </c>
      <c r="B9">
        <v>3</v>
      </c>
      <c r="C9" t="s">
        <v>66</v>
      </c>
      <c r="D9" t="s">
        <v>299</v>
      </c>
      <c r="E9" t="s">
        <v>280</v>
      </c>
      <c r="F9">
        <v>17871</v>
      </c>
      <c r="G9">
        <v>309232</v>
      </c>
      <c r="H9">
        <v>285752</v>
      </c>
      <c r="I9">
        <v>191418</v>
      </c>
      <c r="J9">
        <v>760916</v>
      </c>
      <c r="K9">
        <v>232894</v>
      </c>
      <c r="L9">
        <v>350052</v>
      </c>
    </row>
    <row r="10" spans="1:12" x14ac:dyDescent="0.35">
      <c r="A10">
        <v>2024</v>
      </c>
      <c r="B10">
        <v>3</v>
      </c>
      <c r="C10" t="s">
        <v>66</v>
      </c>
      <c r="D10" t="s">
        <v>299</v>
      </c>
      <c r="E10" t="s">
        <v>282</v>
      </c>
      <c r="F10">
        <v>36477</v>
      </c>
      <c r="G10">
        <v>323279</v>
      </c>
      <c r="H10">
        <v>283486</v>
      </c>
      <c r="I10">
        <v>191417</v>
      </c>
      <c r="J10">
        <v>768649</v>
      </c>
      <c r="K10">
        <v>241134</v>
      </c>
      <c r="L10">
        <v>367552</v>
      </c>
    </row>
    <row r="11" spans="1:12" x14ac:dyDescent="0.35">
      <c r="A11">
        <v>2024</v>
      </c>
      <c r="B11">
        <v>4</v>
      </c>
      <c r="C11" t="s">
        <v>67</v>
      </c>
      <c r="D11" t="s">
        <v>299</v>
      </c>
      <c r="E11" t="s">
        <v>280</v>
      </c>
      <c r="F11">
        <v>18164</v>
      </c>
      <c r="G11">
        <v>309085</v>
      </c>
      <c r="H11">
        <v>288373</v>
      </c>
      <c r="I11">
        <v>191418</v>
      </c>
      <c r="J11">
        <v>760916</v>
      </c>
      <c r="K11">
        <v>232661</v>
      </c>
      <c r="L11">
        <v>349866</v>
      </c>
    </row>
    <row r="12" spans="1:12" x14ac:dyDescent="0.35">
      <c r="A12">
        <v>2024</v>
      </c>
      <c r="B12">
        <v>4</v>
      </c>
      <c r="C12" t="s">
        <v>67</v>
      </c>
      <c r="D12" t="s">
        <v>299</v>
      </c>
      <c r="E12" t="s">
        <v>282</v>
      </c>
      <c r="F12">
        <v>36755</v>
      </c>
      <c r="G12">
        <v>323185</v>
      </c>
      <c r="H12">
        <v>283486</v>
      </c>
      <c r="I12">
        <v>191417</v>
      </c>
      <c r="J12">
        <v>768649</v>
      </c>
      <c r="K12">
        <v>240900</v>
      </c>
      <c r="L12">
        <v>368290</v>
      </c>
    </row>
    <row r="13" spans="1:12" x14ac:dyDescent="0.35">
      <c r="A13">
        <v>2024</v>
      </c>
      <c r="B13">
        <v>5</v>
      </c>
      <c r="C13" t="s">
        <v>68</v>
      </c>
      <c r="D13" t="s">
        <v>299</v>
      </c>
      <c r="E13" t="s">
        <v>280</v>
      </c>
      <c r="F13">
        <v>18252</v>
      </c>
      <c r="G13">
        <v>309235</v>
      </c>
      <c r="H13">
        <v>290752</v>
      </c>
      <c r="I13">
        <v>191418</v>
      </c>
      <c r="J13">
        <v>760916</v>
      </c>
      <c r="K13">
        <v>233265</v>
      </c>
      <c r="L13">
        <v>348474</v>
      </c>
    </row>
    <row r="14" spans="1:12" x14ac:dyDescent="0.35">
      <c r="A14">
        <v>2024</v>
      </c>
      <c r="B14">
        <v>5</v>
      </c>
      <c r="C14" t="s">
        <v>68</v>
      </c>
      <c r="D14" t="s">
        <v>299</v>
      </c>
      <c r="E14" t="s">
        <v>282</v>
      </c>
      <c r="F14">
        <v>36722</v>
      </c>
      <c r="G14">
        <v>323665</v>
      </c>
      <c r="H14">
        <v>284140</v>
      </c>
      <c r="I14">
        <v>191417</v>
      </c>
      <c r="J14">
        <v>768649</v>
      </c>
      <c r="K14">
        <v>241922</v>
      </c>
      <c r="L14">
        <v>367552</v>
      </c>
    </row>
    <row r="15" spans="1:12" x14ac:dyDescent="0.35">
      <c r="A15">
        <v>2024</v>
      </c>
      <c r="B15">
        <v>6</v>
      </c>
      <c r="C15" t="s">
        <v>69</v>
      </c>
      <c r="D15" t="s">
        <v>299</v>
      </c>
      <c r="E15" t="s">
        <v>280</v>
      </c>
      <c r="F15">
        <v>18365</v>
      </c>
      <c r="G15">
        <v>309448</v>
      </c>
      <c r="H15">
        <v>290752</v>
      </c>
      <c r="I15">
        <v>191418</v>
      </c>
      <c r="J15">
        <v>760916</v>
      </c>
      <c r="K15">
        <v>233265</v>
      </c>
      <c r="L15">
        <v>348474</v>
      </c>
    </row>
    <row r="16" spans="1:12" x14ac:dyDescent="0.35">
      <c r="A16">
        <v>2024</v>
      </c>
      <c r="B16">
        <v>6</v>
      </c>
      <c r="C16" t="s">
        <v>69</v>
      </c>
      <c r="D16" t="s">
        <v>299</v>
      </c>
      <c r="E16" t="s">
        <v>282</v>
      </c>
      <c r="F16">
        <v>36838</v>
      </c>
      <c r="G16">
        <v>324016</v>
      </c>
      <c r="H16">
        <v>285512</v>
      </c>
      <c r="I16">
        <v>191418</v>
      </c>
      <c r="J16">
        <v>768649</v>
      </c>
      <c r="K16">
        <v>241787</v>
      </c>
      <c r="L16">
        <v>368290</v>
      </c>
    </row>
    <row r="17" spans="1:12" x14ac:dyDescent="0.35">
      <c r="A17">
        <v>2024</v>
      </c>
      <c r="B17">
        <v>7</v>
      </c>
      <c r="C17" t="s">
        <v>70</v>
      </c>
      <c r="D17" t="s">
        <v>299</v>
      </c>
      <c r="E17" t="s">
        <v>280</v>
      </c>
      <c r="F17">
        <v>18548</v>
      </c>
      <c r="G17">
        <v>309448</v>
      </c>
      <c r="H17">
        <v>290752</v>
      </c>
      <c r="I17">
        <v>191418</v>
      </c>
      <c r="J17">
        <v>760916</v>
      </c>
      <c r="K17">
        <v>233400</v>
      </c>
      <c r="L17">
        <v>348474</v>
      </c>
    </row>
    <row r="18" spans="1:12" x14ac:dyDescent="0.35">
      <c r="A18">
        <v>2024</v>
      </c>
      <c r="B18">
        <v>7</v>
      </c>
      <c r="C18" t="s">
        <v>70</v>
      </c>
      <c r="D18" t="s">
        <v>299</v>
      </c>
      <c r="E18" t="s">
        <v>282</v>
      </c>
      <c r="F18">
        <v>37039</v>
      </c>
      <c r="G18">
        <v>324529</v>
      </c>
      <c r="H18">
        <v>285986</v>
      </c>
      <c r="I18">
        <v>191418</v>
      </c>
      <c r="J18">
        <v>778689</v>
      </c>
      <c r="K18">
        <v>241922</v>
      </c>
      <c r="L18">
        <v>368795</v>
      </c>
    </row>
    <row r="19" spans="1:12" x14ac:dyDescent="0.35">
      <c r="A19">
        <v>2024</v>
      </c>
      <c r="B19">
        <v>8</v>
      </c>
      <c r="C19" t="s">
        <v>71</v>
      </c>
      <c r="D19" t="s">
        <v>299</v>
      </c>
      <c r="E19" t="s">
        <v>280</v>
      </c>
      <c r="F19">
        <v>18714</v>
      </c>
      <c r="G19">
        <v>311086</v>
      </c>
      <c r="H19">
        <v>290752</v>
      </c>
      <c r="I19">
        <v>191418</v>
      </c>
      <c r="J19">
        <v>780969</v>
      </c>
      <c r="K19">
        <v>233634</v>
      </c>
      <c r="L19">
        <v>353290</v>
      </c>
    </row>
    <row r="20" spans="1:12" x14ac:dyDescent="0.35">
      <c r="A20">
        <v>2024</v>
      </c>
      <c r="B20">
        <v>8</v>
      </c>
      <c r="C20" t="s">
        <v>71</v>
      </c>
      <c r="D20" t="s">
        <v>299</v>
      </c>
      <c r="E20" t="s">
        <v>282</v>
      </c>
      <c r="F20">
        <v>37227</v>
      </c>
      <c r="G20">
        <v>325560</v>
      </c>
      <c r="H20">
        <v>286713</v>
      </c>
      <c r="I20">
        <v>191418</v>
      </c>
      <c r="J20">
        <v>780969</v>
      </c>
      <c r="K20">
        <v>242661</v>
      </c>
      <c r="L20">
        <v>371477</v>
      </c>
    </row>
    <row r="21" spans="1:12" x14ac:dyDescent="0.35">
      <c r="A21">
        <v>2024</v>
      </c>
      <c r="B21">
        <v>9</v>
      </c>
      <c r="C21" t="s">
        <v>72</v>
      </c>
      <c r="D21" t="s">
        <v>299</v>
      </c>
      <c r="E21" t="s">
        <v>280</v>
      </c>
      <c r="F21">
        <v>18937</v>
      </c>
      <c r="G21">
        <v>309243</v>
      </c>
      <c r="H21">
        <v>290752</v>
      </c>
      <c r="I21">
        <v>191418</v>
      </c>
      <c r="J21">
        <v>760916</v>
      </c>
      <c r="K21">
        <v>233265</v>
      </c>
      <c r="L21">
        <v>348474</v>
      </c>
    </row>
    <row r="22" spans="1:12" x14ac:dyDescent="0.35">
      <c r="A22">
        <v>2024</v>
      </c>
      <c r="B22">
        <v>9</v>
      </c>
      <c r="C22" t="s">
        <v>72</v>
      </c>
      <c r="D22" t="s">
        <v>299</v>
      </c>
      <c r="E22" t="s">
        <v>282</v>
      </c>
      <c r="F22">
        <v>37546</v>
      </c>
      <c r="G22">
        <v>324121</v>
      </c>
      <c r="H22">
        <v>285986</v>
      </c>
      <c r="I22">
        <v>191418</v>
      </c>
      <c r="J22">
        <v>771189</v>
      </c>
      <c r="K22">
        <v>241134</v>
      </c>
      <c r="L22">
        <v>368290</v>
      </c>
    </row>
    <row r="23" spans="1:12" x14ac:dyDescent="0.35">
      <c r="A23">
        <v>2024</v>
      </c>
      <c r="B23">
        <v>10</v>
      </c>
      <c r="C23" t="s">
        <v>73</v>
      </c>
      <c r="D23" t="s">
        <v>299</v>
      </c>
      <c r="E23" t="s">
        <v>280</v>
      </c>
      <c r="F23">
        <v>19088</v>
      </c>
      <c r="G23">
        <v>309177</v>
      </c>
      <c r="H23">
        <v>290752</v>
      </c>
      <c r="I23">
        <v>191418</v>
      </c>
      <c r="J23">
        <v>760916</v>
      </c>
      <c r="K23">
        <v>233031</v>
      </c>
      <c r="L23">
        <v>348474</v>
      </c>
    </row>
    <row r="24" spans="1:12" x14ac:dyDescent="0.35">
      <c r="A24">
        <v>2024</v>
      </c>
      <c r="B24">
        <v>10</v>
      </c>
      <c r="C24" t="s">
        <v>73</v>
      </c>
      <c r="D24" t="s">
        <v>299</v>
      </c>
      <c r="E24" t="s">
        <v>282</v>
      </c>
      <c r="F24">
        <v>37720</v>
      </c>
      <c r="G24">
        <v>324149</v>
      </c>
      <c r="H24">
        <v>286775</v>
      </c>
      <c r="I24">
        <v>191418</v>
      </c>
      <c r="J24">
        <v>782590</v>
      </c>
      <c r="K24">
        <v>241134</v>
      </c>
      <c r="L24">
        <v>368290</v>
      </c>
    </row>
    <row r="25" spans="1:12" x14ac:dyDescent="0.35">
      <c r="A25">
        <v>2024</v>
      </c>
      <c r="B25">
        <v>11</v>
      </c>
      <c r="C25" t="s">
        <v>74</v>
      </c>
      <c r="D25" t="s">
        <v>299</v>
      </c>
      <c r="E25" t="s">
        <v>280</v>
      </c>
      <c r="F25">
        <v>19159</v>
      </c>
      <c r="G25">
        <v>309589</v>
      </c>
      <c r="H25">
        <v>290752</v>
      </c>
      <c r="I25">
        <v>191418</v>
      </c>
      <c r="J25">
        <v>760916</v>
      </c>
      <c r="K25">
        <v>233400</v>
      </c>
      <c r="L25">
        <v>349866</v>
      </c>
    </row>
    <row r="26" spans="1:12" x14ac:dyDescent="0.35">
      <c r="A26">
        <v>2024</v>
      </c>
      <c r="B26">
        <v>11</v>
      </c>
      <c r="C26" t="s">
        <v>74</v>
      </c>
      <c r="D26" t="s">
        <v>299</v>
      </c>
      <c r="E26" t="s">
        <v>282</v>
      </c>
      <c r="F26">
        <v>37747</v>
      </c>
      <c r="G26">
        <v>324440</v>
      </c>
      <c r="H26">
        <v>287009</v>
      </c>
      <c r="I26">
        <v>191418</v>
      </c>
      <c r="J26">
        <v>771189</v>
      </c>
      <c r="K26">
        <v>241319</v>
      </c>
      <c r="L26">
        <v>368290</v>
      </c>
    </row>
    <row r="27" spans="1:12" x14ac:dyDescent="0.35">
      <c r="A27">
        <v>2024</v>
      </c>
      <c r="B27">
        <v>12</v>
      </c>
      <c r="C27" t="s">
        <v>75</v>
      </c>
      <c r="D27" t="s">
        <v>299</v>
      </c>
      <c r="E27" t="s">
        <v>280</v>
      </c>
      <c r="F27">
        <v>19179</v>
      </c>
      <c r="G27">
        <v>309505</v>
      </c>
      <c r="H27">
        <v>290752</v>
      </c>
      <c r="I27">
        <v>191418</v>
      </c>
      <c r="J27">
        <v>760916</v>
      </c>
      <c r="K27">
        <v>233266</v>
      </c>
      <c r="L27">
        <v>349866</v>
      </c>
    </row>
    <row r="28" spans="1:12" x14ac:dyDescent="0.35">
      <c r="A28">
        <v>2024</v>
      </c>
      <c r="B28">
        <v>12</v>
      </c>
      <c r="C28" t="s">
        <v>75</v>
      </c>
      <c r="D28" t="s">
        <v>299</v>
      </c>
      <c r="E28" t="s">
        <v>282</v>
      </c>
      <c r="F28">
        <v>37784</v>
      </c>
      <c r="G28">
        <v>324381</v>
      </c>
      <c r="H28">
        <v>287076</v>
      </c>
      <c r="I28">
        <v>191418</v>
      </c>
      <c r="J28">
        <v>771189</v>
      </c>
      <c r="K28">
        <v>241319</v>
      </c>
      <c r="L28">
        <v>368290</v>
      </c>
    </row>
    <row r="29" spans="1:12" x14ac:dyDescent="0.35">
      <c r="A29">
        <v>2025</v>
      </c>
      <c r="B29">
        <v>1</v>
      </c>
      <c r="C29" t="s">
        <v>42</v>
      </c>
      <c r="D29" t="s">
        <v>299</v>
      </c>
      <c r="E29" t="s">
        <v>280</v>
      </c>
      <c r="F29">
        <v>19092</v>
      </c>
      <c r="G29">
        <v>310641</v>
      </c>
      <c r="H29">
        <v>290752</v>
      </c>
      <c r="I29">
        <v>191418</v>
      </c>
      <c r="J29">
        <v>779485</v>
      </c>
      <c r="K29">
        <v>233634</v>
      </c>
      <c r="L29">
        <v>355435</v>
      </c>
    </row>
    <row r="30" spans="1:12" x14ac:dyDescent="0.35">
      <c r="A30">
        <v>2025</v>
      </c>
      <c r="B30">
        <v>1</v>
      </c>
      <c r="C30" t="s">
        <v>42</v>
      </c>
      <c r="D30" t="s">
        <v>299</v>
      </c>
      <c r="E30" t="s">
        <v>282</v>
      </c>
      <c r="F30">
        <v>37182</v>
      </c>
      <c r="G30">
        <v>324827</v>
      </c>
      <c r="H30">
        <v>289140</v>
      </c>
      <c r="I30">
        <v>191418</v>
      </c>
      <c r="J30">
        <v>786985</v>
      </c>
      <c r="K30">
        <v>241922</v>
      </c>
      <c r="L30">
        <v>368474</v>
      </c>
    </row>
    <row r="31" spans="1:12" x14ac:dyDescent="0.35">
      <c r="A31">
        <v>2025</v>
      </c>
      <c r="B31">
        <v>2</v>
      </c>
      <c r="C31" t="s">
        <v>63</v>
      </c>
      <c r="D31" t="s">
        <v>299</v>
      </c>
      <c r="E31" t="s">
        <v>280</v>
      </c>
      <c r="F31">
        <v>19573</v>
      </c>
      <c r="G31">
        <v>312175</v>
      </c>
      <c r="H31">
        <v>290752</v>
      </c>
      <c r="I31">
        <v>191418</v>
      </c>
      <c r="J31">
        <v>787145</v>
      </c>
      <c r="K31">
        <v>233449</v>
      </c>
      <c r="L31">
        <v>351957</v>
      </c>
    </row>
    <row r="32" spans="1:12" x14ac:dyDescent="0.35">
      <c r="A32">
        <v>2025</v>
      </c>
      <c r="B32">
        <v>2</v>
      </c>
      <c r="C32" t="s">
        <v>63</v>
      </c>
      <c r="D32" t="s">
        <v>299</v>
      </c>
      <c r="E32" t="s">
        <v>282</v>
      </c>
      <c r="F32">
        <v>37657</v>
      </c>
      <c r="G32">
        <v>326990</v>
      </c>
      <c r="H32">
        <v>289140</v>
      </c>
      <c r="I32">
        <v>191418</v>
      </c>
      <c r="J32">
        <v>787121</v>
      </c>
      <c r="K32">
        <v>242661</v>
      </c>
      <c r="L32">
        <v>368474</v>
      </c>
    </row>
    <row r="33" spans="1:12" x14ac:dyDescent="0.35">
      <c r="A33">
        <v>2025</v>
      </c>
      <c r="B33">
        <v>3</v>
      </c>
      <c r="C33" t="s">
        <v>66</v>
      </c>
      <c r="D33" t="s">
        <v>299</v>
      </c>
      <c r="E33" t="s">
        <v>280</v>
      </c>
      <c r="F33">
        <v>20040</v>
      </c>
      <c r="G33">
        <v>310065</v>
      </c>
      <c r="H33">
        <v>290752</v>
      </c>
      <c r="I33">
        <v>191418</v>
      </c>
      <c r="J33">
        <v>765885</v>
      </c>
      <c r="K33">
        <v>233265</v>
      </c>
      <c r="L33">
        <v>348155</v>
      </c>
    </row>
    <row r="34" spans="1:12" x14ac:dyDescent="0.35">
      <c r="A34">
        <v>2025</v>
      </c>
      <c r="B34">
        <v>3</v>
      </c>
      <c r="C34" t="s">
        <v>66</v>
      </c>
      <c r="D34" t="s">
        <v>299</v>
      </c>
      <c r="E34" t="s">
        <v>282</v>
      </c>
      <c r="F34">
        <v>38224</v>
      </c>
      <c r="G34">
        <v>325320</v>
      </c>
      <c r="H34">
        <v>289140</v>
      </c>
      <c r="I34">
        <v>191418</v>
      </c>
      <c r="J34">
        <v>779974</v>
      </c>
      <c r="K34">
        <v>241922</v>
      </c>
      <c r="L34">
        <v>364868</v>
      </c>
    </row>
    <row r="35" spans="1:12" x14ac:dyDescent="0.35">
      <c r="A35">
        <v>2025</v>
      </c>
      <c r="B35">
        <v>4</v>
      </c>
      <c r="C35" t="s">
        <v>67</v>
      </c>
      <c r="D35" t="s">
        <v>299</v>
      </c>
      <c r="E35" t="s">
        <v>280</v>
      </c>
      <c r="F35">
        <v>19571</v>
      </c>
      <c r="G35">
        <v>312188</v>
      </c>
      <c r="H35">
        <v>290752</v>
      </c>
      <c r="I35">
        <v>191418</v>
      </c>
      <c r="J35">
        <v>787145</v>
      </c>
      <c r="K35">
        <v>233449</v>
      </c>
      <c r="L35">
        <v>351957</v>
      </c>
    </row>
    <row r="36" spans="1:12" x14ac:dyDescent="0.35">
      <c r="A36">
        <v>2025</v>
      </c>
      <c r="B36">
        <v>4</v>
      </c>
      <c r="C36" t="s">
        <v>67</v>
      </c>
      <c r="D36" t="s">
        <v>299</v>
      </c>
      <c r="E36" t="s">
        <v>282</v>
      </c>
      <c r="F36">
        <v>37624</v>
      </c>
      <c r="G36">
        <v>326828</v>
      </c>
      <c r="H36">
        <v>289140</v>
      </c>
      <c r="I36">
        <v>191418</v>
      </c>
      <c r="J36">
        <v>787121</v>
      </c>
      <c r="K36">
        <v>242661</v>
      </c>
      <c r="L36">
        <v>368290</v>
      </c>
    </row>
    <row r="37" spans="1:12" x14ac:dyDescent="0.35">
      <c r="A37">
        <v>2025</v>
      </c>
      <c r="B37">
        <v>5</v>
      </c>
      <c r="C37" t="s">
        <v>68</v>
      </c>
      <c r="D37" t="s">
        <v>299</v>
      </c>
      <c r="E37" t="s">
        <v>280</v>
      </c>
      <c r="F37">
        <v>20507</v>
      </c>
      <c r="G37">
        <v>309527</v>
      </c>
      <c r="H37">
        <v>290752</v>
      </c>
      <c r="I37">
        <v>191418</v>
      </c>
      <c r="J37">
        <v>779750</v>
      </c>
      <c r="K37">
        <v>233265</v>
      </c>
      <c r="L37">
        <v>345790</v>
      </c>
    </row>
    <row r="38" spans="1:12" x14ac:dyDescent="0.35">
      <c r="A38">
        <v>2025</v>
      </c>
      <c r="B38">
        <v>5</v>
      </c>
      <c r="C38" t="s">
        <v>68</v>
      </c>
      <c r="D38" t="s">
        <v>299</v>
      </c>
      <c r="E38" t="s">
        <v>282</v>
      </c>
      <c r="F38">
        <v>38777</v>
      </c>
      <c r="G38">
        <v>325317</v>
      </c>
      <c r="H38">
        <v>289140</v>
      </c>
      <c r="I38">
        <v>191418</v>
      </c>
      <c r="J38">
        <v>779750</v>
      </c>
      <c r="K38">
        <v>242661</v>
      </c>
      <c r="L38">
        <v>363942</v>
      </c>
    </row>
    <row r="39" spans="1:12" x14ac:dyDescent="0.35">
      <c r="A39">
        <v>2025</v>
      </c>
      <c r="B39">
        <v>6</v>
      </c>
      <c r="C39" t="s">
        <v>69</v>
      </c>
      <c r="D39" t="s">
        <v>299</v>
      </c>
      <c r="E39" t="s">
        <v>280</v>
      </c>
      <c r="F39">
        <v>20644</v>
      </c>
      <c r="G39">
        <v>309668</v>
      </c>
      <c r="H39">
        <v>290752</v>
      </c>
      <c r="I39">
        <v>191418</v>
      </c>
      <c r="J39">
        <v>760916</v>
      </c>
      <c r="K39">
        <v>233031</v>
      </c>
      <c r="L39">
        <v>345790</v>
      </c>
    </row>
    <row r="40" spans="1:12" x14ac:dyDescent="0.35">
      <c r="A40">
        <v>2025</v>
      </c>
      <c r="B40">
        <v>6</v>
      </c>
      <c r="C40" t="s">
        <v>69</v>
      </c>
      <c r="D40" t="s">
        <v>299</v>
      </c>
      <c r="E40" t="s">
        <v>282</v>
      </c>
      <c r="F40">
        <v>38864</v>
      </c>
      <c r="G40">
        <v>326077</v>
      </c>
      <c r="H40">
        <v>290752</v>
      </c>
      <c r="I40">
        <v>191418</v>
      </c>
      <c r="J40">
        <v>786461</v>
      </c>
      <c r="K40">
        <v>242663</v>
      </c>
      <c r="L40">
        <v>365974</v>
      </c>
    </row>
    <row r="41" spans="1:12" x14ac:dyDescent="0.35">
      <c r="A41">
        <v>2025</v>
      </c>
      <c r="B41">
        <v>7</v>
      </c>
      <c r="C41" t="s">
        <v>70</v>
      </c>
      <c r="D41" t="s">
        <v>299</v>
      </c>
      <c r="E41" t="s">
        <v>280</v>
      </c>
      <c r="F41">
        <v>20721</v>
      </c>
      <c r="G41">
        <v>310249</v>
      </c>
      <c r="H41">
        <v>290752</v>
      </c>
      <c r="I41">
        <v>191418</v>
      </c>
      <c r="J41">
        <v>760916</v>
      </c>
      <c r="K41">
        <v>233265</v>
      </c>
      <c r="L41">
        <v>348155</v>
      </c>
    </row>
    <row r="42" spans="1:12" x14ac:dyDescent="0.35">
      <c r="A42">
        <v>2025</v>
      </c>
      <c r="B42">
        <v>7</v>
      </c>
      <c r="C42" t="s">
        <v>70</v>
      </c>
      <c r="D42" t="s">
        <v>299</v>
      </c>
      <c r="E42" t="s">
        <v>282</v>
      </c>
      <c r="F42">
        <v>38952</v>
      </c>
      <c r="G42">
        <v>326637</v>
      </c>
      <c r="H42">
        <v>290986</v>
      </c>
      <c r="I42">
        <v>191418</v>
      </c>
      <c r="J42">
        <v>771189</v>
      </c>
      <c r="K42">
        <v>243031</v>
      </c>
      <c r="L42">
        <v>365974</v>
      </c>
    </row>
    <row r="43" spans="1:12" x14ac:dyDescent="0.35">
      <c r="A43">
        <v>2025</v>
      </c>
      <c r="B43">
        <v>8</v>
      </c>
      <c r="C43" t="s">
        <v>71</v>
      </c>
      <c r="D43" t="s">
        <v>299</v>
      </c>
      <c r="E43" t="s">
        <v>280</v>
      </c>
      <c r="F43">
        <v>20829</v>
      </c>
      <c r="G43">
        <v>310390</v>
      </c>
      <c r="H43">
        <v>290752</v>
      </c>
      <c r="I43">
        <v>191418</v>
      </c>
      <c r="J43">
        <v>760916</v>
      </c>
      <c r="K43">
        <v>233265</v>
      </c>
      <c r="L43">
        <v>348155</v>
      </c>
    </row>
    <row r="44" spans="1:12" x14ac:dyDescent="0.35">
      <c r="A44">
        <v>2025</v>
      </c>
      <c r="B44">
        <v>8</v>
      </c>
      <c r="C44" t="s">
        <v>71</v>
      </c>
      <c r="D44" t="s">
        <v>299</v>
      </c>
      <c r="E44" t="s">
        <v>282</v>
      </c>
      <c r="F44">
        <v>39016</v>
      </c>
      <c r="G44">
        <v>326782</v>
      </c>
      <c r="H44">
        <v>291640</v>
      </c>
      <c r="I44">
        <v>191418</v>
      </c>
      <c r="J44">
        <v>772496</v>
      </c>
      <c r="K44">
        <v>243031</v>
      </c>
      <c r="L44">
        <v>365322</v>
      </c>
    </row>
    <row r="45" spans="1:12" x14ac:dyDescent="0.35">
      <c r="A45">
        <v>2025</v>
      </c>
      <c r="B45">
        <v>9</v>
      </c>
      <c r="C45" t="s">
        <v>72</v>
      </c>
      <c r="D45" t="s">
        <v>299</v>
      </c>
      <c r="E45" t="s">
        <v>280</v>
      </c>
      <c r="F45">
        <v>20917</v>
      </c>
      <c r="G45">
        <v>310199</v>
      </c>
      <c r="H45">
        <v>290752</v>
      </c>
      <c r="I45">
        <v>191418</v>
      </c>
      <c r="J45">
        <v>760916</v>
      </c>
      <c r="K45">
        <v>233265</v>
      </c>
      <c r="L45">
        <v>345790</v>
      </c>
    </row>
    <row r="46" spans="1:12" x14ac:dyDescent="0.35">
      <c r="A46">
        <v>2025</v>
      </c>
      <c r="B46">
        <v>9</v>
      </c>
      <c r="C46" t="s">
        <v>72</v>
      </c>
      <c r="D46" t="s">
        <v>299</v>
      </c>
      <c r="E46" t="s">
        <v>282</v>
      </c>
      <c r="F46">
        <v>39093</v>
      </c>
      <c r="G46">
        <v>326471</v>
      </c>
      <c r="H46">
        <v>290986</v>
      </c>
      <c r="I46">
        <v>191418</v>
      </c>
      <c r="J46">
        <v>771189</v>
      </c>
      <c r="K46">
        <v>243031</v>
      </c>
      <c r="L46">
        <v>363942</v>
      </c>
    </row>
    <row r="47" spans="1:12" x14ac:dyDescent="0.35">
      <c r="A47">
        <v>2025</v>
      </c>
      <c r="B47">
        <v>10</v>
      </c>
      <c r="C47" t="s">
        <v>73</v>
      </c>
      <c r="D47" t="s">
        <v>299</v>
      </c>
      <c r="E47" t="s">
        <v>280</v>
      </c>
      <c r="F47">
        <v>20958</v>
      </c>
      <c r="G47">
        <v>310057</v>
      </c>
      <c r="H47">
        <v>290752</v>
      </c>
      <c r="I47">
        <v>191418</v>
      </c>
      <c r="J47">
        <v>760916</v>
      </c>
      <c r="K47">
        <v>233216</v>
      </c>
      <c r="L47">
        <v>345790</v>
      </c>
    </row>
    <row r="48" spans="1:12" x14ac:dyDescent="0.35">
      <c r="A48">
        <v>2025</v>
      </c>
      <c r="B48">
        <v>10</v>
      </c>
      <c r="C48" t="s">
        <v>73</v>
      </c>
      <c r="D48" t="s">
        <v>299</v>
      </c>
      <c r="E48" t="s">
        <v>282</v>
      </c>
      <c r="F48">
        <v>39118</v>
      </c>
      <c r="G48">
        <v>326546</v>
      </c>
      <c r="H48">
        <v>290986</v>
      </c>
      <c r="I48">
        <v>191418</v>
      </c>
      <c r="J48">
        <v>771189</v>
      </c>
      <c r="K48">
        <v>243031</v>
      </c>
      <c r="L48">
        <v>363843</v>
      </c>
    </row>
    <row r="49" spans="1:12" x14ac:dyDescent="0.35">
      <c r="A49">
        <v>2025</v>
      </c>
      <c r="B49">
        <v>11</v>
      </c>
      <c r="C49" t="s">
        <v>74</v>
      </c>
      <c r="D49" t="s">
        <v>299</v>
      </c>
      <c r="E49" t="s">
        <v>280</v>
      </c>
      <c r="F49">
        <v>21006</v>
      </c>
      <c r="G49">
        <v>310262</v>
      </c>
      <c r="H49">
        <v>290752</v>
      </c>
      <c r="I49">
        <v>191418</v>
      </c>
      <c r="J49">
        <v>760916</v>
      </c>
      <c r="K49">
        <v>233265</v>
      </c>
      <c r="L49">
        <v>345790</v>
      </c>
    </row>
    <row r="50" spans="1:12" x14ac:dyDescent="0.35">
      <c r="A50">
        <v>2025</v>
      </c>
      <c r="B50">
        <v>11</v>
      </c>
      <c r="C50" t="s">
        <v>74</v>
      </c>
      <c r="D50" t="s">
        <v>299</v>
      </c>
      <c r="E50" t="s">
        <v>282</v>
      </c>
      <c r="F50">
        <v>39175</v>
      </c>
      <c r="G50">
        <v>326774</v>
      </c>
      <c r="H50">
        <v>291640</v>
      </c>
      <c r="I50">
        <v>191418</v>
      </c>
      <c r="J50">
        <v>771189</v>
      </c>
      <c r="K50">
        <v>243031</v>
      </c>
      <c r="L50">
        <v>364866</v>
      </c>
    </row>
    <row r="51" spans="1:12" x14ac:dyDescent="0.35">
      <c r="A51">
        <v>2025</v>
      </c>
      <c r="B51">
        <v>12</v>
      </c>
      <c r="C51" t="s">
        <v>75</v>
      </c>
      <c r="D51" t="s">
        <v>299</v>
      </c>
      <c r="E51" t="s">
        <v>280</v>
      </c>
      <c r="F51">
        <v>21022</v>
      </c>
      <c r="G51">
        <v>310587</v>
      </c>
      <c r="H51">
        <v>290752</v>
      </c>
      <c r="I51">
        <v>191418</v>
      </c>
      <c r="J51">
        <v>760916</v>
      </c>
      <c r="K51">
        <v>233400</v>
      </c>
      <c r="L51">
        <v>347836</v>
      </c>
    </row>
    <row r="52" spans="1:12" x14ac:dyDescent="0.35">
      <c r="A52">
        <v>2025</v>
      </c>
      <c r="B52">
        <v>12</v>
      </c>
      <c r="C52" t="s">
        <v>75</v>
      </c>
      <c r="D52" t="s">
        <v>299</v>
      </c>
      <c r="E52" t="s">
        <v>282</v>
      </c>
      <c r="F52">
        <v>39139</v>
      </c>
      <c r="G52">
        <v>327170</v>
      </c>
      <c r="H52">
        <v>292144</v>
      </c>
      <c r="I52">
        <v>191418</v>
      </c>
      <c r="J52">
        <v>771189</v>
      </c>
      <c r="K52">
        <v>243265</v>
      </c>
      <c r="L52">
        <v>365052</v>
      </c>
    </row>
  </sheetData>
  <mergeCells count="1">
    <mergeCell ref="A1:L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301</v>
      </c>
      <c r="E5" t="s">
        <v>280</v>
      </c>
      <c r="F5">
        <v>70</v>
      </c>
      <c r="G5">
        <v>696771</v>
      </c>
      <c r="H5">
        <v>685602</v>
      </c>
      <c r="I5">
        <v>477947</v>
      </c>
      <c r="J5">
        <v>1016240</v>
      </c>
      <c r="K5">
        <v>541040</v>
      </c>
      <c r="L5">
        <v>789476</v>
      </c>
    </row>
    <row r="6" spans="1:12" x14ac:dyDescent="0.35">
      <c r="A6">
        <v>2024</v>
      </c>
      <c r="B6">
        <v>1</v>
      </c>
      <c r="C6" t="s">
        <v>42</v>
      </c>
      <c r="D6" t="s">
        <v>301</v>
      </c>
      <c r="E6" t="s">
        <v>282</v>
      </c>
      <c r="F6">
        <v>152</v>
      </c>
      <c r="G6">
        <v>790295</v>
      </c>
      <c r="H6">
        <v>789477</v>
      </c>
      <c r="I6">
        <v>477947</v>
      </c>
      <c r="J6">
        <v>1036706</v>
      </c>
      <c r="K6">
        <v>743836</v>
      </c>
      <c r="L6">
        <v>827616</v>
      </c>
    </row>
    <row r="7" spans="1:12" x14ac:dyDescent="0.35">
      <c r="A7">
        <v>2024</v>
      </c>
      <c r="B7">
        <v>2</v>
      </c>
      <c r="C7" t="s">
        <v>63</v>
      </c>
      <c r="D7" t="s">
        <v>301</v>
      </c>
      <c r="E7" t="s">
        <v>280</v>
      </c>
      <c r="F7">
        <v>71</v>
      </c>
      <c r="G7">
        <v>700201</v>
      </c>
      <c r="H7">
        <v>644645</v>
      </c>
      <c r="I7">
        <v>477947</v>
      </c>
      <c r="J7">
        <v>1016240</v>
      </c>
      <c r="K7">
        <v>602789</v>
      </c>
      <c r="L7">
        <v>789476</v>
      </c>
    </row>
    <row r="8" spans="1:12" x14ac:dyDescent="0.35">
      <c r="A8">
        <v>2024</v>
      </c>
      <c r="B8">
        <v>2</v>
      </c>
      <c r="C8" t="s">
        <v>63</v>
      </c>
      <c r="D8" t="s">
        <v>301</v>
      </c>
      <c r="E8" t="s">
        <v>282</v>
      </c>
      <c r="F8">
        <v>149</v>
      </c>
      <c r="G8">
        <v>794391</v>
      </c>
      <c r="H8">
        <v>789477</v>
      </c>
      <c r="I8">
        <v>477947</v>
      </c>
      <c r="J8">
        <v>1036706</v>
      </c>
      <c r="K8">
        <v>743836</v>
      </c>
      <c r="L8">
        <v>835117</v>
      </c>
    </row>
    <row r="9" spans="1:12" x14ac:dyDescent="0.35">
      <c r="A9">
        <v>2024</v>
      </c>
      <c r="B9">
        <v>3</v>
      </c>
      <c r="C9" t="s">
        <v>66</v>
      </c>
      <c r="D9" t="s">
        <v>301</v>
      </c>
      <c r="E9" t="s">
        <v>280</v>
      </c>
      <c r="F9">
        <v>72</v>
      </c>
      <c r="G9">
        <v>687989</v>
      </c>
      <c r="H9">
        <v>653571</v>
      </c>
      <c r="I9">
        <v>477947</v>
      </c>
      <c r="J9">
        <v>1016240</v>
      </c>
      <c r="K9">
        <v>541040</v>
      </c>
      <c r="L9">
        <v>781977</v>
      </c>
    </row>
    <row r="10" spans="1:12" x14ac:dyDescent="0.35">
      <c r="A10">
        <v>2024</v>
      </c>
      <c r="B10">
        <v>3</v>
      </c>
      <c r="C10" t="s">
        <v>66</v>
      </c>
      <c r="D10" t="s">
        <v>301</v>
      </c>
      <c r="E10" t="s">
        <v>282</v>
      </c>
      <c r="F10">
        <v>154</v>
      </c>
      <c r="G10">
        <v>787049</v>
      </c>
      <c r="H10">
        <v>789476</v>
      </c>
      <c r="I10">
        <v>477947</v>
      </c>
      <c r="J10">
        <v>1036706</v>
      </c>
      <c r="K10">
        <v>736336</v>
      </c>
      <c r="L10">
        <v>835117</v>
      </c>
    </row>
    <row r="11" spans="1:12" x14ac:dyDescent="0.35">
      <c r="A11">
        <v>2024</v>
      </c>
      <c r="B11">
        <v>4</v>
      </c>
      <c r="C11" t="s">
        <v>67</v>
      </c>
      <c r="D11" t="s">
        <v>301</v>
      </c>
      <c r="E11" t="s">
        <v>280</v>
      </c>
      <c r="F11">
        <v>74</v>
      </c>
      <c r="G11">
        <v>685702</v>
      </c>
      <c r="H11">
        <v>653571</v>
      </c>
      <c r="I11">
        <v>477947</v>
      </c>
      <c r="J11">
        <v>1016240</v>
      </c>
      <c r="K11">
        <v>541040</v>
      </c>
      <c r="L11">
        <v>781977</v>
      </c>
    </row>
    <row r="12" spans="1:12" x14ac:dyDescent="0.35">
      <c r="A12">
        <v>2024</v>
      </c>
      <c r="B12">
        <v>4</v>
      </c>
      <c r="C12" t="s">
        <v>67</v>
      </c>
      <c r="D12" t="s">
        <v>301</v>
      </c>
      <c r="E12" t="s">
        <v>282</v>
      </c>
      <c r="F12">
        <v>159</v>
      </c>
      <c r="G12">
        <v>787711</v>
      </c>
      <c r="H12">
        <v>789476</v>
      </c>
      <c r="I12">
        <v>477947</v>
      </c>
      <c r="J12">
        <v>1036706</v>
      </c>
      <c r="K12">
        <v>743836</v>
      </c>
      <c r="L12">
        <v>835117</v>
      </c>
    </row>
    <row r="13" spans="1:12" x14ac:dyDescent="0.35">
      <c r="A13">
        <v>2024</v>
      </c>
      <c r="B13">
        <v>5</v>
      </c>
      <c r="C13" t="s">
        <v>68</v>
      </c>
      <c r="D13" t="s">
        <v>301</v>
      </c>
      <c r="E13" t="s">
        <v>280</v>
      </c>
      <c r="F13">
        <v>70</v>
      </c>
      <c r="G13">
        <v>678088</v>
      </c>
      <c r="H13">
        <v>610289</v>
      </c>
      <c r="I13">
        <v>477947</v>
      </c>
      <c r="J13">
        <v>1016240</v>
      </c>
      <c r="K13">
        <v>541038</v>
      </c>
      <c r="L13">
        <v>781977</v>
      </c>
    </row>
    <row r="14" spans="1:12" x14ac:dyDescent="0.35">
      <c r="A14">
        <v>2024</v>
      </c>
      <c r="B14">
        <v>5</v>
      </c>
      <c r="C14" t="s">
        <v>68</v>
      </c>
      <c r="D14" t="s">
        <v>301</v>
      </c>
      <c r="E14" t="s">
        <v>282</v>
      </c>
      <c r="F14">
        <v>151</v>
      </c>
      <c r="G14">
        <v>781634</v>
      </c>
      <c r="H14">
        <v>789476</v>
      </c>
      <c r="I14">
        <v>477947</v>
      </c>
      <c r="J14">
        <v>1036706</v>
      </c>
      <c r="K14">
        <v>728836</v>
      </c>
      <c r="L14">
        <v>835117</v>
      </c>
    </row>
    <row r="15" spans="1:12" x14ac:dyDescent="0.35">
      <c r="A15">
        <v>2024</v>
      </c>
      <c r="B15">
        <v>6</v>
      </c>
      <c r="C15" t="s">
        <v>69</v>
      </c>
      <c r="D15" t="s">
        <v>301</v>
      </c>
      <c r="E15" t="s">
        <v>280</v>
      </c>
      <c r="F15">
        <v>72</v>
      </c>
      <c r="G15">
        <v>679553</v>
      </c>
      <c r="H15">
        <v>685603</v>
      </c>
      <c r="I15">
        <v>477947</v>
      </c>
      <c r="J15">
        <v>1016240</v>
      </c>
      <c r="K15">
        <v>541038</v>
      </c>
      <c r="L15">
        <v>781977</v>
      </c>
    </row>
    <row r="16" spans="1:12" x14ac:dyDescent="0.35">
      <c r="A16">
        <v>2024</v>
      </c>
      <c r="B16">
        <v>6</v>
      </c>
      <c r="C16" t="s">
        <v>69</v>
      </c>
      <c r="D16" t="s">
        <v>301</v>
      </c>
      <c r="E16" t="s">
        <v>282</v>
      </c>
      <c r="F16">
        <v>155</v>
      </c>
      <c r="G16">
        <v>783773</v>
      </c>
      <c r="H16">
        <v>789477</v>
      </c>
      <c r="I16">
        <v>477947</v>
      </c>
      <c r="J16">
        <v>1036706</v>
      </c>
      <c r="K16">
        <v>736336</v>
      </c>
      <c r="L16">
        <v>835117</v>
      </c>
    </row>
    <row r="17" spans="1:12" x14ac:dyDescent="0.35">
      <c r="A17">
        <v>2024</v>
      </c>
      <c r="B17">
        <v>7</v>
      </c>
      <c r="C17" t="s">
        <v>70</v>
      </c>
      <c r="D17" t="s">
        <v>301</v>
      </c>
      <c r="E17" t="s">
        <v>280</v>
      </c>
      <c r="F17">
        <v>71</v>
      </c>
      <c r="G17">
        <v>675227</v>
      </c>
      <c r="H17">
        <v>681853</v>
      </c>
      <c r="I17">
        <v>477947</v>
      </c>
      <c r="J17">
        <v>1016240</v>
      </c>
      <c r="K17">
        <v>541038</v>
      </c>
      <c r="L17">
        <v>781977</v>
      </c>
    </row>
    <row r="18" spans="1:12" x14ac:dyDescent="0.35">
      <c r="A18">
        <v>2024</v>
      </c>
      <c r="B18">
        <v>7</v>
      </c>
      <c r="C18" t="s">
        <v>70</v>
      </c>
      <c r="D18" t="s">
        <v>301</v>
      </c>
      <c r="E18" t="s">
        <v>282</v>
      </c>
      <c r="F18">
        <v>154</v>
      </c>
      <c r="G18">
        <v>782215</v>
      </c>
      <c r="H18">
        <v>789477</v>
      </c>
      <c r="I18">
        <v>477947</v>
      </c>
      <c r="J18">
        <v>1036706</v>
      </c>
      <c r="K18">
        <v>728836</v>
      </c>
      <c r="L18">
        <v>835117</v>
      </c>
    </row>
    <row r="19" spans="1:12" x14ac:dyDescent="0.35">
      <c r="A19">
        <v>2024</v>
      </c>
      <c r="B19">
        <v>8</v>
      </c>
      <c r="C19" t="s">
        <v>71</v>
      </c>
      <c r="D19" t="s">
        <v>301</v>
      </c>
      <c r="E19" t="s">
        <v>280</v>
      </c>
      <c r="F19">
        <v>70</v>
      </c>
      <c r="G19">
        <v>682037</v>
      </c>
      <c r="H19">
        <v>689353</v>
      </c>
      <c r="I19">
        <v>477947</v>
      </c>
      <c r="J19">
        <v>1016240</v>
      </c>
      <c r="K19">
        <v>541038</v>
      </c>
      <c r="L19">
        <v>781977</v>
      </c>
    </row>
    <row r="20" spans="1:12" x14ac:dyDescent="0.35">
      <c r="A20">
        <v>2024</v>
      </c>
      <c r="B20">
        <v>8</v>
      </c>
      <c r="C20" t="s">
        <v>71</v>
      </c>
      <c r="D20" t="s">
        <v>301</v>
      </c>
      <c r="E20" t="s">
        <v>282</v>
      </c>
      <c r="F20">
        <v>152</v>
      </c>
      <c r="G20">
        <v>790169</v>
      </c>
      <c r="H20">
        <v>789477</v>
      </c>
      <c r="I20">
        <v>477947</v>
      </c>
      <c r="J20">
        <v>1066240</v>
      </c>
      <c r="K20">
        <v>743836</v>
      </c>
      <c r="L20">
        <v>850117</v>
      </c>
    </row>
    <row r="21" spans="1:12" x14ac:dyDescent="0.35">
      <c r="A21">
        <v>2024</v>
      </c>
      <c r="B21">
        <v>9</v>
      </c>
      <c r="C21" t="s">
        <v>72</v>
      </c>
      <c r="D21" t="s">
        <v>301</v>
      </c>
      <c r="E21" t="s">
        <v>280</v>
      </c>
      <c r="F21">
        <v>64</v>
      </c>
      <c r="G21">
        <v>686769</v>
      </c>
      <c r="H21">
        <v>684414</v>
      </c>
      <c r="I21">
        <v>477947</v>
      </c>
      <c r="J21">
        <v>1016240</v>
      </c>
      <c r="K21">
        <v>541038</v>
      </c>
      <c r="L21">
        <v>781977</v>
      </c>
    </row>
    <row r="22" spans="1:12" x14ac:dyDescent="0.35">
      <c r="A22">
        <v>2024</v>
      </c>
      <c r="B22">
        <v>9</v>
      </c>
      <c r="C22" t="s">
        <v>72</v>
      </c>
      <c r="D22" t="s">
        <v>301</v>
      </c>
      <c r="E22" t="s">
        <v>282</v>
      </c>
      <c r="F22">
        <v>145</v>
      </c>
      <c r="G22">
        <v>782390</v>
      </c>
      <c r="H22">
        <v>789476</v>
      </c>
      <c r="I22">
        <v>477947</v>
      </c>
      <c r="J22">
        <v>1078748</v>
      </c>
      <c r="K22">
        <v>728836</v>
      </c>
      <c r="L22">
        <v>835117</v>
      </c>
    </row>
    <row r="23" spans="1:12" x14ac:dyDescent="0.35">
      <c r="A23">
        <v>2024</v>
      </c>
      <c r="B23">
        <v>10</v>
      </c>
      <c r="C23" t="s">
        <v>73</v>
      </c>
      <c r="D23" t="s">
        <v>301</v>
      </c>
      <c r="E23" t="s">
        <v>280</v>
      </c>
      <c r="F23">
        <v>61</v>
      </c>
      <c r="G23">
        <v>695463</v>
      </c>
      <c r="H23">
        <v>728836</v>
      </c>
      <c r="I23">
        <v>477947</v>
      </c>
      <c r="J23">
        <v>1016240</v>
      </c>
      <c r="K23">
        <v>541038</v>
      </c>
      <c r="L23">
        <v>827617</v>
      </c>
    </row>
    <row r="24" spans="1:12" x14ac:dyDescent="0.35">
      <c r="A24">
        <v>2024</v>
      </c>
      <c r="B24">
        <v>10</v>
      </c>
      <c r="C24" t="s">
        <v>73</v>
      </c>
      <c r="D24" t="s">
        <v>301</v>
      </c>
      <c r="E24" t="s">
        <v>282</v>
      </c>
      <c r="F24">
        <v>145</v>
      </c>
      <c r="G24">
        <v>806568</v>
      </c>
      <c r="H24">
        <v>827617</v>
      </c>
      <c r="I24">
        <v>477947</v>
      </c>
      <c r="J24">
        <v>1066240</v>
      </c>
      <c r="K24">
        <v>774476</v>
      </c>
      <c r="L24">
        <v>865117</v>
      </c>
    </row>
    <row r="25" spans="1:12" x14ac:dyDescent="0.35">
      <c r="A25">
        <v>2024</v>
      </c>
      <c r="B25">
        <v>11</v>
      </c>
      <c r="C25" t="s">
        <v>74</v>
      </c>
      <c r="D25" t="s">
        <v>301</v>
      </c>
      <c r="E25" t="s">
        <v>280</v>
      </c>
      <c r="F25">
        <v>61</v>
      </c>
      <c r="G25">
        <v>688243</v>
      </c>
      <c r="H25">
        <v>696853</v>
      </c>
      <c r="I25">
        <v>477946</v>
      </c>
      <c r="J25">
        <v>1016240</v>
      </c>
      <c r="K25">
        <v>541038</v>
      </c>
      <c r="L25">
        <v>827617</v>
      </c>
    </row>
    <row r="26" spans="1:12" x14ac:dyDescent="0.35">
      <c r="A26">
        <v>2024</v>
      </c>
      <c r="B26">
        <v>11</v>
      </c>
      <c r="C26" t="s">
        <v>74</v>
      </c>
      <c r="D26" t="s">
        <v>301</v>
      </c>
      <c r="E26" t="s">
        <v>282</v>
      </c>
      <c r="F26">
        <v>143</v>
      </c>
      <c r="G26">
        <v>798769</v>
      </c>
      <c r="H26">
        <v>827617</v>
      </c>
      <c r="I26">
        <v>477947</v>
      </c>
      <c r="J26">
        <v>1066240</v>
      </c>
      <c r="K26">
        <v>743836</v>
      </c>
      <c r="L26">
        <v>865117</v>
      </c>
    </row>
    <row r="27" spans="1:12" x14ac:dyDescent="0.35">
      <c r="A27">
        <v>2024</v>
      </c>
      <c r="B27">
        <v>12</v>
      </c>
      <c r="C27" t="s">
        <v>75</v>
      </c>
      <c r="D27" t="s">
        <v>301</v>
      </c>
      <c r="E27" t="s">
        <v>280</v>
      </c>
      <c r="F27">
        <v>61</v>
      </c>
      <c r="G27">
        <v>688243</v>
      </c>
      <c r="H27">
        <v>696853</v>
      </c>
      <c r="I27">
        <v>477946</v>
      </c>
      <c r="J27">
        <v>1016240</v>
      </c>
      <c r="K27">
        <v>541038</v>
      </c>
      <c r="L27">
        <v>827617</v>
      </c>
    </row>
    <row r="28" spans="1:12" x14ac:dyDescent="0.35">
      <c r="A28">
        <v>2024</v>
      </c>
      <c r="B28">
        <v>12</v>
      </c>
      <c r="C28" t="s">
        <v>75</v>
      </c>
      <c r="D28" t="s">
        <v>301</v>
      </c>
      <c r="E28" t="s">
        <v>282</v>
      </c>
      <c r="F28">
        <v>145</v>
      </c>
      <c r="G28">
        <v>801493</v>
      </c>
      <c r="H28">
        <v>827617</v>
      </c>
      <c r="I28">
        <v>477947</v>
      </c>
      <c r="J28">
        <v>1066240</v>
      </c>
      <c r="K28">
        <v>743836</v>
      </c>
      <c r="L28">
        <v>867101</v>
      </c>
    </row>
    <row r="29" spans="1:12" x14ac:dyDescent="0.35">
      <c r="A29">
        <v>2025</v>
      </c>
      <c r="B29">
        <v>1</v>
      </c>
      <c r="C29" t="s">
        <v>42</v>
      </c>
      <c r="D29" t="s">
        <v>301</v>
      </c>
      <c r="E29" t="s">
        <v>280</v>
      </c>
      <c r="F29">
        <v>47</v>
      </c>
      <c r="G29">
        <v>747107</v>
      </c>
      <c r="H29">
        <v>643538</v>
      </c>
      <c r="I29">
        <v>557947</v>
      </c>
      <c r="J29">
        <v>1099723</v>
      </c>
      <c r="K29">
        <v>621038</v>
      </c>
      <c r="L29">
        <v>930117</v>
      </c>
    </row>
    <row r="30" spans="1:12" x14ac:dyDescent="0.35">
      <c r="A30">
        <v>2025</v>
      </c>
      <c r="B30">
        <v>1</v>
      </c>
      <c r="C30" t="s">
        <v>42</v>
      </c>
      <c r="D30" t="s">
        <v>301</v>
      </c>
      <c r="E30" t="s">
        <v>282</v>
      </c>
      <c r="F30">
        <v>86</v>
      </c>
      <c r="G30">
        <v>843078</v>
      </c>
      <c r="H30">
        <v>933867</v>
      </c>
      <c r="I30">
        <v>500446</v>
      </c>
      <c r="J30">
        <v>1099723</v>
      </c>
      <c r="K30">
        <v>766853</v>
      </c>
      <c r="L30">
        <v>952617</v>
      </c>
    </row>
    <row r="31" spans="1:12" x14ac:dyDescent="0.35">
      <c r="A31">
        <v>2025</v>
      </c>
      <c r="B31">
        <v>2</v>
      </c>
      <c r="C31" t="s">
        <v>63</v>
      </c>
      <c r="D31" t="s">
        <v>301</v>
      </c>
      <c r="E31" t="s">
        <v>280</v>
      </c>
      <c r="F31">
        <v>46</v>
      </c>
      <c r="G31">
        <v>718209</v>
      </c>
      <c r="H31">
        <v>628540</v>
      </c>
      <c r="I31">
        <v>557946</v>
      </c>
      <c r="J31">
        <v>1099723</v>
      </c>
      <c r="K31">
        <v>565446</v>
      </c>
      <c r="L31">
        <v>828836</v>
      </c>
    </row>
    <row r="32" spans="1:12" x14ac:dyDescent="0.35">
      <c r="A32">
        <v>2025</v>
      </c>
      <c r="B32">
        <v>2</v>
      </c>
      <c r="C32" t="s">
        <v>63</v>
      </c>
      <c r="D32" t="s">
        <v>301</v>
      </c>
      <c r="E32" t="s">
        <v>282</v>
      </c>
      <c r="F32">
        <v>81</v>
      </c>
      <c r="G32">
        <v>847663</v>
      </c>
      <c r="H32">
        <v>937617</v>
      </c>
      <c r="I32">
        <v>557947</v>
      </c>
      <c r="J32">
        <v>1099723</v>
      </c>
      <c r="K32">
        <v>766853</v>
      </c>
      <c r="L32">
        <v>952617</v>
      </c>
    </row>
    <row r="33" spans="1:12" x14ac:dyDescent="0.35">
      <c r="A33">
        <v>2025</v>
      </c>
      <c r="B33">
        <v>3</v>
      </c>
      <c r="C33" t="s">
        <v>66</v>
      </c>
      <c r="D33" t="s">
        <v>301</v>
      </c>
      <c r="E33" t="s">
        <v>280</v>
      </c>
      <c r="F33">
        <v>39</v>
      </c>
      <c r="G33">
        <v>685840</v>
      </c>
      <c r="H33">
        <v>621038</v>
      </c>
      <c r="I33">
        <v>557946</v>
      </c>
      <c r="J33">
        <v>1099723</v>
      </c>
      <c r="K33">
        <v>621038</v>
      </c>
      <c r="L33">
        <v>774476</v>
      </c>
    </row>
    <row r="34" spans="1:12" x14ac:dyDescent="0.35">
      <c r="A34">
        <v>2025</v>
      </c>
      <c r="B34">
        <v>3</v>
      </c>
      <c r="C34" t="s">
        <v>66</v>
      </c>
      <c r="D34" t="s">
        <v>301</v>
      </c>
      <c r="E34" t="s">
        <v>282</v>
      </c>
      <c r="F34">
        <v>48</v>
      </c>
      <c r="G34">
        <v>759672</v>
      </c>
      <c r="H34">
        <v>766853</v>
      </c>
      <c r="I34">
        <v>557947</v>
      </c>
      <c r="J34">
        <v>1099723</v>
      </c>
      <c r="K34">
        <v>621038</v>
      </c>
      <c r="L34">
        <v>917617</v>
      </c>
    </row>
    <row r="35" spans="1:12" x14ac:dyDescent="0.35">
      <c r="A35">
        <v>2025</v>
      </c>
      <c r="B35">
        <v>4</v>
      </c>
      <c r="C35" t="s">
        <v>67</v>
      </c>
      <c r="D35" t="s">
        <v>301</v>
      </c>
      <c r="E35" t="s">
        <v>280</v>
      </c>
      <c r="F35">
        <v>40</v>
      </c>
      <c r="G35">
        <v>742248</v>
      </c>
      <c r="H35">
        <v>639788</v>
      </c>
      <c r="I35">
        <v>557946</v>
      </c>
      <c r="J35">
        <v>1099723</v>
      </c>
      <c r="K35">
        <v>621038</v>
      </c>
      <c r="L35">
        <v>930117</v>
      </c>
    </row>
    <row r="36" spans="1:12" x14ac:dyDescent="0.35">
      <c r="A36">
        <v>2025</v>
      </c>
      <c r="B36">
        <v>4</v>
      </c>
      <c r="C36" t="s">
        <v>67</v>
      </c>
      <c r="D36" t="s">
        <v>301</v>
      </c>
      <c r="E36" t="s">
        <v>282</v>
      </c>
      <c r="F36">
        <v>76</v>
      </c>
      <c r="G36">
        <v>866131</v>
      </c>
      <c r="H36">
        <v>937617</v>
      </c>
      <c r="I36">
        <v>557947</v>
      </c>
      <c r="J36">
        <v>1099723</v>
      </c>
      <c r="K36">
        <v>811584</v>
      </c>
      <c r="L36">
        <v>952617</v>
      </c>
    </row>
    <row r="37" spans="1:12" x14ac:dyDescent="0.35">
      <c r="A37">
        <v>2025</v>
      </c>
      <c r="B37">
        <v>5</v>
      </c>
      <c r="C37" t="s">
        <v>68</v>
      </c>
      <c r="D37" t="s">
        <v>301</v>
      </c>
      <c r="E37" t="s">
        <v>280</v>
      </c>
      <c r="F37">
        <v>28</v>
      </c>
      <c r="G37">
        <v>730969</v>
      </c>
      <c r="H37">
        <v>632289</v>
      </c>
      <c r="I37">
        <v>557946</v>
      </c>
      <c r="J37">
        <v>1099725</v>
      </c>
      <c r="K37">
        <v>572947</v>
      </c>
      <c r="L37">
        <v>930117</v>
      </c>
    </row>
    <row r="38" spans="1:12" x14ac:dyDescent="0.35">
      <c r="A38">
        <v>2025</v>
      </c>
      <c r="B38">
        <v>5</v>
      </c>
      <c r="C38" t="s">
        <v>68</v>
      </c>
      <c r="D38" t="s">
        <v>301</v>
      </c>
      <c r="E38" t="s">
        <v>282</v>
      </c>
      <c r="F38">
        <v>66</v>
      </c>
      <c r="G38">
        <v>849231</v>
      </c>
      <c r="H38">
        <v>937617</v>
      </c>
      <c r="I38">
        <v>557947</v>
      </c>
      <c r="J38">
        <v>1099723</v>
      </c>
      <c r="K38">
        <v>636038</v>
      </c>
      <c r="L38">
        <v>952617</v>
      </c>
    </row>
    <row r="39" spans="1:12" x14ac:dyDescent="0.35">
      <c r="A39">
        <v>2025</v>
      </c>
      <c r="B39">
        <v>6</v>
      </c>
      <c r="C39" t="s">
        <v>69</v>
      </c>
      <c r="D39" t="s">
        <v>301</v>
      </c>
      <c r="E39" t="s">
        <v>280</v>
      </c>
      <c r="F39">
        <v>35</v>
      </c>
      <c r="G39">
        <v>702782</v>
      </c>
      <c r="H39">
        <v>628538</v>
      </c>
      <c r="I39">
        <v>557946</v>
      </c>
      <c r="J39">
        <v>945117</v>
      </c>
      <c r="K39">
        <v>621038</v>
      </c>
      <c r="L39">
        <v>813836</v>
      </c>
    </row>
    <row r="40" spans="1:12" x14ac:dyDescent="0.35">
      <c r="A40">
        <v>2025</v>
      </c>
      <c r="B40">
        <v>6</v>
      </c>
      <c r="C40" t="s">
        <v>69</v>
      </c>
      <c r="D40" t="s">
        <v>301</v>
      </c>
      <c r="E40" t="s">
        <v>282</v>
      </c>
      <c r="F40">
        <v>60</v>
      </c>
      <c r="G40">
        <v>820378</v>
      </c>
      <c r="H40">
        <v>930117</v>
      </c>
      <c r="I40">
        <v>557947</v>
      </c>
      <c r="J40">
        <v>1099723</v>
      </c>
      <c r="K40">
        <v>636038</v>
      </c>
      <c r="L40">
        <v>945117</v>
      </c>
    </row>
    <row r="41" spans="1:12" x14ac:dyDescent="0.35">
      <c r="A41">
        <v>2025</v>
      </c>
      <c r="B41">
        <v>7</v>
      </c>
      <c r="C41" t="s">
        <v>70</v>
      </c>
      <c r="D41" t="s">
        <v>301</v>
      </c>
      <c r="E41" t="s">
        <v>280</v>
      </c>
      <c r="F41">
        <v>45</v>
      </c>
      <c r="G41">
        <v>723898</v>
      </c>
      <c r="H41">
        <v>628540</v>
      </c>
      <c r="I41">
        <v>557946</v>
      </c>
      <c r="J41">
        <v>1099725</v>
      </c>
      <c r="K41">
        <v>621038</v>
      </c>
      <c r="L41">
        <v>821336</v>
      </c>
    </row>
    <row r="42" spans="1:12" x14ac:dyDescent="0.35">
      <c r="A42">
        <v>2025</v>
      </c>
      <c r="B42">
        <v>7</v>
      </c>
      <c r="C42" t="s">
        <v>70</v>
      </c>
      <c r="D42" t="s">
        <v>301</v>
      </c>
      <c r="E42" t="s">
        <v>282</v>
      </c>
      <c r="F42">
        <v>71</v>
      </c>
      <c r="G42">
        <v>830571</v>
      </c>
      <c r="H42">
        <v>930117</v>
      </c>
      <c r="I42">
        <v>557947</v>
      </c>
      <c r="J42">
        <v>1099723</v>
      </c>
      <c r="K42">
        <v>636038</v>
      </c>
      <c r="L42">
        <v>952617</v>
      </c>
    </row>
    <row r="43" spans="1:12" x14ac:dyDescent="0.35">
      <c r="A43">
        <v>2025</v>
      </c>
      <c r="B43">
        <v>8</v>
      </c>
      <c r="C43" t="s">
        <v>71</v>
      </c>
      <c r="D43" t="s">
        <v>301</v>
      </c>
      <c r="E43" t="s">
        <v>280</v>
      </c>
      <c r="F43">
        <v>47</v>
      </c>
      <c r="G43">
        <v>726416</v>
      </c>
      <c r="H43">
        <v>628540</v>
      </c>
      <c r="I43">
        <v>557946</v>
      </c>
      <c r="J43">
        <v>1099725</v>
      </c>
      <c r="K43">
        <v>621038</v>
      </c>
      <c r="L43">
        <v>930117</v>
      </c>
    </row>
    <row r="44" spans="1:12" x14ac:dyDescent="0.35">
      <c r="A44">
        <v>2025</v>
      </c>
      <c r="B44">
        <v>8</v>
      </c>
      <c r="C44" t="s">
        <v>71</v>
      </c>
      <c r="D44" t="s">
        <v>301</v>
      </c>
      <c r="E44" t="s">
        <v>282</v>
      </c>
      <c r="F44">
        <v>84</v>
      </c>
      <c r="G44">
        <v>843386</v>
      </c>
      <c r="H44">
        <v>937617</v>
      </c>
      <c r="I44">
        <v>557947</v>
      </c>
      <c r="J44">
        <v>1099723</v>
      </c>
      <c r="K44">
        <v>643538</v>
      </c>
      <c r="L44">
        <v>952617</v>
      </c>
    </row>
    <row r="45" spans="1:12" x14ac:dyDescent="0.35">
      <c r="A45">
        <v>2025</v>
      </c>
      <c r="B45">
        <v>9</v>
      </c>
      <c r="C45" t="s">
        <v>72</v>
      </c>
      <c r="D45" t="s">
        <v>301</v>
      </c>
      <c r="E45" t="s">
        <v>280</v>
      </c>
      <c r="F45">
        <v>45</v>
      </c>
      <c r="G45">
        <v>728026</v>
      </c>
      <c r="H45">
        <v>628540</v>
      </c>
      <c r="I45">
        <v>557946</v>
      </c>
      <c r="J45">
        <v>1099725</v>
      </c>
      <c r="K45">
        <v>621038</v>
      </c>
      <c r="L45">
        <v>930117</v>
      </c>
    </row>
    <row r="46" spans="1:12" x14ac:dyDescent="0.35">
      <c r="A46">
        <v>2025</v>
      </c>
      <c r="B46">
        <v>9</v>
      </c>
      <c r="C46" t="s">
        <v>72</v>
      </c>
      <c r="D46" t="s">
        <v>301</v>
      </c>
      <c r="E46" t="s">
        <v>282</v>
      </c>
      <c r="F46">
        <v>84</v>
      </c>
      <c r="G46">
        <v>840177</v>
      </c>
      <c r="H46">
        <v>930117</v>
      </c>
      <c r="I46">
        <v>557947</v>
      </c>
      <c r="J46">
        <v>1099723</v>
      </c>
      <c r="K46">
        <v>643538</v>
      </c>
      <c r="L46">
        <v>945117</v>
      </c>
    </row>
    <row r="47" spans="1:12" x14ac:dyDescent="0.35">
      <c r="A47">
        <v>2025</v>
      </c>
      <c r="B47">
        <v>10</v>
      </c>
      <c r="C47" t="s">
        <v>73</v>
      </c>
      <c r="D47" t="s">
        <v>301</v>
      </c>
      <c r="E47" t="s">
        <v>280</v>
      </c>
      <c r="F47">
        <v>44</v>
      </c>
      <c r="G47">
        <v>741926</v>
      </c>
      <c r="H47">
        <v>628539</v>
      </c>
      <c r="I47">
        <v>557946</v>
      </c>
      <c r="J47">
        <v>1099725</v>
      </c>
      <c r="K47">
        <v>621038</v>
      </c>
      <c r="L47">
        <v>930117</v>
      </c>
    </row>
    <row r="48" spans="1:12" x14ac:dyDescent="0.35">
      <c r="A48">
        <v>2025</v>
      </c>
      <c r="B48">
        <v>10</v>
      </c>
      <c r="C48" t="s">
        <v>73</v>
      </c>
      <c r="D48" t="s">
        <v>301</v>
      </c>
      <c r="E48" t="s">
        <v>282</v>
      </c>
      <c r="F48">
        <v>98</v>
      </c>
      <c r="G48">
        <v>860796</v>
      </c>
      <c r="H48">
        <v>937617</v>
      </c>
      <c r="I48">
        <v>557946</v>
      </c>
      <c r="J48">
        <v>1099723</v>
      </c>
      <c r="K48">
        <v>766851</v>
      </c>
      <c r="L48">
        <v>952616</v>
      </c>
    </row>
    <row r="49" spans="1:12" x14ac:dyDescent="0.35">
      <c r="A49">
        <v>2025</v>
      </c>
      <c r="B49">
        <v>11</v>
      </c>
      <c r="C49" t="s">
        <v>74</v>
      </c>
      <c r="D49" t="s">
        <v>301</v>
      </c>
      <c r="E49" t="s">
        <v>280</v>
      </c>
      <c r="F49">
        <v>41</v>
      </c>
      <c r="G49">
        <v>746655</v>
      </c>
      <c r="H49">
        <v>628540</v>
      </c>
      <c r="I49">
        <v>557946</v>
      </c>
      <c r="J49">
        <v>1099725</v>
      </c>
      <c r="K49">
        <v>621038</v>
      </c>
      <c r="L49">
        <v>930117</v>
      </c>
    </row>
    <row r="50" spans="1:12" x14ac:dyDescent="0.35">
      <c r="A50">
        <v>2025</v>
      </c>
      <c r="B50">
        <v>11</v>
      </c>
      <c r="C50" t="s">
        <v>74</v>
      </c>
      <c r="D50" t="s">
        <v>301</v>
      </c>
      <c r="E50" t="s">
        <v>282</v>
      </c>
      <c r="F50">
        <v>96</v>
      </c>
      <c r="G50">
        <v>859960</v>
      </c>
      <c r="H50">
        <v>937617</v>
      </c>
      <c r="I50">
        <v>520287</v>
      </c>
      <c r="J50">
        <v>1099723</v>
      </c>
      <c r="K50">
        <v>766851</v>
      </c>
      <c r="L50">
        <v>952616</v>
      </c>
    </row>
    <row r="51" spans="1:12" x14ac:dyDescent="0.35">
      <c r="A51">
        <v>2025</v>
      </c>
      <c r="B51">
        <v>12</v>
      </c>
      <c r="C51" t="s">
        <v>75</v>
      </c>
      <c r="D51" t="s">
        <v>301</v>
      </c>
      <c r="E51" t="s">
        <v>280</v>
      </c>
      <c r="F51">
        <v>41</v>
      </c>
      <c r="G51">
        <v>741178</v>
      </c>
      <c r="H51">
        <v>628540</v>
      </c>
      <c r="I51">
        <v>512789</v>
      </c>
      <c r="J51">
        <v>1099725</v>
      </c>
      <c r="K51">
        <v>621038</v>
      </c>
      <c r="L51">
        <v>930117</v>
      </c>
    </row>
    <row r="52" spans="1:12" x14ac:dyDescent="0.35">
      <c r="A52">
        <v>2025</v>
      </c>
      <c r="B52">
        <v>12</v>
      </c>
      <c r="C52" t="s">
        <v>75</v>
      </c>
      <c r="D52" t="s">
        <v>301</v>
      </c>
      <c r="E52" t="s">
        <v>282</v>
      </c>
      <c r="F52">
        <v>93</v>
      </c>
      <c r="G52">
        <v>862126</v>
      </c>
      <c r="H52">
        <v>937617</v>
      </c>
      <c r="I52">
        <v>520287</v>
      </c>
      <c r="J52">
        <v>1099723</v>
      </c>
      <c r="K52">
        <v>766853</v>
      </c>
      <c r="L52">
        <v>952616</v>
      </c>
    </row>
  </sheetData>
  <mergeCells count="1">
    <mergeCell ref="A1:L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303</v>
      </c>
      <c r="E5" t="s">
        <v>280</v>
      </c>
      <c r="F5">
        <v>77</v>
      </c>
      <c r="G5">
        <v>764390</v>
      </c>
      <c r="H5">
        <v>717616</v>
      </c>
      <c r="I5">
        <v>710116</v>
      </c>
      <c r="J5">
        <v>933740</v>
      </c>
      <c r="K5">
        <v>710116</v>
      </c>
      <c r="L5">
        <v>764600</v>
      </c>
    </row>
    <row r="6" spans="1:12" x14ac:dyDescent="0.35">
      <c r="A6">
        <v>2024</v>
      </c>
      <c r="B6">
        <v>1</v>
      </c>
      <c r="C6" t="s">
        <v>42</v>
      </c>
      <c r="D6" t="s">
        <v>303</v>
      </c>
      <c r="E6" t="s">
        <v>282</v>
      </c>
      <c r="F6">
        <v>293</v>
      </c>
      <c r="G6">
        <v>811677</v>
      </c>
      <c r="H6">
        <v>779600</v>
      </c>
      <c r="I6">
        <v>686976</v>
      </c>
      <c r="J6">
        <v>963739</v>
      </c>
      <c r="K6">
        <v>732616</v>
      </c>
      <c r="L6">
        <v>904206</v>
      </c>
    </row>
    <row r="7" spans="1:12" x14ac:dyDescent="0.35">
      <c r="A7">
        <v>2024</v>
      </c>
      <c r="B7">
        <v>2</v>
      </c>
      <c r="C7" t="s">
        <v>63</v>
      </c>
      <c r="D7" t="s">
        <v>303</v>
      </c>
      <c r="E7" t="s">
        <v>280</v>
      </c>
      <c r="F7">
        <v>84</v>
      </c>
      <c r="G7">
        <v>777173</v>
      </c>
      <c r="H7">
        <v>757099</v>
      </c>
      <c r="I7">
        <v>686976</v>
      </c>
      <c r="J7">
        <v>933740</v>
      </c>
      <c r="K7">
        <v>710116</v>
      </c>
      <c r="L7">
        <v>811582</v>
      </c>
    </row>
    <row r="8" spans="1:12" x14ac:dyDescent="0.35">
      <c r="A8">
        <v>2024</v>
      </c>
      <c r="B8">
        <v>2</v>
      </c>
      <c r="C8" t="s">
        <v>63</v>
      </c>
      <c r="D8" t="s">
        <v>303</v>
      </c>
      <c r="E8" t="s">
        <v>282</v>
      </c>
      <c r="F8">
        <v>334</v>
      </c>
      <c r="G8">
        <v>812423</v>
      </c>
      <c r="H8">
        <v>804082</v>
      </c>
      <c r="I8">
        <v>686976</v>
      </c>
      <c r="J8">
        <v>1001091</v>
      </c>
      <c r="K8">
        <v>732616</v>
      </c>
      <c r="L8">
        <v>904206</v>
      </c>
    </row>
    <row r="9" spans="1:12" x14ac:dyDescent="0.35">
      <c r="A9">
        <v>2024</v>
      </c>
      <c r="B9">
        <v>3</v>
      </c>
      <c r="C9" t="s">
        <v>66</v>
      </c>
      <c r="D9" t="s">
        <v>303</v>
      </c>
      <c r="E9" t="s">
        <v>280</v>
      </c>
      <c r="F9">
        <v>129</v>
      </c>
      <c r="G9">
        <v>922285</v>
      </c>
      <c r="H9">
        <v>896706</v>
      </c>
      <c r="I9">
        <v>703403</v>
      </c>
      <c r="J9">
        <v>1273572</v>
      </c>
      <c r="K9">
        <v>845514</v>
      </c>
      <c r="L9">
        <v>979127</v>
      </c>
    </row>
    <row r="10" spans="1:12" x14ac:dyDescent="0.35">
      <c r="A10">
        <v>2024</v>
      </c>
      <c r="B10">
        <v>3</v>
      </c>
      <c r="C10" t="s">
        <v>66</v>
      </c>
      <c r="D10" t="s">
        <v>303</v>
      </c>
      <c r="E10" t="s">
        <v>282</v>
      </c>
      <c r="F10">
        <v>449</v>
      </c>
      <c r="G10">
        <v>925753</v>
      </c>
      <c r="H10">
        <v>896706</v>
      </c>
      <c r="I10">
        <v>686976</v>
      </c>
      <c r="J10">
        <v>1406212</v>
      </c>
      <c r="K10">
        <v>853014</v>
      </c>
      <c r="L10">
        <v>963965</v>
      </c>
    </row>
    <row r="11" spans="1:12" x14ac:dyDescent="0.35">
      <c r="A11">
        <v>2024</v>
      </c>
      <c r="B11">
        <v>4</v>
      </c>
      <c r="C11" t="s">
        <v>67</v>
      </c>
      <c r="D11" t="s">
        <v>303</v>
      </c>
      <c r="E11" t="s">
        <v>280</v>
      </c>
      <c r="F11">
        <v>84</v>
      </c>
      <c r="G11">
        <v>777262</v>
      </c>
      <c r="H11">
        <v>757099</v>
      </c>
      <c r="I11">
        <v>686976</v>
      </c>
      <c r="J11">
        <v>933740</v>
      </c>
      <c r="K11">
        <v>710116</v>
      </c>
      <c r="L11">
        <v>811582</v>
      </c>
    </row>
    <row r="12" spans="1:12" x14ac:dyDescent="0.35">
      <c r="A12">
        <v>2024</v>
      </c>
      <c r="B12">
        <v>4</v>
      </c>
      <c r="C12" t="s">
        <v>67</v>
      </c>
      <c r="D12" t="s">
        <v>303</v>
      </c>
      <c r="E12" t="s">
        <v>282</v>
      </c>
      <c r="F12">
        <v>333</v>
      </c>
      <c r="G12">
        <v>814040</v>
      </c>
      <c r="H12">
        <v>804082</v>
      </c>
      <c r="I12">
        <v>686976</v>
      </c>
      <c r="J12">
        <v>1341172</v>
      </c>
      <c r="K12">
        <v>732616</v>
      </c>
      <c r="L12">
        <v>904206</v>
      </c>
    </row>
    <row r="13" spans="1:12" x14ac:dyDescent="0.35">
      <c r="A13">
        <v>2024</v>
      </c>
      <c r="B13">
        <v>5</v>
      </c>
      <c r="C13" t="s">
        <v>68</v>
      </c>
      <c r="D13" t="s">
        <v>303</v>
      </c>
      <c r="E13" t="s">
        <v>280</v>
      </c>
      <c r="F13">
        <v>83</v>
      </c>
      <c r="G13">
        <v>775377</v>
      </c>
      <c r="H13">
        <v>757099</v>
      </c>
      <c r="I13">
        <v>686976</v>
      </c>
      <c r="J13">
        <v>933740</v>
      </c>
      <c r="K13">
        <v>710116</v>
      </c>
      <c r="L13">
        <v>811582</v>
      </c>
    </row>
    <row r="14" spans="1:12" x14ac:dyDescent="0.35">
      <c r="A14">
        <v>2024</v>
      </c>
      <c r="B14">
        <v>5</v>
      </c>
      <c r="C14" t="s">
        <v>68</v>
      </c>
      <c r="D14" t="s">
        <v>303</v>
      </c>
      <c r="E14" t="s">
        <v>282</v>
      </c>
      <c r="F14">
        <v>329</v>
      </c>
      <c r="G14">
        <v>814093</v>
      </c>
      <c r="H14">
        <v>804082</v>
      </c>
      <c r="I14">
        <v>686976</v>
      </c>
      <c r="J14">
        <v>1419928</v>
      </c>
      <c r="K14">
        <v>732616</v>
      </c>
      <c r="L14">
        <v>904206</v>
      </c>
    </row>
    <row r="15" spans="1:12" x14ac:dyDescent="0.35">
      <c r="A15">
        <v>2024</v>
      </c>
      <c r="B15">
        <v>6</v>
      </c>
      <c r="C15" t="s">
        <v>69</v>
      </c>
      <c r="D15" t="s">
        <v>303</v>
      </c>
      <c r="E15" t="s">
        <v>280</v>
      </c>
      <c r="F15">
        <v>87</v>
      </c>
      <c r="G15">
        <v>772068</v>
      </c>
      <c r="H15">
        <v>757099</v>
      </c>
      <c r="I15">
        <v>686976</v>
      </c>
      <c r="J15">
        <v>933740</v>
      </c>
      <c r="K15">
        <v>710116</v>
      </c>
      <c r="L15">
        <v>811582</v>
      </c>
    </row>
    <row r="16" spans="1:12" x14ac:dyDescent="0.35">
      <c r="A16">
        <v>2024</v>
      </c>
      <c r="B16">
        <v>6</v>
      </c>
      <c r="C16" t="s">
        <v>69</v>
      </c>
      <c r="D16" t="s">
        <v>303</v>
      </c>
      <c r="E16" t="s">
        <v>282</v>
      </c>
      <c r="F16">
        <v>343</v>
      </c>
      <c r="G16">
        <v>809165</v>
      </c>
      <c r="H16">
        <v>804082</v>
      </c>
      <c r="I16">
        <v>686976</v>
      </c>
      <c r="J16">
        <v>1001091</v>
      </c>
      <c r="K16">
        <v>725116</v>
      </c>
      <c r="L16">
        <v>904206</v>
      </c>
    </row>
    <row r="17" spans="1:12" x14ac:dyDescent="0.35">
      <c r="A17">
        <v>2024</v>
      </c>
      <c r="B17">
        <v>7</v>
      </c>
      <c r="C17" t="s">
        <v>70</v>
      </c>
      <c r="D17" t="s">
        <v>303</v>
      </c>
      <c r="E17" t="s">
        <v>280</v>
      </c>
      <c r="F17">
        <v>90</v>
      </c>
      <c r="G17">
        <v>776663</v>
      </c>
      <c r="H17">
        <v>757099</v>
      </c>
      <c r="I17">
        <v>686976</v>
      </c>
      <c r="J17">
        <v>933740</v>
      </c>
      <c r="K17">
        <v>710116</v>
      </c>
      <c r="L17">
        <v>811582</v>
      </c>
    </row>
    <row r="18" spans="1:12" x14ac:dyDescent="0.35">
      <c r="A18">
        <v>2024</v>
      </c>
      <c r="B18">
        <v>7</v>
      </c>
      <c r="C18" t="s">
        <v>70</v>
      </c>
      <c r="D18" t="s">
        <v>303</v>
      </c>
      <c r="E18" t="s">
        <v>282</v>
      </c>
      <c r="F18">
        <v>349</v>
      </c>
      <c r="G18">
        <v>811440</v>
      </c>
      <c r="H18">
        <v>804082</v>
      </c>
      <c r="I18">
        <v>686976</v>
      </c>
      <c r="J18">
        <v>1001091</v>
      </c>
      <c r="K18">
        <v>732616</v>
      </c>
      <c r="L18">
        <v>904206</v>
      </c>
    </row>
    <row r="19" spans="1:12" x14ac:dyDescent="0.35">
      <c r="A19">
        <v>2024</v>
      </c>
      <c r="B19">
        <v>8</v>
      </c>
      <c r="C19" t="s">
        <v>71</v>
      </c>
      <c r="D19" t="s">
        <v>303</v>
      </c>
      <c r="E19" t="s">
        <v>280</v>
      </c>
      <c r="F19">
        <v>83</v>
      </c>
      <c r="G19">
        <v>775286</v>
      </c>
      <c r="H19">
        <v>757099</v>
      </c>
      <c r="I19">
        <v>686976</v>
      </c>
      <c r="J19">
        <v>933740</v>
      </c>
      <c r="K19">
        <v>710116</v>
      </c>
      <c r="L19">
        <v>811582</v>
      </c>
    </row>
    <row r="20" spans="1:12" x14ac:dyDescent="0.35">
      <c r="A20">
        <v>2024</v>
      </c>
      <c r="B20">
        <v>8</v>
      </c>
      <c r="C20" t="s">
        <v>71</v>
      </c>
      <c r="D20" t="s">
        <v>303</v>
      </c>
      <c r="E20" t="s">
        <v>282</v>
      </c>
      <c r="F20">
        <v>334</v>
      </c>
      <c r="G20">
        <v>814744</v>
      </c>
      <c r="H20">
        <v>807832</v>
      </c>
      <c r="I20">
        <v>686976</v>
      </c>
      <c r="J20">
        <v>1368456</v>
      </c>
      <c r="K20">
        <v>732616</v>
      </c>
      <c r="L20">
        <v>904206</v>
      </c>
    </row>
    <row r="21" spans="1:12" x14ac:dyDescent="0.35">
      <c r="A21">
        <v>2024</v>
      </c>
      <c r="B21">
        <v>9</v>
      </c>
      <c r="C21" t="s">
        <v>72</v>
      </c>
      <c r="D21" t="s">
        <v>303</v>
      </c>
      <c r="E21" t="s">
        <v>280</v>
      </c>
      <c r="F21">
        <v>83</v>
      </c>
      <c r="G21">
        <v>777855</v>
      </c>
      <c r="H21">
        <v>757099</v>
      </c>
      <c r="I21">
        <v>686976</v>
      </c>
      <c r="J21">
        <v>933740</v>
      </c>
      <c r="K21">
        <v>710116</v>
      </c>
      <c r="L21">
        <v>811582</v>
      </c>
    </row>
    <row r="22" spans="1:12" x14ac:dyDescent="0.35">
      <c r="A22">
        <v>2024</v>
      </c>
      <c r="B22">
        <v>9</v>
      </c>
      <c r="C22" t="s">
        <v>72</v>
      </c>
      <c r="D22" t="s">
        <v>303</v>
      </c>
      <c r="E22" t="s">
        <v>282</v>
      </c>
      <c r="F22">
        <v>332</v>
      </c>
      <c r="G22">
        <v>813105</v>
      </c>
      <c r="H22">
        <v>807832</v>
      </c>
      <c r="I22">
        <v>686976</v>
      </c>
      <c r="J22">
        <v>1001091</v>
      </c>
      <c r="K22">
        <v>732616</v>
      </c>
      <c r="L22">
        <v>904206</v>
      </c>
    </row>
    <row r="23" spans="1:12" x14ac:dyDescent="0.35">
      <c r="A23">
        <v>2024</v>
      </c>
      <c r="B23">
        <v>10</v>
      </c>
      <c r="C23" t="s">
        <v>73</v>
      </c>
      <c r="D23" t="s">
        <v>303</v>
      </c>
      <c r="E23" t="s">
        <v>280</v>
      </c>
      <c r="F23">
        <v>82</v>
      </c>
      <c r="G23">
        <v>784690</v>
      </c>
      <c r="H23">
        <v>757099</v>
      </c>
      <c r="I23">
        <v>686976</v>
      </c>
      <c r="J23">
        <v>1447418</v>
      </c>
      <c r="K23">
        <v>710116</v>
      </c>
      <c r="L23">
        <v>811582</v>
      </c>
    </row>
    <row r="24" spans="1:12" x14ac:dyDescent="0.35">
      <c r="A24">
        <v>2024</v>
      </c>
      <c r="B24">
        <v>10</v>
      </c>
      <c r="C24" t="s">
        <v>73</v>
      </c>
      <c r="D24" t="s">
        <v>303</v>
      </c>
      <c r="E24" t="s">
        <v>282</v>
      </c>
      <c r="F24">
        <v>336</v>
      </c>
      <c r="G24">
        <v>814853</v>
      </c>
      <c r="H24">
        <v>807832</v>
      </c>
      <c r="I24">
        <v>686976</v>
      </c>
      <c r="J24">
        <v>1476407</v>
      </c>
      <c r="K24">
        <v>732616</v>
      </c>
      <c r="L24">
        <v>904206</v>
      </c>
    </row>
    <row r="25" spans="1:12" x14ac:dyDescent="0.35">
      <c r="A25">
        <v>2024</v>
      </c>
      <c r="B25">
        <v>11</v>
      </c>
      <c r="C25" t="s">
        <v>74</v>
      </c>
      <c r="D25" t="s">
        <v>303</v>
      </c>
      <c r="E25" t="s">
        <v>280</v>
      </c>
      <c r="F25">
        <v>83</v>
      </c>
      <c r="G25">
        <v>779846</v>
      </c>
      <c r="H25">
        <v>757099</v>
      </c>
      <c r="I25">
        <v>686976</v>
      </c>
      <c r="J25">
        <v>1018409</v>
      </c>
      <c r="K25">
        <v>710116</v>
      </c>
      <c r="L25">
        <v>811582</v>
      </c>
    </row>
    <row r="26" spans="1:12" x14ac:dyDescent="0.35">
      <c r="A26">
        <v>2024</v>
      </c>
      <c r="B26">
        <v>11</v>
      </c>
      <c r="C26" t="s">
        <v>74</v>
      </c>
      <c r="D26" t="s">
        <v>303</v>
      </c>
      <c r="E26" t="s">
        <v>282</v>
      </c>
      <c r="F26">
        <v>335</v>
      </c>
      <c r="G26">
        <v>812899</v>
      </c>
      <c r="H26">
        <v>804082</v>
      </c>
      <c r="I26">
        <v>686976</v>
      </c>
      <c r="J26">
        <v>1018857</v>
      </c>
      <c r="K26">
        <v>732616</v>
      </c>
      <c r="L26">
        <v>904206</v>
      </c>
    </row>
    <row r="27" spans="1:12" x14ac:dyDescent="0.35">
      <c r="A27">
        <v>2024</v>
      </c>
      <c r="B27">
        <v>12</v>
      </c>
      <c r="C27" t="s">
        <v>75</v>
      </c>
      <c r="D27" t="s">
        <v>303</v>
      </c>
      <c r="E27" t="s">
        <v>280</v>
      </c>
      <c r="F27">
        <v>82</v>
      </c>
      <c r="G27">
        <v>777028</v>
      </c>
      <c r="H27">
        <v>757099</v>
      </c>
      <c r="I27">
        <v>686976</v>
      </c>
      <c r="J27">
        <v>933740</v>
      </c>
      <c r="K27">
        <v>710116</v>
      </c>
      <c r="L27">
        <v>811582</v>
      </c>
    </row>
    <row r="28" spans="1:12" x14ac:dyDescent="0.35">
      <c r="A28">
        <v>2024</v>
      </c>
      <c r="B28">
        <v>12</v>
      </c>
      <c r="C28" t="s">
        <v>75</v>
      </c>
      <c r="D28" t="s">
        <v>303</v>
      </c>
      <c r="E28" t="s">
        <v>282</v>
      </c>
      <c r="F28">
        <v>333</v>
      </c>
      <c r="G28">
        <v>811738</v>
      </c>
      <c r="H28">
        <v>804082</v>
      </c>
      <c r="I28">
        <v>686976</v>
      </c>
      <c r="J28">
        <v>1001091</v>
      </c>
      <c r="K28">
        <v>732616</v>
      </c>
      <c r="L28">
        <v>904206</v>
      </c>
    </row>
    <row r="29" spans="1:12" x14ac:dyDescent="0.35">
      <c r="A29">
        <v>2025</v>
      </c>
      <c r="B29">
        <v>1</v>
      </c>
      <c r="C29" t="s">
        <v>42</v>
      </c>
      <c r="D29" t="s">
        <v>303</v>
      </c>
      <c r="E29" t="s">
        <v>280</v>
      </c>
      <c r="F29">
        <v>79</v>
      </c>
      <c r="G29">
        <v>777785</v>
      </c>
      <c r="H29">
        <v>757099</v>
      </c>
      <c r="I29">
        <v>686976</v>
      </c>
      <c r="J29">
        <v>933740</v>
      </c>
      <c r="K29">
        <v>710116</v>
      </c>
      <c r="L29">
        <v>811582</v>
      </c>
    </row>
    <row r="30" spans="1:12" x14ac:dyDescent="0.35">
      <c r="A30">
        <v>2025</v>
      </c>
      <c r="B30">
        <v>1</v>
      </c>
      <c r="C30" t="s">
        <v>42</v>
      </c>
      <c r="D30" t="s">
        <v>303</v>
      </c>
      <c r="E30" t="s">
        <v>282</v>
      </c>
      <c r="F30">
        <v>311</v>
      </c>
      <c r="G30">
        <v>811707</v>
      </c>
      <c r="H30">
        <v>804082</v>
      </c>
      <c r="I30">
        <v>686976</v>
      </c>
      <c r="J30">
        <v>1232733</v>
      </c>
      <c r="K30">
        <v>732616</v>
      </c>
      <c r="L30">
        <v>896706</v>
      </c>
    </row>
    <row r="31" spans="1:12" x14ac:dyDescent="0.35">
      <c r="A31">
        <v>2025</v>
      </c>
      <c r="B31">
        <v>2</v>
      </c>
      <c r="C31" t="s">
        <v>63</v>
      </c>
      <c r="D31" t="s">
        <v>303</v>
      </c>
      <c r="E31" t="s">
        <v>280</v>
      </c>
      <c r="F31">
        <v>80</v>
      </c>
      <c r="G31">
        <v>783391</v>
      </c>
      <c r="H31">
        <v>757099</v>
      </c>
      <c r="I31">
        <v>686976</v>
      </c>
      <c r="J31">
        <v>1226286</v>
      </c>
      <c r="K31">
        <v>710116</v>
      </c>
      <c r="L31">
        <v>811582</v>
      </c>
    </row>
    <row r="32" spans="1:12" x14ac:dyDescent="0.35">
      <c r="A32">
        <v>2025</v>
      </c>
      <c r="B32">
        <v>2</v>
      </c>
      <c r="C32" t="s">
        <v>63</v>
      </c>
      <c r="D32" t="s">
        <v>303</v>
      </c>
      <c r="E32" t="s">
        <v>282</v>
      </c>
      <c r="F32">
        <v>310</v>
      </c>
      <c r="G32">
        <v>810037</v>
      </c>
      <c r="H32">
        <v>804082</v>
      </c>
      <c r="I32">
        <v>686976</v>
      </c>
      <c r="J32">
        <v>1001091</v>
      </c>
      <c r="K32">
        <v>732616</v>
      </c>
      <c r="L32">
        <v>896706</v>
      </c>
    </row>
    <row r="33" spans="1:12" x14ac:dyDescent="0.35">
      <c r="A33">
        <v>2025</v>
      </c>
      <c r="B33">
        <v>3</v>
      </c>
      <c r="C33" t="s">
        <v>66</v>
      </c>
      <c r="D33" t="s">
        <v>303</v>
      </c>
      <c r="E33" t="s">
        <v>280</v>
      </c>
      <c r="F33">
        <v>79</v>
      </c>
      <c r="G33">
        <v>777785</v>
      </c>
      <c r="H33">
        <v>757099</v>
      </c>
      <c r="I33">
        <v>686976</v>
      </c>
      <c r="J33">
        <v>933740</v>
      </c>
      <c r="K33">
        <v>710116</v>
      </c>
      <c r="L33">
        <v>811582</v>
      </c>
    </row>
    <row r="34" spans="1:12" x14ac:dyDescent="0.35">
      <c r="A34">
        <v>2025</v>
      </c>
      <c r="B34">
        <v>3</v>
      </c>
      <c r="C34" t="s">
        <v>66</v>
      </c>
      <c r="D34" t="s">
        <v>303</v>
      </c>
      <c r="E34" t="s">
        <v>282</v>
      </c>
      <c r="F34">
        <v>308</v>
      </c>
      <c r="G34">
        <v>809463</v>
      </c>
      <c r="H34">
        <v>804082</v>
      </c>
      <c r="I34">
        <v>686976</v>
      </c>
      <c r="J34">
        <v>1001091</v>
      </c>
      <c r="K34">
        <v>732616</v>
      </c>
      <c r="L34">
        <v>896706</v>
      </c>
    </row>
    <row r="35" spans="1:12" x14ac:dyDescent="0.35">
      <c r="A35">
        <v>2025</v>
      </c>
      <c r="B35">
        <v>4</v>
      </c>
      <c r="C35" t="s">
        <v>67</v>
      </c>
      <c r="D35" t="s">
        <v>303</v>
      </c>
      <c r="E35" t="s">
        <v>280</v>
      </c>
      <c r="F35">
        <v>80</v>
      </c>
      <c r="G35">
        <v>783391</v>
      </c>
      <c r="H35">
        <v>757099</v>
      </c>
      <c r="I35">
        <v>686976</v>
      </c>
      <c r="J35">
        <v>1226286</v>
      </c>
      <c r="K35">
        <v>710116</v>
      </c>
      <c r="L35">
        <v>811582</v>
      </c>
    </row>
    <row r="36" spans="1:12" x14ac:dyDescent="0.35">
      <c r="A36">
        <v>2025</v>
      </c>
      <c r="B36">
        <v>4</v>
      </c>
      <c r="C36" t="s">
        <v>67</v>
      </c>
      <c r="D36" t="s">
        <v>303</v>
      </c>
      <c r="E36" t="s">
        <v>282</v>
      </c>
      <c r="F36">
        <v>310</v>
      </c>
      <c r="G36">
        <v>810037</v>
      </c>
      <c r="H36">
        <v>804082</v>
      </c>
      <c r="I36">
        <v>686976</v>
      </c>
      <c r="J36">
        <v>1001091</v>
      </c>
      <c r="K36">
        <v>732616</v>
      </c>
      <c r="L36">
        <v>896706</v>
      </c>
    </row>
    <row r="37" spans="1:12" x14ac:dyDescent="0.35">
      <c r="A37">
        <v>2025</v>
      </c>
      <c r="B37">
        <v>5</v>
      </c>
      <c r="C37" t="s">
        <v>68</v>
      </c>
      <c r="D37" t="s">
        <v>303</v>
      </c>
      <c r="E37" t="s">
        <v>280</v>
      </c>
      <c r="F37">
        <v>78</v>
      </c>
      <c r="G37">
        <v>778556</v>
      </c>
      <c r="H37">
        <v>757099</v>
      </c>
      <c r="I37">
        <v>686976</v>
      </c>
      <c r="J37">
        <v>933740</v>
      </c>
      <c r="K37">
        <v>710116</v>
      </c>
      <c r="L37">
        <v>811582</v>
      </c>
    </row>
    <row r="38" spans="1:12" x14ac:dyDescent="0.35">
      <c r="A38">
        <v>2025</v>
      </c>
      <c r="B38">
        <v>5</v>
      </c>
      <c r="C38" t="s">
        <v>68</v>
      </c>
      <c r="D38" t="s">
        <v>303</v>
      </c>
      <c r="E38" t="s">
        <v>282</v>
      </c>
      <c r="F38">
        <v>309</v>
      </c>
      <c r="G38">
        <v>813520</v>
      </c>
      <c r="H38">
        <v>804082</v>
      </c>
      <c r="I38">
        <v>686976</v>
      </c>
      <c r="J38">
        <v>1419903</v>
      </c>
      <c r="K38">
        <v>732616</v>
      </c>
      <c r="L38">
        <v>896706</v>
      </c>
    </row>
    <row r="39" spans="1:12" x14ac:dyDescent="0.35">
      <c r="A39">
        <v>2025</v>
      </c>
      <c r="B39">
        <v>6</v>
      </c>
      <c r="C39" t="s">
        <v>69</v>
      </c>
      <c r="D39" t="s">
        <v>303</v>
      </c>
      <c r="E39" t="s">
        <v>280</v>
      </c>
      <c r="F39">
        <v>78</v>
      </c>
      <c r="G39">
        <v>778556</v>
      </c>
      <c r="H39">
        <v>757099</v>
      </c>
      <c r="I39">
        <v>686976</v>
      </c>
      <c r="J39">
        <v>933740</v>
      </c>
      <c r="K39">
        <v>710116</v>
      </c>
      <c r="L39">
        <v>811582</v>
      </c>
    </row>
    <row r="40" spans="1:12" x14ac:dyDescent="0.35">
      <c r="A40">
        <v>2025</v>
      </c>
      <c r="B40">
        <v>6</v>
      </c>
      <c r="C40" t="s">
        <v>69</v>
      </c>
      <c r="D40" t="s">
        <v>303</v>
      </c>
      <c r="E40" t="s">
        <v>282</v>
      </c>
      <c r="F40">
        <v>307</v>
      </c>
      <c r="G40">
        <v>809545</v>
      </c>
      <c r="H40">
        <v>804082</v>
      </c>
      <c r="I40">
        <v>686976</v>
      </c>
      <c r="J40">
        <v>1001091</v>
      </c>
      <c r="K40">
        <v>732616</v>
      </c>
      <c r="L40">
        <v>896706</v>
      </c>
    </row>
    <row r="41" spans="1:12" x14ac:dyDescent="0.35">
      <c r="A41">
        <v>2025</v>
      </c>
      <c r="B41">
        <v>7</v>
      </c>
      <c r="C41" t="s">
        <v>70</v>
      </c>
      <c r="D41" t="s">
        <v>303</v>
      </c>
      <c r="E41" t="s">
        <v>280</v>
      </c>
      <c r="F41">
        <v>80</v>
      </c>
      <c r="G41">
        <v>797182</v>
      </c>
      <c r="H41">
        <v>757099</v>
      </c>
      <c r="I41">
        <v>686976</v>
      </c>
      <c r="J41">
        <v>1523585</v>
      </c>
      <c r="K41">
        <v>710116</v>
      </c>
      <c r="L41">
        <v>811582</v>
      </c>
    </row>
    <row r="42" spans="1:12" x14ac:dyDescent="0.35">
      <c r="A42">
        <v>2025</v>
      </c>
      <c r="B42">
        <v>7</v>
      </c>
      <c r="C42" t="s">
        <v>70</v>
      </c>
      <c r="D42" t="s">
        <v>303</v>
      </c>
      <c r="E42" t="s">
        <v>282</v>
      </c>
      <c r="F42">
        <v>308</v>
      </c>
      <c r="G42">
        <v>813929</v>
      </c>
      <c r="H42">
        <v>804082</v>
      </c>
      <c r="I42">
        <v>686976</v>
      </c>
      <c r="J42">
        <v>1523585</v>
      </c>
      <c r="K42">
        <v>732616</v>
      </c>
      <c r="L42">
        <v>896706</v>
      </c>
    </row>
    <row r="43" spans="1:12" x14ac:dyDescent="0.35">
      <c r="A43">
        <v>2025</v>
      </c>
      <c r="B43">
        <v>8</v>
      </c>
      <c r="C43" t="s">
        <v>71</v>
      </c>
      <c r="D43" t="s">
        <v>303</v>
      </c>
      <c r="E43" t="s">
        <v>280</v>
      </c>
      <c r="F43">
        <v>78</v>
      </c>
      <c r="G43">
        <v>778556</v>
      </c>
      <c r="H43">
        <v>757099</v>
      </c>
      <c r="I43">
        <v>686976</v>
      </c>
      <c r="J43">
        <v>933740</v>
      </c>
      <c r="K43">
        <v>710116</v>
      </c>
      <c r="L43">
        <v>811582</v>
      </c>
    </row>
    <row r="44" spans="1:12" x14ac:dyDescent="0.35">
      <c r="A44">
        <v>2025</v>
      </c>
      <c r="B44">
        <v>8</v>
      </c>
      <c r="C44" t="s">
        <v>71</v>
      </c>
      <c r="D44" t="s">
        <v>303</v>
      </c>
      <c r="E44" t="s">
        <v>282</v>
      </c>
      <c r="F44">
        <v>306</v>
      </c>
      <c r="G44">
        <v>810661</v>
      </c>
      <c r="H44">
        <v>804082</v>
      </c>
      <c r="I44">
        <v>686976</v>
      </c>
      <c r="J44">
        <v>1360573</v>
      </c>
      <c r="K44">
        <v>732616</v>
      </c>
      <c r="L44">
        <v>896706</v>
      </c>
    </row>
    <row r="45" spans="1:12" x14ac:dyDescent="0.35">
      <c r="A45">
        <v>2025</v>
      </c>
      <c r="B45">
        <v>9</v>
      </c>
      <c r="C45" t="s">
        <v>72</v>
      </c>
      <c r="D45" t="s">
        <v>303</v>
      </c>
      <c r="E45" t="s">
        <v>280</v>
      </c>
      <c r="F45">
        <v>81</v>
      </c>
      <c r="G45">
        <v>790790</v>
      </c>
      <c r="H45">
        <v>757099</v>
      </c>
      <c r="I45">
        <v>686976</v>
      </c>
      <c r="J45">
        <v>1329839</v>
      </c>
      <c r="K45">
        <v>710116</v>
      </c>
      <c r="L45">
        <v>811582</v>
      </c>
    </row>
    <row r="46" spans="1:12" x14ac:dyDescent="0.35">
      <c r="A46">
        <v>2025</v>
      </c>
      <c r="B46">
        <v>9</v>
      </c>
      <c r="C46" t="s">
        <v>72</v>
      </c>
      <c r="D46" t="s">
        <v>303</v>
      </c>
      <c r="E46" t="s">
        <v>282</v>
      </c>
      <c r="F46">
        <v>311</v>
      </c>
      <c r="G46">
        <v>817287</v>
      </c>
      <c r="H46">
        <v>804082</v>
      </c>
      <c r="I46">
        <v>686976</v>
      </c>
      <c r="J46">
        <v>1435775</v>
      </c>
      <c r="K46">
        <v>732616</v>
      </c>
      <c r="L46">
        <v>904206</v>
      </c>
    </row>
    <row r="47" spans="1:12" x14ac:dyDescent="0.35">
      <c r="A47">
        <v>2025</v>
      </c>
      <c r="B47">
        <v>10</v>
      </c>
      <c r="C47" t="s">
        <v>73</v>
      </c>
      <c r="D47" t="s">
        <v>303</v>
      </c>
      <c r="E47" t="s">
        <v>280</v>
      </c>
      <c r="F47">
        <v>80</v>
      </c>
      <c r="G47">
        <v>776845</v>
      </c>
      <c r="H47">
        <v>757099</v>
      </c>
      <c r="I47">
        <v>686976</v>
      </c>
      <c r="J47">
        <v>933740</v>
      </c>
      <c r="K47">
        <v>710116</v>
      </c>
      <c r="L47">
        <v>811582</v>
      </c>
    </row>
    <row r="48" spans="1:12" x14ac:dyDescent="0.35">
      <c r="A48">
        <v>2025</v>
      </c>
      <c r="B48">
        <v>10</v>
      </c>
      <c r="C48" t="s">
        <v>73</v>
      </c>
      <c r="D48" t="s">
        <v>303</v>
      </c>
      <c r="E48" t="s">
        <v>282</v>
      </c>
      <c r="F48">
        <v>307</v>
      </c>
      <c r="G48">
        <v>811266</v>
      </c>
      <c r="H48">
        <v>804082</v>
      </c>
      <c r="I48">
        <v>686976</v>
      </c>
      <c r="J48">
        <v>1344405</v>
      </c>
      <c r="K48">
        <v>732616</v>
      </c>
      <c r="L48">
        <v>896706</v>
      </c>
    </row>
    <row r="49" spans="1:12" x14ac:dyDescent="0.35">
      <c r="A49">
        <v>2025</v>
      </c>
      <c r="B49">
        <v>11</v>
      </c>
      <c r="C49" t="s">
        <v>74</v>
      </c>
      <c r="D49" t="s">
        <v>303</v>
      </c>
      <c r="E49" t="s">
        <v>280</v>
      </c>
      <c r="F49">
        <v>85</v>
      </c>
      <c r="G49">
        <v>791176</v>
      </c>
      <c r="H49">
        <v>764599</v>
      </c>
      <c r="I49">
        <v>686976</v>
      </c>
      <c r="J49">
        <v>933740</v>
      </c>
      <c r="K49">
        <v>757099</v>
      </c>
      <c r="L49">
        <v>811582</v>
      </c>
    </row>
    <row r="50" spans="1:12" x14ac:dyDescent="0.35">
      <c r="A50">
        <v>2025</v>
      </c>
      <c r="B50">
        <v>11</v>
      </c>
      <c r="C50" t="s">
        <v>74</v>
      </c>
      <c r="D50" t="s">
        <v>303</v>
      </c>
      <c r="E50" t="s">
        <v>282</v>
      </c>
      <c r="F50">
        <v>315</v>
      </c>
      <c r="G50">
        <v>824551</v>
      </c>
      <c r="H50">
        <v>804082</v>
      </c>
      <c r="I50">
        <v>686975</v>
      </c>
      <c r="J50">
        <v>1406370</v>
      </c>
      <c r="K50">
        <v>764599</v>
      </c>
      <c r="L50">
        <v>926238</v>
      </c>
    </row>
    <row r="51" spans="1:12" x14ac:dyDescent="0.35">
      <c r="A51">
        <v>2025</v>
      </c>
      <c r="B51">
        <v>12</v>
      </c>
      <c r="C51" t="s">
        <v>75</v>
      </c>
      <c r="D51" t="s">
        <v>303</v>
      </c>
      <c r="E51" t="s">
        <v>280</v>
      </c>
      <c r="F51">
        <v>85</v>
      </c>
      <c r="G51">
        <v>791088</v>
      </c>
      <c r="H51">
        <v>764599</v>
      </c>
      <c r="I51">
        <v>686976</v>
      </c>
      <c r="J51">
        <v>933740</v>
      </c>
      <c r="K51">
        <v>757099</v>
      </c>
      <c r="L51">
        <v>811582</v>
      </c>
    </row>
    <row r="52" spans="1:12" x14ac:dyDescent="0.35">
      <c r="A52">
        <v>2025</v>
      </c>
      <c r="B52">
        <v>12</v>
      </c>
      <c r="C52" t="s">
        <v>75</v>
      </c>
      <c r="D52" t="s">
        <v>303</v>
      </c>
      <c r="E52" t="s">
        <v>282</v>
      </c>
      <c r="F52">
        <v>315</v>
      </c>
      <c r="G52">
        <v>822687</v>
      </c>
      <c r="H52">
        <v>804082</v>
      </c>
      <c r="I52">
        <v>686975</v>
      </c>
      <c r="J52">
        <v>1001091</v>
      </c>
      <c r="K52">
        <v>764599</v>
      </c>
      <c r="L52">
        <v>926238</v>
      </c>
    </row>
  </sheetData>
  <mergeCells count="1">
    <mergeCell ref="A1:L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305</v>
      </c>
      <c r="E5" t="s">
        <v>280</v>
      </c>
      <c r="F5">
        <v>1985</v>
      </c>
      <c r="G5">
        <v>520264</v>
      </c>
      <c r="H5">
        <v>472441</v>
      </c>
      <c r="I5">
        <v>407405</v>
      </c>
      <c r="J5">
        <v>808035</v>
      </c>
      <c r="K5">
        <v>439485</v>
      </c>
      <c r="L5">
        <v>585201</v>
      </c>
    </row>
    <row r="6" spans="1:12" x14ac:dyDescent="0.35">
      <c r="A6">
        <v>2024</v>
      </c>
      <c r="B6">
        <v>1</v>
      </c>
      <c r="C6" t="s">
        <v>42</v>
      </c>
      <c r="D6" t="s">
        <v>305</v>
      </c>
      <c r="E6" t="s">
        <v>282</v>
      </c>
      <c r="F6">
        <v>4202</v>
      </c>
      <c r="G6">
        <v>551881</v>
      </c>
      <c r="H6">
        <v>517158</v>
      </c>
      <c r="I6">
        <v>407405</v>
      </c>
      <c r="J6">
        <v>825535</v>
      </c>
      <c r="K6">
        <v>450594</v>
      </c>
      <c r="L6">
        <v>665558</v>
      </c>
    </row>
    <row r="7" spans="1:12" x14ac:dyDescent="0.35">
      <c r="A7">
        <v>2024</v>
      </c>
      <c r="B7">
        <v>2</v>
      </c>
      <c r="C7" t="s">
        <v>63</v>
      </c>
      <c r="D7" t="s">
        <v>305</v>
      </c>
      <c r="E7" t="s">
        <v>280</v>
      </c>
      <c r="F7">
        <v>2083</v>
      </c>
      <c r="G7">
        <v>516191</v>
      </c>
      <c r="H7">
        <v>472441</v>
      </c>
      <c r="I7">
        <v>407405</v>
      </c>
      <c r="J7">
        <v>826377</v>
      </c>
      <c r="K7">
        <v>434485</v>
      </c>
      <c r="L7">
        <v>572798</v>
      </c>
    </row>
    <row r="8" spans="1:12" x14ac:dyDescent="0.35">
      <c r="A8">
        <v>2024</v>
      </c>
      <c r="B8">
        <v>2</v>
      </c>
      <c r="C8" t="s">
        <v>63</v>
      </c>
      <c r="D8" t="s">
        <v>305</v>
      </c>
      <c r="E8" t="s">
        <v>282</v>
      </c>
      <c r="F8">
        <v>4367</v>
      </c>
      <c r="G8">
        <v>548124</v>
      </c>
      <c r="H8">
        <v>509658</v>
      </c>
      <c r="I8">
        <v>407405</v>
      </c>
      <c r="J8">
        <v>825535</v>
      </c>
      <c r="K8">
        <v>445594</v>
      </c>
      <c r="L8">
        <v>665423</v>
      </c>
    </row>
    <row r="9" spans="1:12" x14ac:dyDescent="0.35">
      <c r="A9">
        <v>2024</v>
      </c>
      <c r="B9">
        <v>3</v>
      </c>
      <c r="C9" t="s">
        <v>66</v>
      </c>
      <c r="D9" t="s">
        <v>305</v>
      </c>
      <c r="E9" t="s">
        <v>280</v>
      </c>
      <c r="F9">
        <v>2098</v>
      </c>
      <c r="G9">
        <v>518114</v>
      </c>
      <c r="H9">
        <v>486744</v>
      </c>
      <c r="I9">
        <v>407405</v>
      </c>
      <c r="J9">
        <v>808035</v>
      </c>
      <c r="K9">
        <v>431985</v>
      </c>
      <c r="L9">
        <v>563722</v>
      </c>
    </row>
    <row r="10" spans="1:12" x14ac:dyDescent="0.35">
      <c r="A10">
        <v>2024</v>
      </c>
      <c r="B10">
        <v>3</v>
      </c>
      <c r="C10" t="s">
        <v>66</v>
      </c>
      <c r="D10" t="s">
        <v>305</v>
      </c>
      <c r="E10" t="s">
        <v>282</v>
      </c>
      <c r="F10">
        <v>4375</v>
      </c>
      <c r="G10">
        <v>550927</v>
      </c>
      <c r="H10">
        <v>524658</v>
      </c>
      <c r="I10">
        <v>407405</v>
      </c>
      <c r="J10">
        <v>825535</v>
      </c>
      <c r="K10">
        <v>446985</v>
      </c>
      <c r="L10">
        <v>663058</v>
      </c>
    </row>
    <row r="11" spans="1:12" x14ac:dyDescent="0.35">
      <c r="A11">
        <v>2024</v>
      </c>
      <c r="B11">
        <v>4</v>
      </c>
      <c r="C11" t="s">
        <v>67</v>
      </c>
      <c r="D11" t="s">
        <v>305</v>
      </c>
      <c r="E11" t="s">
        <v>280</v>
      </c>
      <c r="F11">
        <v>2120</v>
      </c>
      <c r="G11">
        <v>516912</v>
      </c>
      <c r="H11">
        <v>479941</v>
      </c>
      <c r="I11">
        <v>407405</v>
      </c>
      <c r="J11">
        <v>808035</v>
      </c>
      <c r="K11">
        <v>429487</v>
      </c>
      <c r="L11">
        <v>563722</v>
      </c>
    </row>
    <row r="12" spans="1:12" x14ac:dyDescent="0.35">
      <c r="A12">
        <v>2024</v>
      </c>
      <c r="B12">
        <v>4</v>
      </c>
      <c r="C12" t="s">
        <v>67</v>
      </c>
      <c r="D12" t="s">
        <v>305</v>
      </c>
      <c r="E12" t="s">
        <v>282</v>
      </c>
      <c r="F12">
        <v>4404</v>
      </c>
      <c r="G12">
        <v>549684</v>
      </c>
      <c r="H12">
        <v>519658</v>
      </c>
      <c r="I12">
        <v>407405</v>
      </c>
      <c r="J12">
        <v>825535</v>
      </c>
      <c r="K12">
        <v>446985</v>
      </c>
      <c r="L12">
        <v>663058</v>
      </c>
    </row>
    <row r="13" spans="1:12" x14ac:dyDescent="0.35">
      <c r="A13">
        <v>2024</v>
      </c>
      <c r="B13">
        <v>5</v>
      </c>
      <c r="C13" t="s">
        <v>68</v>
      </c>
      <c r="D13" t="s">
        <v>305</v>
      </c>
      <c r="E13" t="s">
        <v>280</v>
      </c>
      <c r="F13">
        <v>2078</v>
      </c>
      <c r="G13">
        <v>518829</v>
      </c>
      <c r="H13">
        <v>479941</v>
      </c>
      <c r="I13">
        <v>407405</v>
      </c>
      <c r="J13">
        <v>808035</v>
      </c>
      <c r="K13">
        <v>436985</v>
      </c>
      <c r="L13">
        <v>566224</v>
      </c>
    </row>
    <row r="14" spans="1:12" x14ac:dyDescent="0.35">
      <c r="A14">
        <v>2024</v>
      </c>
      <c r="B14">
        <v>5</v>
      </c>
      <c r="C14" t="s">
        <v>68</v>
      </c>
      <c r="D14" t="s">
        <v>305</v>
      </c>
      <c r="E14" t="s">
        <v>282</v>
      </c>
      <c r="F14">
        <v>4305</v>
      </c>
      <c r="G14">
        <v>550797</v>
      </c>
      <c r="H14">
        <v>519658</v>
      </c>
      <c r="I14">
        <v>407405</v>
      </c>
      <c r="J14">
        <v>825535</v>
      </c>
      <c r="K14">
        <v>454000</v>
      </c>
      <c r="L14">
        <v>663058</v>
      </c>
    </row>
    <row r="15" spans="1:12" x14ac:dyDescent="0.35">
      <c r="A15">
        <v>2024</v>
      </c>
      <c r="B15">
        <v>6</v>
      </c>
      <c r="C15" t="s">
        <v>69</v>
      </c>
      <c r="D15" t="s">
        <v>305</v>
      </c>
      <c r="E15" t="s">
        <v>280</v>
      </c>
      <c r="F15">
        <v>2069</v>
      </c>
      <c r="G15">
        <v>520591</v>
      </c>
      <c r="H15">
        <v>479941</v>
      </c>
      <c r="I15">
        <v>407405</v>
      </c>
      <c r="J15">
        <v>808035</v>
      </c>
      <c r="K15">
        <v>440594</v>
      </c>
      <c r="L15">
        <v>572798</v>
      </c>
    </row>
    <row r="16" spans="1:12" x14ac:dyDescent="0.35">
      <c r="A16">
        <v>2024</v>
      </c>
      <c r="B16">
        <v>6</v>
      </c>
      <c r="C16" t="s">
        <v>69</v>
      </c>
      <c r="D16" t="s">
        <v>305</v>
      </c>
      <c r="E16" t="s">
        <v>282</v>
      </c>
      <c r="F16">
        <v>4292</v>
      </c>
      <c r="G16">
        <v>552438</v>
      </c>
      <c r="H16">
        <v>519658</v>
      </c>
      <c r="I16">
        <v>407405</v>
      </c>
      <c r="J16">
        <v>825535</v>
      </c>
      <c r="K16">
        <v>453094</v>
      </c>
      <c r="L16">
        <v>665423</v>
      </c>
    </row>
    <row r="17" spans="1:12" x14ac:dyDescent="0.35">
      <c r="A17">
        <v>2024</v>
      </c>
      <c r="B17">
        <v>7</v>
      </c>
      <c r="C17" t="s">
        <v>70</v>
      </c>
      <c r="D17" t="s">
        <v>305</v>
      </c>
      <c r="E17" t="s">
        <v>280</v>
      </c>
      <c r="F17">
        <v>2072</v>
      </c>
      <c r="G17">
        <v>521083</v>
      </c>
      <c r="H17">
        <v>479941</v>
      </c>
      <c r="I17">
        <v>407405</v>
      </c>
      <c r="J17">
        <v>808035</v>
      </c>
      <c r="K17">
        <v>440594</v>
      </c>
      <c r="L17">
        <v>580201</v>
      </c>
    </row>
    <row r="18" spans="1:12" x14ac:dyDescent="0.35">
      <c r="A18">
        <v>2024</v>
      </c>
      <c r="B18">
        <v>7</v>
      </c>
      <c r="C18" t="s">
        <v>70</v>
      </c>
      <c r="D18" t="s">
        <v>305</v>
      </c>
      <c r="E18" t="s">
        <v>282</v>
      </c>
      <c r="F18">
        <v>4306</v>
      </c>
      <c r="G18">
        <v>552307</v>
      </c>
      <c r="H18">
        <v>519658</v>
      </c>
      <c r="I18">
        <v>407405</v>
      </c>
      <c r="J18">
        <v>825535</v>
      </c>
      <c r="K18">
        <v>453094</v>
      </c>
      <c r="L18">
        <v>665423</v>
      </c>
    </row>
    <row r="19" spans="1:12" x14ac:dyDescent="0.35">
      <c r="A19">
        <v>2024</v>
      </c>
      <c r="B19">
        <v>8</v>
      </c>
      <c r="C19" t="s">
        <v>71</v>
      </c>
      <c r="D19" t="s">
        <v>305</v>
      </c>
      <c r="E19" t="s">
        <v>280</v>
      </c>
      <c r="F19">
        <v>2065</v>
      </c>
      <c r="G19">
        <v>522899</v>
      </c>
      <c r="H19">
        <v>484941</v>
      </c>
      <c r="I19">
        <v>407405</v>
      </c>
      <c r="J19">
        <v>808035</v>
      </c>
      <c r="K19">
        <v>440594</v>
      </c>
      <c r="L19">
        <v>585201</v>
      </c>
    </row>
    <row r="20" spans="1:12" x14ac:dyDescent="0.35">
      <c r="A20">
        <v>2024</v>
      </c>
      <c r="B20">
        <v>8</v>
      </c>
      <c r="C20" t="s">
        <v>71</v>
      </c>
      <c r="D20" t="s">
        <v>305</v>
      </c>
      <c r="E20" t="s">
        <v>282</v>
      </c>
      <c r="F20">
        <v>4287</v>
      </c>
      <c r="G20">
        <v>554580</v>
      </c>
      <c r="H20">
        <v>519658</v>
      </c>
      <c r="I20">
        <v>407405</v>
      </c>
      <c r="J20">
        <v>825535</v>
      </c>
      <c r="K20">
        <v>453094</v>
      </c>
      <c r="L20">
        <v>668058</v>
      </c>
    </row>
    <row r="21" spans="1:12" x14ac:dyDescent="0.35">
      <c r="A21">
        <v>2024</v>
      </c>
      <c r="B21">
        <v>9</v>
      </c>
      <c r="C21" t="s">
        <v>72</v>
      </c>
      <c r="D21" t="s">
        <v>305</v>
      </c>
      <c r="E21" t="s">
        <v>280</v>
      </c>
      <c r="F21">
        <v>2068</v>
      </c>
      <c r="G21">
        <v>522847</v>
      </c>
      <c r="H21">
        <v>479941</v>
      </c>
      <c r="I21">
        <v>407405</v>
      </c>
      <c r="J21">
        <v>808035</v>
      </c>
      <c r="K21">
        <v>440594</v>
      </c>
      <c r="L21">
        <v>585201</v>
      </c>
    </row>
    <row r="22" spans="1:12" x14ac:dyDescent="0.35">
      <c r="A22">
        <v>2024</v>
      </c>
      <c r="B22">
        <v>9</v>
      </c>
      <c r="C22" t="s">
        <v>72</v>
      </c>
      <c r="D22" t="s">
        <v>305</v>
      </c>
      <c r="E22" t="s">
        <v>282</v>
      </c>
      <c r="F22">
        <v>4289</v>
      </c>
      <c r="G22">
        <v>554435</v>
      </c>
      <c r="H22">
        <v>522158</v>
      </c>
      <c r="I22">
        <v>407405</v>
      </c>
      <c r="J22">
        <v>825535</v>
      </c>
      <c r="K22">
        <v>453094</v>
      </c>
      <c r="L22">
        <v>668058</v>
      </c>
    </row>
    <row r="23" spans="1:12" x14ac:dyDescent="0.35">
      <c r="A23">
        <v>2024</v>
      </c>
      <c r="B23">
        <v>10</v>
      </c>
      <c r="C23" t="s">
        <v>73</v>
      </c>
      <c r="D23" t="s">
        <v>305</v>
      </c>
      <c r="E23" t="s">
        <v>280</v>
      </c>
      <c r="F23">
        <v>2098</v>
      </c>
      <c r="G23">
        <v>521655</v>
      </c>
      <c r="H23">
        <v>479941</v>
      </c>
      <c r="I23">
        <v>407405</v>
      </c>
      <c r="J23">
        <v>808035</v>
      </c>
      <c r="K23">
        <v>440594</v>
      </c>
      <c r="L23">
        <v>585201</v>
      </c>
    </row>
    <row r="24" spans="1:12" x14ac:dyDescent="0.35">
      <c r="A24">
        <v>2024</v>
      </c>
      <c r="B24">
        <v>10</v>
      </c>
      <c r="C24" t="s">
        <v>73</v>
      </c>
      <c r="D24" t="s">
        <v>305</v>
      </c>
      <c r="E24" t="s">
        <v>282</v>
      </c>
      <c r="F24">
        <v>4337</v>
      </c>
      <c r="G24">
        <v>553139</v>
      </c>
      <c r="H24">
        <v>519658</v>
      </c>
      <c r="I24">
        <v>407405</v>
      </c>
      <c r="J24">
        <v>825535</v>
      </c>
      <c r="K24">
        <v>451985</v>
      </c>
      <c r="L24">
        <v>668058</v>
      </c>
    </row>
    <row r="25" spans="1:12" x14ac:dyDescent="0.35">
      <c r="A25">
        <v>2024</v>
      </c>
      <c r="B25">
        <v>11</v>
      </c>
      <c r="C25" t="s">
        <v>74</v>
      </c>
      <c r="D25" t="s">
        <v>305</v>
      </c>
      <c r="E25" t="s">
        <v>280</v>
      </c>
      <c r="F25">
        <v>2081</v>
      </c>
      <c r="G25">
        <v>523010</v>
      </c>
      <c r="H25">
        <v>479941</v>
      </c>
      <c r="I25">
        <v>407405</v>
      </c>
      <c r="J25">
        <v>808035</v>
      </c>
      <c r="K25">
        <v>440594</v>
      </c>
      <c r="L25">
        <v>585201</v>
      </c>
    </row>
    <row r="26" spans="1:12" x14ac:dyDescent="0.35">
      <c r="A26">
        <v>2024</v>
      </c>
      <c r="B26">
        <v>11</v>
      </c>
      <c r="C26" t="s">
        <v>74</v>
      </c>
      <c r="D26" t="s">
        <v>305</v>
      </c>
      <c r="E26" t="s">
        <v>282</v>
      </c>
      <c r="F26">
        <v>4306</v>
      </c>
      <c r="G26">
        <v>554838</v>
      </c>
      <c r="H26">
        <v>522158</v>
      </c>
      <c r="I26">
        <v>407405</v>
      </c>
      <c r="J26">
        <v>825535</v>
      </c>
      <c r="K26">
        <v>453094</v>
      </c>
      <c r="L26">
        <v>668058</v>
      </c>
    </row>
    <row r="27" spans="1:12" x14ac:dyDescent="0.35">
      <c r="A27">
        <v>2024</v>
      </c>
      <c r="B27">
        <v>12</v>
      </c>
      <c r="C27" t="s">
        <v>75</v>
      </c>
      <c r="D27" t="s">
        <v>305</v>
      </c>
      <c r="E27" t="s">
        <v>280</v>
      </c>
      <c r="F27">
        <v>2085</v>
      </c>
      <c r="G27">
        <v>522768</v>
      </c>
      <c r="H27">
        <v>479941</v>
      </c>
      <c r="I27">
        <v>407405</v>
      </c>
      <c r="J27">
        <v>808035</v>
      </c>
      <c r="K27">
        <v>440594</v>
      </c>
      <c r="L27">
        <v>585201</v>
      </c>
    </row>
    <row r="28" spans="1:12" x14ac:dyDescent="0.35">
      <c r="A28">
        <v>2024</v>
      </c>
      <c r="B28">
        <v>12</v>
      </c>
      <c r="C28" t="s">
        <v>75</v>
      </c>
      <c r="D28" t="s">
        <v>305</v>
      </c>
      <c r="E28" t="s">
        <v>282</v>
      </c>
      <c r="F28">
        <v>4310</v>
      </c>
      <c r="G28">
        <v>554698</v>
      </c>
      <c r="H28">
        <v>522158</v>
      </c>
      <c r="I28">
        <v>407405</v>
      </c>
      <c r="J28">
        <v>825535</v>
      </c>
      <c r="K28">
        <v>453094</v>
      </c>
      <c r="L28">
        <v>668058</v>
      </c>
    </row>
    <row r="29" spans="1:12" x14ac:dyDescent="0.35">
      <c r="A29">
        <v>2025</v>
      </c>
      <c r="B29">
        <v>1</v>
      </c>
      <c r="C29" t="s">
        <v>42</v>
      </c>
      <c r="D29" t="s">
        <v>305</v>
      </c>
      <c r="E29" t="s">
        <v>280</v>
      </c>
      <c r="F29">
        <v>2060</v>
      </c>
      <c r="G29">
        <v>521589</v>
      </c>
      <c r="H29">
        <v>479941</v>
      </c>
      <c r="I29">
        <v>407405</v>
      </c>
      <c r="J29">
        <v>850677</v>
      </c>
      <c r="K29">
        <v>440594</v>
      </c>
      <c r="L29">
        <v>585201</v>
      </c>
    </row>
    <row r="30" spans="1:12" x14ac:dyDescent="0.35">
      <c r="A30">
        <v>2025</v>
      </c>
      <c r="B30">
        <v>1</v>
      </c>
      <c r="C30" t="s">
        <v>42</v>
      </c>
      <c r="D30" t="s">
        <v>305</v>
      </c>
      <c r="E30" t="s">
        <v>282</v>
      </c>
      <c r="F30">
        <v>4255</v>
      </c>
      <c r="G30">
        <v>553418</v>
      </c>
      <c r="H30">
        <v>519658</v>
      </c>
      <c r="I30">
        <v>407405</v>
      </c>
      <c r="J30">
        <v>840027</v>
      </c>
      <c r="K30">
        <v>453094</v>
      </c>
      <c r="L30">
        <v>665558</v>
      </c>
    </row>
    <row r="31" spans="1:12" x14ac:dyDescent="0.35">
      <c r="A31">
        <v>2025</v>
      </c>
      <c r="B31">
        <v>2</v>
      </c>
      <c r="C31" t="s">
        <v>63</v>
      </c>
      <c r="D31" t="s">
        <v>305</v>
      </c>
      <c r="E31" t="s">
        <v>280</v>
      </c>
      <c r="F31">
        <v>2126</v>
      </c>
      <c r="G31">
        <v>524864</v>
      </c>
      <c r="H31">
        <v>472441</v>
      </c>
      <c r="I31">
        <v>407405</v>
      </c>
      <c r="J31">
        <v>846740</v>
      </c>
      <c r="K31">
        <v>435594</v>
      </c>
      <c r="L31">
        <v>587798</v>
      </c>
    </row>
    <row r="32" spans="1:12" x14ac:dyDescent="0.35">
      <c r="A32">
        <v>2025</v>
      </c>
      <c r="B32">
        <v>2</v>
      </c>
      <c r="C32" t="s">
        <v>63</v>
      </c>
      <c r="D32" t="s">
        <v>305</v>
      </c>
      <c r="E32" t="s">
        <v>282</v>
      </c>
      <c r="F32">
        <v>4358</v>
      </c>
      <c r="G32">
        <v>558982</v>
      </c>
      <c r="H32">
        <v>527158</v>
      </c>
      <c r="I32">
        <v>407405</v>
      </c>
      <c r="J32">
        <v>856740</v>
      </c>
      <c r="K32">
        <v>448094</v>
      </c>
      <c r="L32">
        <v>678058</v>
      </c>
    </row>
    <row r="33" spans="1:12" x14ac:dyDescent="0.35">
      <c r="A33">
        <v>2025</v>
      </c>
      <c r="B33">
        <v>3</v>
      </c>
      <c r="C33" t="s">
        <v>66</v>
      </c>
      <c r="D33" t="s">
        <v>305</v>
      </c>
      <c r="E33" t="s">
        <v>280</v>
      </c>
      <c r="F33">
        <v>2163</v>
      </c>
      <c r="G33">
        <v>521653</v>
      </c>
      <c r="H33">
        <v>474941</v>
      </c>
      <c r="I33">
        <v>407405</v>
      </c>
      <c r="J33">
        <v>853004</v>
      </c>
      <c r="K33">
        <v>435594</v>
      </c>
      <c r="L33">
        <v>593722</v>
      </c>
    </row>
    <row r="34" spans="1:12" x14ac:dyDescent="0.35">
      <c r="A34">
        <v>2025</v>
      </c>
      <c r="B34">
        <v>3</v>
      </c>
      <c r="C34" t="s">
        <v>66</v>
      </c>
      <c r="D34" t="s">
        <v>305</v>
      </c>
      <c r="E34" t="s">
        <v>282</v>
      </c>
      <c r="F34">
        <v>4420</v>
      </c>
      <c r="G34">
        <v>555002</v>
      </c>
      <c r="H34">
        <v>529658</v>
      </c>
      <c r="I34">
        <v>407405</v>
      </c>
      <c r="J34">
        <v>858844</v>
      </c>
      <c r="K34">
        <v>445594</v>
      </c>
      <c r="L34">
        <v>668058</v>
      </c>
    </row>
    <row r="35" spans="1:12" x14ac:dyDescent="0.35">
      <c r="A35">
        <v>2025</v>
      </c>
      <c r="B35">
        <v>4</v>
      </c>
      <c r="C35" t="s">
        <v>67</v>
      </c>
      <c r="D35" t="s">
        <v>305</v>
      </c>
      <c r="E35" t="s">
        <v>280</v>
      </c>
      <c r="F35">
        <v>2126</v>
      </c>
      <c r="G35">
        <v>525022</v>
      </c>
      <c r="H35">
        <v>472441</v>
      </c>
      <c r="I35">
        <v>407405</v>
      </c>
      <c r="J35">
        <v>846740</v>
      </c>
      <c r="K35">
        <v>435594</v>
      </c>
      <c r="L35">
        <v>592701</v>
      </c>
    </row>
    <row r="36" spans="1:12" x14ac:dyDescent="0.35">
      <c r="A36">
        <v>2025</v>
      </c>
      <c r="B36">
        <v>4</v>
      </c>
      <c r="C36" t="s">
        <v>67</v>
      </c>
      <c r="D36" t="s">
        <v>305</v>
      </c>
      <c r="E36" t="s">
        <v>282</v>
      </c>
      <c r="F36">
        <v>4357</v>
      </c>
      <c r="G36">
        <v>559051</v>
      </c>
      <c r="H36">
        <v>527160</v>
      </c>
      <c r="I36">
        <v>407405</v>
      </c>
      <c r="J36">
        <v>856740</v>
      </c>
      <c r="K36">
        <v>448094</v>
      </c>
      <c r="L36">
        <v>678058</v>
      </c>
    </row>
    <row r="37" spans="1:12" x14ac:dyDescent="0.35">
      <c r="A37">
        <v>2025</v>
      </c>
      <c r="B37">
        <v>5</v>
      </c>
      <c r="C37" t="s">
        <v>68</v>
      </c>
      <c r="D37" t="s">
        <v>305</v>
      </c>
      <c r="E37" t="s">
        <v>280</v>
      </c>
      <c r="F37">
        <v>2185</v>
      </c>
      <c r="G37">
        <v>521106</v>
      </c>
      <c r="H37">
        <v>475594</v>
      </c>
      <c r="I37">
        <v>407405</v>
      </c>
      <c r="J37">
        <v>803035</v>
      </c>
      <c r="K37">
        <v>434485</v>
      </c>
      <c r="L37">
        <v>595672</v>
      </c>
    </row>
    <row r="38" spans="1:12" x14ac:dyDescent="0.35">
      <c r="A38">
        <v>2025</v>
      </c>
      <c r="B38">
        <v>5</v>
      </c>
      <c r="C38" t="s">
        <v>68</v>
      </c>
      <c r="D38" t="s">
        <v>305</v>
      </c>
      <c r="E38" t="s">
        <v>282</v>
      </c>
      <c r="F38">
        <v>4489</v>
      </c>
      <c r="G38">
        <v>554843</v>
      </c>
      <c r="H38">
        <v>527158</v>
      </c>
      <c r="I38">
        <v>407405</v>
      </c>
      <c r="J38">
        <v>856885</v>
      </c>
      <c r="K38">
        <v>444485</v>
      </c>
      <c r="L38">
        <v>668058</v>
      </c>
    </row>
    <row r="39" spans="1:12" x14ac:dyDescent="0.35">
      <c r="A39">
        <v>2025</v>
      </c>
      <c r="B39">
        <v>6</v>
      </c>
      <c r="C39" t="s">
        <v>69</v>
      </c>
      <c r="D39" t="s">
        <v>305</v>
      </c>
      <c r="E39" t="s">
        <v>280</v>
      </c>
      <c r="F39">
        <v>2195</v>
      </c>
      <c r="G39">
        <v>523840</v>
      </c>
      <c r="H39">
        <v>482834</v>
      </c>
      <c r="I39">
        <v>407405</v>
      </c>
      <c r="J39">
        <v>803035</v>
      </c>
      <c r="K39">
        <v>435594</v>
      </c>
      <c r="L39">
        <v>600201</v>
      </c>
    </row>
    <row r="40" spans="1:12" x14ac:dyDescent="0.35">
      <c r="A40">
        <v>2025</v>
      </c>
      <c r="B40">
        <v>6</v>
      </c>
      <c r="C40" t="s">
        <v>69</v>
      </c>
      <c r="D40" t="s">
        <v>305</v>
      </c>
      <c r="E40" t="s">
        <v>282</v>
      </c>
      <c r="F40">
        <v>4493</v>
      </c>
      <c r="G40">
        <v>557089</v>
      </c>
      <c r="H40">
        <v>527158</v>
      </c>
      <c r="I40">
        <v>407405</v>
      </c>
      <c r="J40">
        <v>825535</v>
      </c>
      <c r="K40">
        <v>445594</v>
      </c>
      <c r="L40">
        <v>670558</v>
      </c>
    </row>
    <row r="41" spans="1:12" x14ac:dyDescent="0.35">
      <c r="A41">
        <v>2025</v>
      </c>
      <c r="B41">
        <v>7</v>
      </c>
      <c r="C41" t="s">
        <v>70</v>
      </c>
      <c r="D41" t="s">
        <v>305</v>
      </c>
      <c r="E41" t="s">
        <v>280</v>
      </c>
      <c r="F41">
        <v>2191</v>
      </c>
      <c r="G41">
        <v>525263</v>
      </c>
      <c r="H41">
        <v>487441</v>
      </c>
      <c r="I41">
        <v>407405</v>
      </c>
      <c r="J41">
        <v>803035</v>
      </c>
      <c r="K41">
        <v>435594</v>
      </c>
      <c r="L41">
        <v>595201</v>
      </c>
    </row>
    <row r="42" spans="1:12" x14ac:dyDescent="0.35">
      <c r="A42">
        <v>2025</v>
      </c>
      <c r="B42">
        <v>7</v>
      </c>
      <c r="C42" t="s">
        <v>70</v>
      </c>
      <c r="D42" t="s">
        <v>305</v>
      </c>
      <c r="E42" t="s">
        <v>282</v>
      </c>
      <c r="F42">
        <v>4477</v>
      </c>
      <c r="G42">
        <v>559132</v>
      </c>
      <c r="H42">
        <v>527158</v>
      </c>
      <c r="I42">
        <v>407405</v>
      </c>
      <c r="J42">
        <v>825535</v>
      </c>
      <c r="K42">
        <v>448094</v>
      </c>
      <c r="L42">
        <v>678058</v>
      </c>
    </row>
    <row r="43" spans="1:12" x14ac:dyDescent="0.35">
      <c r="A43">
        <v>2025</v>
      </c>
      <c r="B43">
        <v>8</v>
      </c>
      <c r="C43" t="s">
        <v>71</v>
      </c>
      <c r="D43" t="s">
        <v>305</v>
      </c>
      <c r="E43" t="s">
        <v>280</v>
      </c>
      <c r="F43">
        <v>2190</v>
      </c>
      <c r="G43">
        <v>526574</v>
      </c>
      <c r="H43">
        <v>482441</v>
      </c>
      <c r="I43">
        <v>407405</v>
      </c>
      <c r="J43">
        <v>803035</v>
      </c>
      <c r="K43">
        <v>440594</v>
      </c>
      <c r="L43">
        <v>595201</v>
      </c>
    </row>
    <row r="44" spans="1:12" x14ac:dyDescent="0.35">
      <c r="A44">
        <v>2025</v>
      </c>
      <c r="B44">
        <v>8</v>
      </c>
      <c r="C44" t="s">
        <v>71</v>
      </c>
      <c r="D44" t="s">
        <v>305</v>
      </c>
      <c r="E44" t="s">
        <v>282</v>
      </c>
      <c r="F44">
        <v>4477</v>
      </c>
      <c r="G44">
        <v>560808</v>
      </c>
      <c r="H44">
        <v>525163</v>
      </c>
      <c r="I44">
        <v>407405</v>
      </c>
      <c r="J44">
        <v>858717</v>
      </c>
      <c r="K44">
        <v>454428</v>
      </c>
      <c r="L44">
        <v>683564</v>
      </c>
    </row>
    <row r="45" spans="1:12" x14ac:dyDescent="0.35">
      <c r="A45">
        <v>2025</v>
      </c>
      <c r="B45">
        <v>9</v>
      </c>
      <c r="C45" t="s">
        <v>72</v>
      </c>
      <c r="D45" t="s">
        <v>305</v>
      </c>
      <c r="E45" t="s">
        <v>280</v>
      </c>
      <c r="F45">
        <v>2193</v>
      </c>
      <c r="G45">
        <v>525924</v>
      </c>
      <c r="H45">
        <v>482441</v>
      </c>
      <c r="I45">
        <v>407405</v>
      </c>
      <c r="J45">
        <v>803035</v>
      </c>
      <c r="K45">
        <v>439485</v>
      </c>
      <c r="L45">
        <v>592701</v>
      </c>
    </row>
    <row r="46" spans="1:12" x14ac:dyDescent="0.35">
      <c r="A46">
        <v>2025</v>
      </c>
      <c r="B46">
        <v>9</v>
      </c>
      <c r="C46" t="s">
        <v>72</v>
      </c>
      <c r="D46" t="s">
        <v>305</v>
      </c>
      <c r="E46" t="s">
        <v>282</v>
      </c>
      <c r="F46">
        <v>4475</v>
      </c>
      <c r="G46">
        <v>560671</v>
      </c>
      <c r="H46">
        <v>527158</v>
      </c>
      <c r="I46">
        <v>407405</v>
      </c>
      <c r="J46">
        <v>825535</v>
      </c>
      <c r="K46">
        <v>451985</v>
      </c>
      <c r="L46">
        <v>685558</v>
      </c>
    </row>
    <row r="47" spans="1:12" x14ac:dyDescent="0.35">
      <c r="A47">
        <v>2025</v>
      </c>
      <c r="B47">
        <v>10</v>
      </c>
      <c r="C47" t="s">
        <v>73</v>
      </c>
      <c r="D47" t="s">
        <v>305</v>
      </c>
      <c r="E47" t="s">
        <v>280</v>
      </c>
      <c r="F47">
        <v>2184</v>
      </c>
      <c r="G47">
        <v>526807</v>
      </c>
      <c r="H47">
        <v>479941</v>
      </c>
      <c r="I47">
        <v>407405</v>
      </c>
      <c r="J47">
        <v>803035</v>
      </c>
      <c r="K47">
        <v>440594</v>
      </c>
      <c r="L47">
        <v>595201</v>
      </c>
    </row>
    <row r="48" spans="1:12" x14ac:dyDescent="0.35">
      <c r="A48">
        <v>2025</v>
      </c>
      <c r="B48">
        <v>10</v>
      </c>
      <c r="C48" t="s">
        <v>73</v>
      </c>
      <c r="D48" t="s">
        <v>305</v>
      </c>
      <c r="E48" t="s">
        <v>282</v>
      </c>
      <c r="F48">
        <v>4478</v>
      </c>
      <c r="G48">
        <v>560794</v>
      </c>
      <c r="H48">
        <v>525163</v>
      </c>
      <c r="I48">
        <v>407405</v>
      </c>
      <c r="J48">
        <v>825535</v>
      </c>
      <c r="K48">
        <v>453094</v>
      </c>
      <c r="L48">
        <v>686064</v>
      </c>
    </row>
    <row r="49" spans="1:12" x14ac:dyDescent="0.35">
      <c r="A49">
        <v>2025</v>
      </c>
      <c r="B49">
        <v>11</v>
      </c>
      <c r="C49" t="s">
        <v>74</v>
      </c>
      <c r="D49" t="s">
        <v>305</v>
      </c>
      <c r="E49" t="s">
        <v>280</v>
      </c>
      <c r="F49">
        <v>2183</v>
      </c>
      <c r="G49">
        <v>526732</v>
      </c>
      <c r="H49">
        <v>479941</v>
      </c>
      <c r="I49">
        <v>407405</v>
      </c>
      <c r="J49">
        <v>803035</v>
      </c>
      <c r="K49">
        <v>440594</v>
      </c>
      <c r="L49">
        <v>592701</v>
      </c>
    </row>
    <row r="50" spans="1:12" x14ac:dyDescent="0.35">
      <c r="A50">
        <v>2025</v>
      </c>
      <c r="B50">
        <v>11</v>
      </c>
      <c r="C50" t="s">
        <v>74</v>
      </c>
      <c r="D50" t="s">
        <v>305</v>
      </c>
      <c r="E50" t="s">
        <v>282</v>
      </c>
      <c r="F50">
        <v>4481</v>
      </c>
      <c r="G50">
        <v>561042</v>
      </c>
      <c r="H50">
        <v>525163</v>
      </c>
      <c r="I50">
        <v>407405</v>
      </c>
      <c r="J50">
        <v>825535</v>
      </c>
      <c r="K50">
        <v>453094</v>
      </c>
      <c r="L50">
        <v>686064</v>
      </c>
    </row>
    <row r="51" spans="1:12" x14ac:dyDescent="0.35">
      <c r="A51">
        <v>2025</v>
      </c>
      <c r="B51">
        <v>12</v>
      </c>
      <c r="C51" t="s">
        <v>75</v>
      </c>
      <c r="D51" t="s">
        <v>305</v>
      </c>
      <c r="E51" t="s">
        <v>280</v>
      </c>
      <c r="F51">
        <v>2179</v>
      </c>
      <c r="G51">
        <v>527027</v>
      </c>
      <c r="H51">
        <v>482441</v>
      </c>
      <c r="I51">
        <v>407405</v>
      </c>
      <c r="J51">
        <v>803035</v>
      </c>
      <c r="K51">
        <v>440594</v>
      </c>
      <c r="L51">
        <v>593722</v>
      </c>
    </row>
    <row r="52" spans="1:12" x14ac:dyDescent="0.35">
      <c r="A52">
        <v>2025</v>
      </c>
      <c r="B52">
        <v>12</v>
      </c>
      <c r="C52" t="s">
        <v>75</v>
      </c>
      <c r="D52" t="s">
        <v>305</v>
      </c>
      <c r="E52" t="s">
        <v>282</v>
      </c>
      <c r="F52">
        <v>4469</v>
      </c>
      <c r="G52">
        <v>561639</v>
      </c>
      <c r="H52">
        <v>525163</v>
      </c>
      <c r="I52">
        <v>407405</v>
      </c>
      <c r="J52">
        <v>825535</v>
      </c>
      <c r="K52">
        <v>453094</v>
      </c>
      <c r="L52">
        <v>686064</v>
      </c>
    </row>
  </sheetData>
  <mergeCells count="1">
    <mergeCell ref="A1:L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307</v>
      </c>
      <c r="E5" t="s">
        <v>280</v>
      </c>
      <c r="F5">
        <v>51037</v>
      </c>
      <c r="G5">
        <v>425619</v>
      </c>
      <c r="H5">
        <v>407540</v>
      </c>
      <c r="I5">
        <v>266776</v>
      </c>
      <c r="J5">
        <v>988701</v>
      </c>
      <c r="K5">
        <v>326258</v>
      </c>
      <c r="L5">
        <v>481739</v>
      </c>
    </row>
    <row r="6" spans="1:12" x14ac:dyDescent="0.35">
      <c r="A6">
        <v>2024</v>
      </c>
      <c r="B6">
        <v>1</v>
      </c>
      <c r="C6" t="s">
        <v>42</v>
      </c>
      <c r="D6" t="s">
        <v>307</v>
      </c>
      <c r="E6" t="s">
        <v>282</v>
      </c>
      <c r="F6">
        <v>95657</v>
      </c>
      <c r="G6">
        <v>497730</v>
      </c>
      <c r="H6">
        <v>470544</v>
      </c>
      <c r="I6">
        <v>266776</v>
      </c>
      <c r="J6">
        <v>1012078</v>
      </c>
      <c r="K6">
        <v>402404</v>
      </c>
      <c r="L6">
        <v>572146</v>
      </c>
    </row>
    <row r="7" spans="1:12" x14ac:dyDescent="0.35">
      <c r="A7">
        <v>2024</v>
      </c>
      <c r="B7">
        <v>2</v>
      </c>
      <c r="C7" t="s">
        <v>63</v>
      </c>
      <c r="D7" t="s">
        <v>307</v>
      </c>
      <c r="E7" t="s">
        <v>280</v>
      </c>
      <c r="F7">
        <v>51219</v>
      </c>
      <c r="G7">
        <v>431186</v>
      </c>
      <c r="H7">
        <v>410040</v>
      </c>
      <c r="I7">
        <v>266776</v>
      </c>
      <c r="J7">
        <v>988701</v>
      </c>
      <c r="K7">
        <v>326678</v>
      </c>
      <c r="L7">
        <v>490567</v>
      </c>
    </row>
    <row r="8" spans="1:12" x14ac:dyDescent="0.35">
      <c r="A8">
        <v>2024</v>
      </c>
      <c r="B8">
        <v>2</v>
      </c>
      <c r="C8" t="s">
        <v>63</v>
      </c>
      <c r="D8" t="s">
        <v>307</v>
      </c>
      <c r="E8" t="s">
        <v>282</v>
      </c>
      <c r="F8">
        <v>95811</v>
      </c>
      <c r="G8">
        <v>504385</v>
      </c>
      <c r="H8">
        <v>476604</v>
      </c>
      <c r="I8">
        <v>266776</v>
      </c>
      <c r="J8">
        <v>1056135</v>
      </c>
      <c r="K8">
        <v>405040</v>
      </c>
      <c r="L8">
        <v>578815</v>
      </c>
    </row>
    <row r="9" spans="1:12" x14ac:dyDescent="0.35">
      <c r="A9">
        <v>2024</v>
      </c>
      <c r="B9">
        <v>3</v>
      </c>
      <c r="C9" t="s">
        <v>66</v>
      </c>
      <c r="D9" t="s">
        <v>307</v>
      </c>
      <c r="E9" t="s">
        <v>280</v>
      </c>
      <c r="F9">
        <v>51795</v>
      </c>
      <c r="G9">
        <v>428902</v>
      </c>
      <c r="H9">
        <v>408883</v>
      </c>
      <c r="I9">
        <v>266776</v>
      </c>
      <c r="J9">
        <v>988701</v>
      </c>
      <c r="K9">
        <v>326676</v>
      </c>
      <c r="L9">
        <v>486739</v>
      </c>
    </row>
    <row r="10" spans="1:12" x14ac:dyDescent="0.35">
      <c r="A10">
        <v>2024</v>
      </c>
      <c r="B10">
        <v>3</v>
      </c>
      <c r="C10" t="s">
        <v>66</v>
      </c>
      <c r="D10" t="s">
        <v>307</v>
      </c>
      <c r="E10" t="s">
        <v>282</v>
      </c>
      <c r="F10">
        <v>96618</v>
      </c>
      <c r="G10">
        <v>501348</v>
      </c>
      <c r="H10">
        <v>474523</v>
      </c>
      <c r="I10">
        <v>266776</v>
      </c>
      <c r="J10">
        <v>1044291</v>
      </c>
      <c r="K10">
        <v>404904</v>
      </c>
      <c r="L10">
        <v>575228</v>
      </c>
    </row>
    <row r="11" spans="1:12" x14ac:dyDescent="0.35">
      <c r="A11">
        <v>2024</v>
      </c>
      <c r="B11">
        <v>4</v>
      </c>
      <c r="C11" t="s">
        <v>67</v>
      </c>
      <c r="D11" t="s">
        <v>307</v>
      </c>
      <c r="E11" t="s">
        <v>280</v>
      </c>
      <c r="F11">
        <v>52179</v>
      </c>
      <c r="G11">
        <v>427230</v>
      </c>
      <c r="H11">
        <v>407540</v>
      </c>
      <c r="I11">
        <v>266776</v>
      </c>
      <c r="J11">
        <v>1013846</v>
      </c>
      <c r="K11">
        <v>328155</v>
      </c>
      <c r="L11">
        <v>481739</v>
      </c>
    </row>
    <row r="12" spans="1:12" x14ac:dyDescent="0.35">
      <c r="A12">
        <v>2024</v>
      </c>
      <c r="B12">
        <v>4</v>
      </c>
      <c r="C12" t="s">
        <v>67</v>
      </c>
      <c r="D12" t="s">
        <v>307</v>
      </c>
      <c r="E12" t="s">
        <v>282</v>
      </c>
      <c r="F12">
        <v>97141</v>
      </c>
      <c r="G12">
        <v>499716</v>
      </c>
      <c r="H12">
        <v>471604</v>
      </c>
      <c r="I12">
        <v>266776</v>
      </c>
      <c r="J12">
        <v>1015438</v>
      </c>
      <c r="K12">
        <v>402540</v>
      </c>
      <c r="L12">
        <v>574967</v>
      </c>
    </row>
    <row r="13" spans="1:12" x14ac:dyDescent="0.35">
      <c r="A13">
        <v>2024</v>
      </c>
      <c r="B13">
        <v>5</v>
      </c>
      <c r="C13" t="s">
        <v>68</v>
      </c>
      <c r="D13" t="s">
        <v>307</v>
      </c>
      <c r="E13" t="s">
        <v>280</v>
      </c>
      <c r="F13">
        <v>52263</v>
      </c>
      <c r="G13">
        <v>426789</v>
      </c>
      <c r="H13">
        <v>407540</v>
      </c>
      <c r="I13">
        <v>266776</v>
      </c>
      <c r="J13">
        <v>1013846</v>
      </c>
      <c r="K13">
        <v>328389</v>
      </c>
      <c r="L13">
        <v>481739</v>
      </c>
    </row>
    <row r="14" spans="1:12" x14ac:dyDescent="0.35">
      <c r="A14">
        <v>2024</v>
      </c>
      <c r="B14">
        <v>5</v>
      </c>
      <c r="C14" t="s">
        <v>68</v>
      </c>
      <c r="D14" t="s">
        <v>307</v>
      </c>
      <c r="E14" t="s">
        <v>282</v>
      </c>
      <c r="F14">
        <v>97168</v>
      </c>
      <c r="G14">
        <v>498966</v>
      </c>
      <c r="H14">
        <v>469338</v>
      </c>
      <c r="I14">
        <v>266776</v>
      </c>
      <c r="J14">
        <v>1036346</v>
      </c>
      <c r="K14">
        <v>402404</v>
      </c>
      <c r="L14">
        <v>572749</v>
      </c>
    </row>
    <row r="15" spans="1:12" x14ac:dyDescent="0.35">
      <c r="A15">
        <v>2024</v>
      </c>
      <c r="B15">
        <v>6</v>
      </c>
      <c r="C15" t="s">
        <v>69</v>
      </c>
      <c r="D15" t="s">
        <v>307</v>
      </c>
      <c r="E15" t="s">
        <v>280</v>
      </c>
      <c r="F15">
        <v>52459</v>
      </c>
      <c r="G15">
        <v>426946</v>
      </c>
      <c r="H15">
        <v>407540</v>
      </c>
      <c r="I15">
        <v>266776</v>
      </c>
      <c r="J15">
        <v>1012428</v>
      </c>
      <c r="K15">
        <v>328389</v>
      </c>
      <c r="L15">
        <v>481604</v>
      </c>
    </row>
    <row r="16" spans="1:12" x14ac:dyDescent="0.35">
      <c r="A16">
        <v>2024</v>
      </c>
      <c r="B16">
        <v>6</v>
      </c>
      <c r="C16" t="s">
        <v>69</v>
      </c>
      <c r="D16" t="s">
        <v>307</v>
      </c>
      <c r="E16" t="s">
        <v>282</v>
      </c>
      <c r="F16">
        <v>97323</v>
      </c>
      <c r="G16">
        <v>499161</v>
      </c>
      <c r="H16">
        <v>469338</v>
      </c>
      <c r="I16">
        <v>266776</v>
      </c>
      <c r="J16">
        <v>1044535</v>
      </c>
      <c r="K16">
        <v>403883</v>
      </c>
      <c r="L16">
        <v>573722</v>
      </c>
    </row>
    <row r="17" spans="1:12" x14ac:dyDescent="0.35">
      <c r="A17">
        <v>2024</v>
      </c>
      <c r="B17">
        <v>7</v>
      </c>
      <c r="C17" t="s">
        <v>70</v>
      </c>
      <c r="D17" t="s">
        <v>307</v>
      </c>
      <c r="E17" t="s">
        <v>280</v>
      </c>
      <c r="F17">
        <v>53056</v>
      </c>
      <c r="G17">
        <v>427285</v>
      </c>
      <c r="H17">
        <v>407540</v>
      </c>
      <c r="I17">
        <v>266776</v>
      </c>
      <c r="J17">
        <v>1012428</v>
      </c>
      <c r="K17">
        <v>329681</v>
      </c>
      <c r="L17">
        <v>481050</v>
      </c>
    </row>
    <row r="18" spans="1:12" x14ac:dyDescent="0.35">
      <c r="A18">
        <v>2024</v>
      </c>
      <c r="B18">
        <v>7</v>
      </c>
      <c r="C18" t="s">
        <v>70</v>
      </c>
      <c r="D18" t="s">
        <v>307</v>
      </c>
      <c r="E18" t="s">
        <v>282</v>
      </c>
      <c r="F18">
        <v>98402</v>
      </c>
      <c r="G18">
        <v>499126</v>
      </c>
      <c r="H18">
        <v>467023</v>
      </c>
      <c r="I18">
        <v>266776</v>
      </c>
      <c r="J18">
        <v>1070224</v>
      </c>
      <c r="K18">
        <v>402540</v>
      </c>
      <c r="L18">
        <v>574646</v>
      </c>
    </row>
    <row r="19" spans="1:12" x14ac:dyDescent="0.35">
      <c r="A19">
        <v>2024</v>
      </c>
      <c r="B19">
        <v>8</v>
      </c>
      <c r="C19" t="s">
        <v>71</v>
      </c>
      <c r="D19" t="s">
        <v>307</v>
      </c>
      <c r="E19" t="s">
        <v>280</v>
      </c>
      <c r="F19">
        <v>53554</v>
      </c>
      <c r="G19">
        <v>429516</v>
      </c>
      <c r="H19">
        <v>407540</v>
      </c>
      <c r="I19">
        <v>266776</v>
      </c>
      <c r="J19">
        <v>1065301</v>
      </c>
      <c r="K19">
        <v>334681</v>
      </c>
      <c r="L19">
        <v>489055</v>
      </c>
    </row>
    <row r="20" spans="1:12" x14ac:dyDescent="0.35">
      <c r="A20">
        <v>2024</v>
      </c>
      <c r="B20">
        <v>8</v>
      </c>
      <c r="C20" t="s">
        <v>71</v>
      </c>
      <c r="D20" t="s">
        <v>307</v>
      </c>
      <c r="E20" t="s">
        <v>282</v>
      </c>
      <c r="F20">
        <v>98945</v>
      </c>
      <c r="G20">
        <v>500400</v>
      </c>
      <c r="H20">
        <v>471604</v>
      </c>
      <c r="I20">
        <v>266776</v>
      </c>
      <c r="J20">
        <v>1012078</v>
      </c>
      <c r="K20">
        <v>402404</v>
      </c>
      <c r="L20">
        <v>575015</v>
      </c>
    </row>
    <row r="21" spans="1:12" x14ac:dyDescent="0.35">
      <c r="A21">
        <v>2024</v>
      </c>
      <c r="B21">
        <v>9</v>
      </c>
      <c r="C21" t="s">
        <v>72</v>
      </c>
      <c r="D21" t="s">
        <v>307</v>
      </c>
      <c r="E21" t="s">
        <v>280</v>
      </c>
      <c r="F21">
        <v>53960</v>
      </c>
      <c r="G21">
        <v>426829</v>
      </c>
      <c r="H21">
        <v>407540</v>
      </c>
      <c r="I21">
        <v>266776</v>
      </c>
      <c r="J21">
        <v>988703</v>
      </c>
      <c r="K21">
        <v>329681</v>
      </c>
      <c r="L21">
        <v>479338</v>
      </c>
    </row>
    <row r="22" spans="1:12" x14ac:dyDescent="0.35">
      <c r="A22">
        <v>2024</v>
      </c>
      <c r="B22">
        <v>9</v>
      </c>
      <c r="C22" t="s">
        <v>72</v>
      </c>
      <c r="D22" t="s">
        <v>307</v>
      </c>
      <c r="E22" t="s">
        <v>282</v>
      </c>
      <c r="F22">
        <v>99447</v>
      </c>
      <c r="G22">
        <v>499040</v>
      </c>
      <c r="H22">
        <v>467023</v>
      </c>
      <c r="I22">
        <v>266776</v>
      </c>
      <c r="J22">
        <v>1012078</v>
      </c>
      <c r="K22">
        <v>402404</v>
      </c>
      <c r="L22">
        <v>574646</v>
      </c>
    </row>
    <row r="23" spans="1:12" x14ac:dyDescent="0.35">
      <c r="A23">
        <v>2024</v>
      </c>
      <c r="B23">
        <v>10</v>
      </c>
      <c r="C23" t="s">
        <v>73</v>
      </c>
      <c r="D23" t="s">
        <v>307</v>
      </c>
      <c r="E23" t="s">
        <v>280</v>
      </c>
      <c r="F23">
        <v>55608</v>
      </c>
      <c r="G23">
        <v>424742</v>
      </c>
      <c r="H23">
        <v>409904</v>
      </c>
      <c r="I23">
        <v>266776</v>
      </c>
      <c r="J23">
        <v>988703</v>
      </c>
      <c r="K23">
        <v>323758</v>
      </c>
      <c r="L23">
        <v>478550</v>
      </c>
    </row>
    <row r="24" spans="1:12" x14ac:dyDescent="0.35">
      <c r="A24">
        <v>2024</v>
      </c>
      <c r="B24">
        <v>10</v>
      </c>
      <c r="C24" t="s">
        <v>73</v>
      </c>
      <c r="D24" t="s">
        <v>307</v>
      </c>
      <c r="E24" t="s">
        <v>282</v>
      </c>
      <c r="F24">
        <v>100242</v>
      </c>
      <c r="G24">
        <v>498784</v>
      </c>
      <c r="H24">
        <v>467073</v>
      </c>
      <c r="I24">
        <v>266776</v>
      </c>
      <c r="J24">
        <v>1012078</v>
      </c>
      <c r="K24">
        <v>405040</v>
      </c>
      <c r="L24">
        <v>573722</v>
      </c>
    </row>
    <row r="25" spans="1:12" x14ac:dyDescent="0.35">
      <c r="A25">
        <v>2024</v>
      </c>
      <c r="B25">
        <v>11</v>
      </c>
      <c r="C25" t="s">
        <v>74</v>
      </c>
      <c r="D25" t="s">
        <v>307</v>
      </c>
      <c r="E25" t="s">
        <v>280</v>
      </c>
      <c r="F25">
        <v>56947</v>
      </c>
      <c r="G25">
        <v>422203</v>
      </c>
      <c r="H25">
        <v>410040</v>
      </c>
      <c r="I25">
        <v>266776</v>
      </c>
      <c r="J25">
        <v>988703</v>
      </c>
      <c r="K25">
        <v>318672</v>
      </c>
      <c r="L25">
        <v>476739</v>
      </c>
    </row>
    <row r="26" spans="1:12" x14ac:dyDescent="0.35">
      <c r="A26">
        <v>2024</v>
      </c>
      <c r="B26">
        <v>11</v>
      </c>
      <c r="C26" t="s">
        <v>74</v>
      </c>
      <c r="D26" t="s">
        <v>307</v>
      </c>
      <c r="E26" t="s">
        <v>282</v>
      </c>
      <c r="F26">
        <v>101084</v>
      </c>
      <c r="G26">
        <v>498303</v>
      </c>
      <c r="H26">
        <v>470544</v>
      </c>
      <c r="I26">
        <v>266776</v>
      </c>
      <c r="J26">
        <v>1066667</v>
      </c>
      <c r="K26">
        <v>405926</v>
      </c>
      <c r="L26">
        <v>572515</v>
      </c>
    </row>
    <row r="27" spans="1:12" x14ac:dyDescent="0.35">
      <c r="A27">
        <v>2024</v>
      </c>
      <c r="B27">
        <v>12</v>
      </c>
      <c r="C27" t="s">
        <v>75</v>
      </c>
      <c r="D27" t="s">
        <v>307</v>
      </c>
      <c r="E27" t="s">
        <v>280</v>
      </c>
      <c r="F27">
        <v>57016</v>
      </c>
      <c r="G27">
        <v>421943</v>
      </c>
      <c r="H27">
        <v>410040</v>
      </c>
      <c r="I27">
        <v>266776</v>
      </c>
      <c r="J27">
        <v>1057997</v>
      </c>
      <c r="K27">
        <v>316725</v>
      </c>
      <c r="L27">
        <v>476604</v>
      </c>
    </row>
    <row r="28" spans="1:12" x14ac:dyDescent="0.35">
      <c r="A28">
        <v>2024</v>
      </c>
      <c r="B28">
        <v>12</v>
      </c>
      <c r="C28" t="s">
        <v>75</v>
      </c>
      <c r="D28" t="s">
        <v>307</v>
      </c>
      <c r="E28" t="s">
        <v>282</v>
      </c>
      <c r="F28">
        <v>101115</v>
      </c>
      <c r="G28">
        <v>498045</v>
      </c>
      <c r="H28">
        <v>470544</v>
      </c>
      <c r="I28">
        <v>266776</v>
      </c>
      <c r="J28">
        <v>1012078</v>
      </c>
      <c r="K28">
        <v>405926</v>
      </c>
      <c r="L28">
        <v>572467</v>
      </c>
    </row>
    <row r="29" spans="1:12" x14ac:dyDescent="0.35">
      <c r="A29">
        <v>2025</v>
      </c>
      <c r="B29">
        <v>1</v>
      </c>
      <c r="C29" t="s">
        <v>42</v>
      </c>
      <c r="D29" t="s">
        <v>307</v>
      </c>
      <c r="E29" t="s">
        <v>280</v>
      </c>
      <c r="F29">
        <v>56642</v>
      </c>
      <c r="G29">
        <v>424293</v>
      </c>
      <c r="H29">
        <v>415040</v>
      </c>
      <c r="I29">
        <v>266776</v>
      </c>
      <c r="J29">
        <v>1066576</v>
      </c>
      <c r="K29">
        <v>316969</v>
      </c>
      <c r="L29">
        <v>481605</v>
      </c>
    </row>
    <row r="30" spans="1:12" x14ac:dyDescent="0.35">
      <c r="A30">
        <v>2025</v>
      </c>
      <c r="B30">
        <v>1</v>
      </c>
      <c r="C30" t="s">
        <v>42</v>
      </c>
      <c r="D30" t="s">
        <v>307</v>
      </c>
      <c r="E30" t="s">
        <v>282</v>
      </c>
      <c r="F30">
        <v>99192</v>
      </c>
      <c r="G30">
        <v>499450</v>
      </c>
      <c r="H30">
        <v>474338</v>
      </c>
      <c r="I30">
        <v>266776</v>
      </c>
      <c r="J30">
        <v>1069076</v>
      </c>
      <c r="K30">
        <v>411383</v>
      </c>
      <c r="L30">
        <v>574646</v>
      </c>
    </row>
    <row r="31" spans="1:12" x14ac:dyDescent="0.35">
      <c r="A31">
        <v>2025</v>
      </c>
      <c r="B31">
        <v>2</v>
      </c>
      <c r="C31" t="s">
        <v>63</v>
      </c>
      <c r="D31" t="s">
        <v>307</v>
      </c>
      <c r="E31" t="s">
        <v>280</v>
      </c>
      <c r="F31">
        <v>57124</v>
      </c>
      <c r="G31">
        <v>425012</v>
      </c>
      <c r="H31">
        <v>411936</v>
      </c>
      <c r="I31">
        <v>266776</v>
      </c>
      <c r="J31">
        <v>1062736</v>
      </c>
      <c r="K31">
        <v>316258</v>
      </c>
      <c r="L31">
        <v>484239</v>
      </c>
    </row>
    <row r="32" spans="1:12" x14ac:dyDescent="0.35">
      <c r="A32">
        <v>2025</v>
      </c>
      <c r="B32">
        <v>2</v>
      </c>
      <c r="C32" t="s">
        <v>63</v>
      </c>
      <c r="D32" t="s">
        <v>307</v>
      </c>
      <c r="E32" t="s">
        <v>282</v>
      </c>
      <c r="F32">
        <v>99630</v>
      </c>
      <c r="G32">
        <v>503352</v>
      </c>
      <c r="H32">
        <v>474523</v>
      </c>
      <c r="I32">
        <v>266776</v>
      </c>
      <c r="J32">
        <v>1072736</v>
      </c>
      <c r="K32">
        <v>405926</v>
      </c>
      <c r="L32">
        <v>585521</v>
      </c>
    </row>
    <row r="33" spans="1:12" x14ac:dyDescent="0.35">
      <c r="A33">
        <v>2025</v>
      </c>
      <c r="B33">
        <v>3</v>
      </c>
      <c r="C33" t="s">
        <v>66</v>
      </c>
      <c r="D33" t="s">
        <v>307</v>
      </c>
      <c r="E33" t="s">
        <v>280</v>
      </c>
      <c r="F33">
        <v>57923</v>
      </c>
      <c r="G33">
        <v>422677</v>
      </c>
      <c r="H33">
        <v>411383</v>
      </c>
      <c r="I33">
        <v>266776</v>
      </c>
      <c r="J33">
        <v>1014206</v>
      </c>
      <c r="K33">
        <v>316258</v>
      </c>
      <c r="L33">
        <v>479104</v>
      </c>
    </row>
    <row r="34" spans="1:12" x14ac:dyDescent="0.35">
      <c r="A34">
        <v>2025</v>
      </c>
      <c r="B34">
        <v>3</v>
      </c>
      <c r="C34" t="s">
        <v>66</v>
      </c>
      <c r="D34" t="s">
        <v>307</v>
      </c>
      <c r="E34" t="s">
        <v>282</v>
      </c>
      <c r="F34">
        <v>100768</v>
      </c>
      <c r="G34">
        <v>499760</v>
      </c>
      <c r="H34">
        <v>472584</v>
      </c>
      <c r="I34">
        <v>266776</v>
      </c>
      <c r="J34">
        <v>1072010</v>
      </c>
      <c r="K34">
        <v>405040</v>
      </c>
      <c r="L34">
        <v>577146</v>
      </c>
    </row>
    <row r="35" spans="1:12" x14ac:dyDescent="0.35">
      <c r="A35">
        <v>2025</v>
      </c>
      <c r="B35">
        <v>4</v>
      </c>
      <c r="C35" t="s">
        <v>67</v>
      </c>
      <c r="D35" t="s">
        <v>307</v>
      </c>
      <c r="E35" t="s">
        <v>280</v>
      </c>
      <c r="F35">
        <v>57118</v>
      </c>
      <c r="G35">
        <v>424994</v>
      </c>
      <c r="H35">
        <v>411936</v>
      </c>
      <c r="I35">
        <v>266776</v>
      </c>
      <c r="J35">
        <v>1062736</v>
      </c>
      <c r="K35">
        <v>316258</v>
      </c>
      <c r="L35">
        <v>484116</v>
      </c>
    </row>
    <row r="36" spans="1:12" x14ac:dyDescent="0.35">
      <c r="A36">
        <v>2025</v>
      </c>
      <c r="B36">
        <v>4</v>
      </c>
      <c r="C36" t="s">
        <v>67</v>
      </c>
      <c r="D36" t="s">
        <v>307</v>
      </c>
      <c r="E36" t="s">
        <v>282</v>
      </c>
      <c r="F36">
        <v>99306</v>
      </c>
      <c r="G36">
        <v>502414</v>
      </c>
      <c r="H36">
        <v>474104</v>
      </c>
      <c r="I36">
        <v>266776</v>
      </c>
      <c r="J36">
        <v>1072736</v>
      </c>
      <c r="K36">
        <v>405040</v>
      </c>
      <c r="L36">
        <v>584967</v>
      </c>
    </row>
    <row r="37" spans="1:12" x14ac:dyDescent="0.35">
      <c r="A37">
        <v>2025</v>
      </c>
      <c r="B37">
        <v>5</v>
      </c>
      <c r="C37" t="s">
        <v>68</v>
      </c>
      <c r="D37" t="s">
        <v>307</v>
      </c>
      <c r="E37" t="s">
        <v>280</v>
      </c>
      <c r="F37">
        <v>59435</v>
      </c>
      <c r="G37">
        <v>448894</v>
      </c>
      <c r="H37">
        <v>417404</v>
      </c>
      <c r="I37">
        <v>266776</v>
      </c>
      <c r="J37">
        <v>1061445</v>
      </c>
      <c r="K37">
        <v>347134</v>
      </c>
      <c r="L37">
        <v>536720</v>
      </c>
    </row>
    <row r="38" spans="1:12" x14ac:dyDescent="0.35">
      <c r="A38">
        <v>2025</v>
      </c>
      <c r="B38">
        <v>5</v>
      </c>
      <c r="C38" t="s">
        <v>68</v>
      </c>
      <c r="D38" t="s">
        <v>307</v>
      </c>
      <c r="E38" t="s">
        <v>282</v>
      </c>
      <c r="F38">
        <v>99820</v>
      </c>
      <c r="G38">
        <v>531956</v>
      </c>
      <c r="H38">
        <v>536038</v>
      </c>
      <c r="I38">
        <v>266776</v>
      </c>
      <c r="J38">
        <v>1071445</v>
      </c>
      <c r="K38">
        <v>414436</v>
      </c>
      <c r="L38">
        <v>632737</v>
      </c>
    </row>
    <row r="39" spans="1:12" x14ac:dyDescent="0.35">
      <c r="A39">
        <v>2025</v>
      </c>
      <c r="B39">
        <v>6</v>
      </c>
      <c r="C39" t="s">
        <v>69</v>
      </c>
      <c r="D39" t="s">
        <v>307</v>
      </c>
      <c r="E39" t="s">
        <v>280</v>
      </c>
      <c r="F39">
        <v>58841</v>
      </c>
      <c r="G39">
        <v>422329</v>
      </c>
      <c r="H39">
        <v>411936</v>
      </c>
      <c r="I39">
        <v>266776</v>
      </c>
      <c r="J39">
        <v>1073342</v>
      </c>
      <c r="K39">
        <v>316258</v>
      </c>
      <c r="L39">
        <v>476741</v>
      </c>
    </row>
    <row r="40" spans="1:12" x14ac:dyDescent="0.35">
      <c r="A40">
        <v>2025</v>
      </c>
      <c r="B40">
        <v>6</v>
      </c>
      <c r="C40" t="s">
        <v>69</v>
      </c>
      <c r="D40" t="s">
        <v>307</v>
      </c>
      <c r="E40" t="s">
        <v>282</v>
      </c>
      <c r="F40">
        <v>101549</v>
      </c>
      <c r="G40">
        <v>499193</v>
      </c>
      <c r="H40">
        <v>471050</v>
      </c>
      <c r="I40">
        <v>266776</v>
      </c>
      <c r="J40">
        <v>1080842</v>
      </c>
      <c r="K40">
        <v>407540</v>
      </c>
      <c r="L40">
        <v>575015</v>
      </c>
    </row>
    <row r="41" spans="1:12" x14ac:dyDescent="0.35">
      <c r="A41">
        <v>2025</v>
      </c>
      <c r="B41">
        <v>7</v>
      </c>
      <c r="C41" t="s">
        <v>70</v>
      </c>
      <c r="D41" t="s">
        <v>307</v>
      </c>
      <c r="E41" t="s">
        <v>280</v>
      </c>
      <c r="F41">
        <v>58983</v>
      </c>
      <c r="G41">
        <v>422149</v>
      </c>
      <c r="H41">
        <v>411936</v>
      </c>
      <c r="I41">
        <v>266776</v>
      </c>
      <c r="J41">
        <v>1024161</v>
      </c>
      <c r="K41">
        <v>315889</v>
      </c>
      <c r="L41">
        <v>478550</v>
      </c>
    </row>
    <row r="42" spans="1:12" x14ac:dyDescent="0.35">
      <c r="A42">
        <v>2025</v>
      </c>
      <c r="B42">
        <v>7</v>
      </c>
      <c r="C42" t="s">
        <v>70</v>
      </c>
      <c r="D42" t="s">
        <v>307</v>
      </c>
      <c r="E42" t="s">
        <v>282</v>
      </c>
      <c r="F42">
        <v>101721</v>
      </c>
      <c r="G42">
        <v>499308</v>
      </c>
      <c r="H42">
        <v>471050</v>
      </c>
      <c r="I42">
        <v>266776</v>
      </c>
      <c r="J42">
        <v>1075239</v>
      </c>
      <c r="K42">
        <v>406383</v>
      </c>
      <c r="L42">
        <v>575249</v>
      </c>
    </row>
    <row r="43" spans="1:12" x14ac:dyDescent="0.35">
      <c r="A43">
        <v>2025</v>
      </c>
      <c r="B43">
        <v>8</v>
      </c>
      <c r="C43" t="s">
        <v>71</v>
      </c>
      <c r="D43" t="s">
        <v>307</v>
      </c>
      <c r="E43" t="s">
        <v>280</v>
      </c>
      <c r="F43">
        <v>59183</v>
      </c>
      <c r="G43">
        <v>422392</v>
      </c>
      <c r="H43">
        <v>411936</v>
      </c>
      <c r="I43">
        <v>266776</v>
      </c>
      <c r="J43">
        <v>1079636</v>
      </c>
      <c r="K43">
        <v>315655</v>
      </c>
      <c r="L43">
        <v>478550</v>
      </c>
    </row>
    <row r="44" spans="1:12" x14ac:dyDescent="0.35">
      <c r="A44">
        <v>2025</v>
      </c>
      <c r="B44">
        <v>8</v>
      </c>
      <c r="C44" t="s">
        <v>71</v>
      </c>
      <c r="D44" t="s">
        <v>307</v>
      </c>
      <c r="E44" t="s">
        <v>282</v>
      </c>
      <c r="F44">
        <v>101940</v>
      </c>
      <c r="G44">
        <v>499719</v>
      </c>
      <c r="H44">
        <v>471420</v>
      </c>
      <c r="I44">
        <v>266776</v>
      </c>
      <c r="J44">
        <v>1092136</v>
      </c>
      <c r="K44">
        <v>406383</v>
      </c>
      <c r="L44">
        <v>577515</v>
      </c>
    </row>
    <row r="45" spans="1:12" x14ac:dyDescent="0.35">
      <c r="A45">
        <v>2025</v>
      </c>
      <c r="B45">
        <v>9</v>
      </c>
      <c r="C45" t="s">
        <v>72</v>
      </c>
      <c r="D45" t="s">
        <v>307</v>
      </c>
      <c r="E45" t="s">
        <v>280</v>
      </c>
      <c r="F45">
        <v>59324</v>
      </c>
      <c r="G45">
        <v>422401</v>
      </c>
      <c r="H45">
        <v>411936</v>
      </c>
      <c r="I45">
        <v>266776</v>
      </c>
      <c r="J45">
        <v>1086533</v>
      </c>
      <c r="K45">
        <v>315655</v>
      </c>
      <c r="L45">
        <v>479055</v>
      </c>
    </row>
    <row r="46" spans="1:12" x14ac:dyDescent="0.35">
      <c r="A46">
        <v>2025</v>
      </c>
      <c r="B46">
        <v>9</v>
      </c>
      <c r="C46" t="s">
        <v>72</v>
      </c>
      <c r="D46" t="s">
        <v>307</v>
      </c>
      <c r="E46" t="s">
        <v>282</v>
      </c>
      <c r="F46">
        <v>102088</v>
      </c>
      <c r="G46">
        <v>499493</v>
      </c>
      <c r="H46">
        <v>471838</v>
      </c>
      <c r="I46">
        <v>266776</v>
      </c>
      <c r="J46">
        <v>1094096</v>
      </c>
      <c r="K46">
        <v>406383</v>
      </c>
      <c r="L46">
        <v>577515</v>
      </c>
    </row>
    <row r="47" spans="1:12" x14ac:dyDescent="0.35">
      <c r="A47">
        <v>2025</v>
      </c>
      <c r="B47">
        <v>10</v>
      </c>
      <c r="C47" t="s">
        <v>73</v>
      </c>
      <c r="D47" t="s">
        <v>307</v>
      </c>
      <c r="E47" t="s">
        <v>280</v>
      </c>
      <c r="F47">
        <v>61550</v>
      </c>
      <c r="G47">
        <v>418930</v>
      </c>
      <c r="H47">
        <v>411936</v>
      </c>
      <c r="I47">
        <v>266776</v>
      </c>
      <c r="J47">
        <v>1014206</v>
      </c>
      <c r="K47">
        <v>306258</v>
      </c>
      <c r="L47">
        <v>474338</v>
      </c>
    </row>
    <row r="48" spans="1:12" x14ac:dyDescent="0.35">
      <c r="A48">
        <v>2025</v>
      </c>
      <c r="B48">
        <v>10</v>
      </c>
      <c r="C48" t="s">
        <v>73</v>
      </c>
      <c r="D48" t="s">
        <v>307</v>
      </c>
      <c r="E48" t="s">
        <v>282</v>
      </c>
      <c r="F48">
        <v>103322</v>
      </c>
      <c r="G48">
        <v>498578</v>
      </c>
      <c r="H48">
        <v>472023</v>
      </c>
      <c r="I48">
        <v>266776</v>
      </c>
      <c r="J48">
        <v>1034206</v>
      </c>
      <c r="K48">
        <v>406383</v>
      </c>
      <c r="L48">
        <v>575015</v>
      </c>
    </row>
    <row r="49" spans="1:12" x14ac:dyDescent="0.35">
      <c r="A49">
        <v>2025</v>
      </c>
      <c r="B49">
        <v>11</v>
      </c>
      <c r="C49" t="s">
        <v>74</v>
      </c>
      <c r="D49" t="s">
        <v>307</v>
      </c>
      <c r="E49" t="s">
        <v>280</v>
      </c>
      <c r="F49">
        <v>61684</v>
      </c>
      <c r="G49">
        <v>419164</v>
      </c>
      <c r="H49">
        <v>411936</v>
      </c>
      <c r="I49">
        <v>266776</v>
      </c>
      <c r="J49">
        <v>1014206</v>
      </c>
      <c r="K49">
        <v>306676</v>
      </c>
      <c r="L49">
        <v>474523</v>
      </c>
    </row>
    <row r="50" spans="1:12" x14ac:dyDescent="0.35">
      <c r="A50">
        <v>2025</v>
      </c>
      <c r="B50">
        <v>11</v>
      </c>
      <c r="C50" t="s">
        <v>74</v>
      </c>
      <c r="D50" t="s">
        <v>307</v>
      </c>
      <c r="E50" t="s">
        <v>282</v>
      </c>
      <c r="F50">
        <v>103496</v>
      </c>
      <c r="G50">
        <v>498827</v>
      </c>
      <c r="H50">
        <v>473550</v>
      </c>
      <c r="I50">
        <v>266776</v>
      </c>
      <c r="J50">
        <v>1120700</v>
      </c>
      <c r="K50">
        <v>406383</v>
      </c>
      <c r="L50">
        <v>577467</v>
      </c>
    </row>
    <row r="51" spans="1:12" x14ac:dyDescent="0.35">
      <c r="A51">
        <v>2025</v>
      </c>
      <c r="B51">
        <v>12</v>
      </c>
      <c r="C51" t="s">
        <v>75</v>
      </c>
      <c r="D51" t="s">
        <v>307</v>
      </c>
      <c r="E51" t="s">
        <v>280</v>
      </c>
      <c r="F51">
        <v>61698</v>
      </c>
      <c r="G51">
        <v>419952</v>
      </c>
      <c r="H51">
        <v>412540</v>
      </c>
      <c r="I51">
        <v>266776</v>
      </c>
      <c r="J51">
        <v>1014206</v>
      </c>
      <c r="K51">
        <v>306725</v>
      </c>
      <c r="L51">
        <v>476604</v>
      </c>
    </row>
    <row r="52" spans="1:12" x14ac:dyDescent="0.35">
      <c r="A52">
        <v>2025</v>
      </c>
      <c r="B52">
        <v>12</v>
      </c>
      <c r="C52" t="s">
        <v>75</v>
      </c>
      <c r="D52" t="s">
        <v>307</v>
      </c>
      <c r="E52" t="s">
        <v>282</v>
      </c>
      <c r="F52">
        <v>103541</v>
      </c>
      <c r="G52">
        <v>500138</v>
      </c>
      <c r="H52">
        <v>473550</v>
      </c>
      <c r="I52">
        <v>266776</v>
      </c>
      <c r="J52">
        <v>1034206</v>
      </c>
      <c r="K52">
        <v>406936</v>
      </c>
      <c r="L52">
        <v>577515</v>
      </c>
    </row>
  </sheetData>
  <mergeCells count="1">
    <mergeCell ref="A1:L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309</v>
      </c>
      <c r="E5" t="s">
        <v>280</v>
      </c>
      <c r="F5">
        <v>933</v>
      </c>
      <c r="G5">
        <v>848150</v>
      </c>
      <c r="H5">
        <v>794611</v>
      </c>
      <c r="I5">
        <v>669169</v>
      </c>
      <c r="J5">
        <v>1371832</v>
      </c>
      <c r="K5">
        <v>726520</v>
      </c>
      <c r="L5">
        <v>881865</v>
      </c>
    </row>
    <row r="6" spans="1:12" x14ac:dyDescent="0.35">
      <c r="A6">
        <v>2024</v>
      </c>
      <c r="B6">
        <v>1</v>
      </c>
      <c r="C6" t="s">
        <v>42</v>
      </c>
      <c r="D6" t="s">
        <v>309</v>
      </c>
      <c r="E6" t="s">
        <v>282</v>
      </c>
      <c r="F6">
        <v>4175</v>
      </c>
      <c r="G6">
        <v>888119</v>
      </c>
      <c r="H6">
        <v>840855</v>
      </c>
      <c r="I6">
        <v>661667</v>
      </c>
      <c r="J6">
        <v>1436081</v>
      </c>
      <c r="K6">
        <v>734020</v>
      </c>
      <c r="L6">
        <v>977543</v>
      </c>
    </row>
    <row r="7" spans="1:12" x14ac:dyDescent="0.35">
      <c r="A7">
        <v>2024</v>
      </c>
      <c r="B7">
        <v>2</v>
      </c>
      <c r="C7" t="s">
        <v>63</v>
      </c>
      <c r="D7" t="s">
        <v>309</v>
      </c>
      <c r="E7" t="s">
        <v>280</v>
      </c>
      <c r="F7">
        <v>951</v>
      </c>
      <c r="G7">
        <v>852690</v>
      </c>
      <c r="H7">
        <v>804611</v>
      </c>
      <c r="I7">
        <v>669169</v>
      </c>
      <c r="J7">
        <v>1371832</v>
      </c>
      <c r="K7">
        <v>726520</v>
      </c>
      <c r="L7">
        <v>904145</v>
      </c>
    </row>
    <row r="8" spans="1:12" x14ac:dyDescent="0.35">
      <c r="A8">
        <v>2024</v>
      </c>
      <c r="B8">
        <v>2</v>
      </c>
      <c r="C8" t="s">
        <v>63</v>
      </c>
      <c r="D8" t="s">
        <v>309</v>
      </c>
      <c r="E8" t="s">
        <v>282</v>
      </c>
      <c r="F8">
        <v>4214</v>
      </c>
      <c r="G8">
        <v>889874</v>
      </c>
      <c r="H8">
        <v>848516</v>
      </c>
      <c r="I8">
        <v>669169</v>
      </c>
      <c r="J8">
        <v>1433582</v>
      </c>
      <c r="K8">
        <v>734020</v>
      </c>
      <c r="L8">
        <v>973149</v>
      </c>
    </row>
    <row r="9" spans="1:12" x14ac:dyDescent="0.35">
      <c r="A9">
        <v>2024</v>
      </c>
      <c r="B9">
        <v>3</v>
      </c>
      <c r="C9" t="s">
        <v>66</v>
      </c>
      <c r="D9" t="s">
        <v>309</v>
      </c>
      <c r="E9" t="s">
        <v>280</v>
      </c>
      <c r="F9">
        <v>924</v>
      </c>
      <c r="G9">
        <v>840139</v>
      </c>
      <c r="H9">
        <v>794611</v>
      </c>
      <c r="I9">
        <v>669169</v>
      </c>
      <c r="J9">
        <v>1371832</v>
      </c>
      <c r="K9">
        <v>726520</v>
      </c>
      <c r="L9">
        <v>881865</v>
      </c>
    </row>
    <row r="10" spans="1:12" x14ac:dyDescent="0.35">
      <c r="A10">
        <v>2024</v>
      </c>
      <c r="B10">
        <v>3</v>
      </c>
      <c r="C10" t="s">
        <v>66</v>
      </c>
      <c r="D10" t="s">
        <v>309</v>
      </c>
      <c r="E10" t="s">
        <v>282</v>
      </c>
      <c r="F10">
        <v>4120</v>
      </c>
      <c r="G10">
        <v>879136</v>
      </c>
      <c r="H10">
        <v>835721</v>
      </c>
      <c r="I10">
        <v>659169</v>
      </c>
      <c r="J10">
        <v>1436081</v>
      </c>
      <c r="K10">
        <v>731520</v>
      </c>
      <c r="L10">
        <v>939082</v>
      </c>
    </row>
    <row r="11" spans="1:12" x14ac:dyDescent="0.35">
      <c r="A11">
        <v>2024</v>
      </c>
      <c r="B11">
        <v>4</v>
      </c>
      <c r="C11" t="s">
        <v>67</v>
      </c>
      <c r="D11" t="s">
        <v>309</v>
      </c>
      <c r="E11" t="s">
        <v>280</v>
      </c>
      <c r="F11">
        <v>926</v>
      </c>
      <c r="G11">
        <v>842061</v>
      </c>
      <c r="H11">
        <v>794611</v>
      </c>
      <c r="I11">
        <v>669169</v>
      </c>
      <c r="J11">
        <v>1371832</v>
      </c>
      <c r="K11">
        <v>726520</v>
      </c>
      <c r="L11">
        <v>881865</v>
      </c>
    </row>
    <row r="12" spans="1:12" x14ac:dyDescent="0.35">
      <c r="A12">
        <v>2024</v>
      </c>
      <c r="B12">
        <v>4</v>
      </c>
      <c r="C12" t="s">
        <v>67</v>
      </c>
      <c r="D12" t="s">
        <v>309</v>
      </c>
      <c r="E12" t="s">
        <v>282</v>
      </c>
      <c r="F12">
        <v>4106</v>
      </c>
      <c r="G12">
        <v>878044</v>
      </c>
      <c r="H12">
        <v>835116</v>
      </c>
      <c r="I12">
        <v>659169</v>
      </c>
      <c r="J12">
        <v>1436081</v>
      </c>
      <c r="K12">
        <v>731520</v>
      </c>
      <c r="L12">
        <v>934587</v>
      </c>
    </row>
    <row r="13" spans="1:12" x14ac:dyDescent="0.35">
      <c r="A13">
        <v>2024</v>
      </c>
      <c r="B13">
        <v>5</v>
      </c>
      <c r="C13" t="s">
        <v>68</v>
      </c>
      <c r="D13" t="s">
        <v>309</v>
      </c>
      <c r="E13" t="s">
        <v>280</v>
      </c>
      <c r="F13">
        <v>921</v>
      </c>
      <c r="G13">
        <v>843937</v>
      </c>
      <c r="H13">
        <v>794611</v>
      </c>
      <c r="I13">
        <v>669169</v>
      </c>
      <c r="J13">
        <v>1371832</v>
      </c>
      <c r="K13">
        <v>726520</v>
      </c>
      <c r="L13">
        <v>881865</v>
      </c>
    </row>
    <row r="14" spans="1:12" x14ac:dyDescent="0.35">
      <c r="A14">
        <v>2024</v>
      </c>
      <c r="B14">
        <v>5</v>
      </c>
      <c r="C14" t="s">
        <v>68</v>
      </c>
      <c r="D14" t="s">
        <v>309</v>
      </c>
      <c r="E14" t="s">
        <v>282</v>
      </c>
      <c r="F14">
        <v>4022</v>
      </c>
      <c r="G14">
        <v>881596</v>
      </c>
      <c r="H14">
        <v>835116</v>
      </c>
      <c r="I14">
        <v>659169</v>
      </c>
      <c r="J14">
        <v>1436081</v>
      </c>
      <c r="K14">
        <v>731520</v>
      </c>
      <c r="L14">
        <v>943060</v>
      </c>
    </row>
    <row r="15" spans="1:12" x14ac:dyDescent="0.35">
      <c r="A15">
        <v>2024</v>
      </c>
      <c r="B15">
        <v>6</v>
      </c>
      <c r="C15" t="s">
        <v>69</v>
      </c>
      <c r="D15" t="s">
        <v>309</v>
      </c>
      <c r="E15" t="s">
        <v>280</v>
      </c>
      <c r="F15">
        <v>900</v>
      </c>
      <c r="G15">
        <v>844587</v>
      </c>
      <c r="H15">
        <v>794611</v>
      </c>
      <c r="I15">
        <v>669169</v>
      </c>
      <c r="J15">
        <v>1422063</v>
      </c>
      <c r="K15">
        <v>726520</v>
      </c>
      <c r="L15">
        <v>881865</v>
      </c>
    </row>
    <row r="16" spans="1:12" x14ac:dyDescent="0.35">
      <c r="A16">
        <v>2024</v>
      </c>
      <c r="B16">
        <v>6</v>
      </c>
      <c r="C16" t="s">
        <v>69</v>
      </c>
      <c r="D16" t="s">
        <v>309</v>
      </c>
      <c r="E16" t="s">
        <v>282</v>
      </c>
      <c r="F16">
        <v>4004</v>
      </c>
      <c r="G16">
        <v>885330</v>
      </c>
      <c r="H16">
        <v>835116</v>
      </c>
      <c r="I16">
        <v>659169</v>
      </c>
      <c r="J16">
        <v>1436081</v>
      </c>
      <c r="K16">
        <v>731520</v>
      </c>
      <c r="L16">
        <v>975379</v>
      </c>
    </row>
    <row r="17" spans="1:12" x14ac:dyDescent="0.35">
      <c r="A17">
        <v>2024</v>
      </c>
      <c r="B17">
        <v>7</v>
      </c>
      <c r="C17" t="s">
        <v>70</v>
      </c>
      <c r="D17" t="s">
        <v>309</v>
      </c>
      <c r="E17" t="s">
        <v>280</v>
      </c>
      <c r="F17">
        <v>974</v>
      </c>
      <c r="G17">
        <v>856774</v>
      </c>
      <c r="H17">
        <v>805721</v>
      </c>
      <c r="I17">
        <v>669169</v>
      </c>
      <c r="J17">
        <v>1397709</v>
      </c>
      <c r="K17">
        <v>726520</v>
      </c>
      <c r="L17">
        <v>909082</v>
      </c>
    </row>
    <row r="18" spans="1:12" x14ac:dyDescent="0.35">
      <c r="A18">
        <v>2024</v>
      </c>
      <c r="B18">
        <v>7</v>
      </c>
      <c r="C18" t="s">
        <v>70</v>
      </c>
      <c r="D18" t="s">
        <v>309</v>
      </c>
      <c r="E18" t="s">
        <v>282</v>
      </c>
      <c r="F18">
        <v>4388</v>
      </c>
      <c r="G18">
        <v>900172</v>
      </c>
      <c r="H18">
        <v>848675</v>
      </c>
      <c r="I18">
        <v>659169</v>
      </c>
      <c r="J18">
        <v>1436081</v>
      </c>
      <c r="K18">
        <v>739020</v>
      </c>
      <c r="L18">
        <v>1043233</v>
      </c>
    </row>
    <row r="19" spans="1:12" x14ac:dyDescent="0.35">
      <c r="A19">
        <v>2024</v>
      </c>
      <c r="B19">
        <v>8</v>
      </c>
      <c r="C19" t="s">
        <v>71</v>
      </c>
      <c r="D19" t="s">
        <v>309</v>
      </c>
      <c r="E19" t="s">
        <v>280</v>
      </c>
      <c r="F19">
        <v>1052</v>
      </c>
      <c r="G19">
        <v>863854</v>
      </c>
      <c r="H19">
        <v>805721</v>
      </c>
      <c r="I19">
        <v>669169</v>
      </c>
      <c r="J19">
        <v>1490529</v>
      </c>
      <c r="K19">
        <v>703145</v>
      </c>
      <c r="L19">
        <v>947312</v>
      </c>
    </row>
    <row r="20" spans="1:12" x14ac:dyDescent="0.35">
      <c r="A20">
        <v>2024</v>
      </c>
      <c r="B20">
        <v>8</v>
      </c>
      <c r="C20" t="s">
        <v>71</v>
      </c>
      <c r="D20" t="s">
        <v>309</v>
      </c>
      <c r="E20" t="s">
        <v>282</v>
      </c>
      <c r="F20">
        <v>4626</v>
      </c>
      <c r="G20">
        <v>911857</v>
      </c>
      <c r="H20">
        <v>856175</v>
      </c>
      <c r="I20">
        <v>659169</v>
      </c>
      <c r="J20">
        <v>1514138</v>
      </c>
      <c r="K20">
        <v>726520</v>
      </c>
      <c r="L20">
        <v>1093285</v>
      </c>
    </row>
    <row r="21" spans="1:12" x14ac:dyDescent="0.35">
      <c r="A21">
        <v>2024</v>
      </c>
      <c r="B21">
        <v>9</v>
      </c>
      <c r="C21" t="s">
        <v>72</v>
      </c>
      <c r="D21" t="s">
        <v>309</v>
      </c>
      <c r="E21" t="s">
        <v>280</v>
      </c>
      <c r="F21">
        <v>1099</v>
      </c>
      <c r="G21">
        <v>842754</v>
      </c>
      <c r="H21">
        <v>794611</v>
      </c>
      <c r="I21">
        <v>669169</v>
      </c>
      <c r="J21">
        <v>1402707</v>
      </c>
      <c r="K21">
        <v>700645</v>
      </c>
      <c r="L21">
        <v>889365</v>
      </c>
    </row>
    <row r="22" spans="1:12" x14ac:dyDescent="0.35">
      <c r="A22">
        <v>2024</v>
      </c>
      <c r="B22">
        <v>9</v>
      </c>
      <c r="C22" t="s">
        <v>72</v>
      </c>
      <c r="D22" t="s">
        <v>309</v>
      </c>
      <c r="E22" t="s">
        <v>282</v>
      </c>
      <c r="F22">
        <v>4726</v>
      </c>
      <c r="G22">
        <v>890056</v>
      </c>
      <c r="H22">
        <v>838355</v>
      </c>
      <c r="I22">
        <v>659169</v>
      </c>
      <c r="J22">
        <v>1436081</v>
      </c>
      <c r="K22">
        <v>719020</v>
      </c>
      <c r="L22">
        <v>1020733</v>
      </c>
    </row>
    <row r="23" spans="1:12" x14ac:dyDescent="0.35">
      <c r="A23">
        <v>2024</v>
      </c>
      <c r="B23">
        <v>10</v>
      </c>
      <c r="C23" t="s">
        <v>73</v>
      </c>
      <c r="D23" t="s">
        <v>309</v>
      </c>
      <c r="E23" t="s">
        <v>280</v>
      </c>
      <c r="F23">
        <v>1119</v>
      </c>
      <c r="G23">
        <v>840672</v>
      </c>
      <c r="H23">
        <v>789611</v>
      </c>
      <c r="I23">
        <v>661669</v>
      </c>
      <c r="J23">
        <v>1402707</v>
      </c>
      <c r="K23">
        <v>700645</v>
      </c>
      <c r="L23">
        <v>889365</v>
      </c>
    </row>
    <row r="24" spans="1:12" x14ac:dyDescent="0.35">
      <c r="A24">
        <v>2024</v>
      </c>
      <c r="B24">
        <v>10</v>
      </c>
      <c r="C24" t="s">
        <v>73</v>
      </c>
      <c r="D24" t="s">
        <v>309</v>
      </c>
      <c r="E24" t="s">
        <v>282</v>
      </c>
      <c r="F24">
        <v>4762</v>
      </c>
      <c r="G24">
        <v>889671</v>
      </c>
      <c r="H24">
        <v>837986</v>
      </c>
      <c r="I24">
        <v>656669</v>
      </c>
      <c r="J24">
        <v>1436081</v>
      </c>
      <c r="K24">
        <v>718145</v>
      </c>
      <c r="L24">
        <v>1021609</v>
      </c>
    </row>
    <row r="25" spans="1:12" x14ac:dyDescent="0.35">
      <c r="A25">
        <v>2024</v>
      </c>
      <c r="B25">
        <v>11</v>
      </c>
      <c r="C25" t="s">
        <v>74</v>
      </c>
      <c r="D25" t="s">
        <v>309</v>
      </c>
      <c r="E25" t="s">
        <v>280</v>
      </c>
      <c r="F25">
        <v>1124</v>
      </c>
      <c r="G25">
        <v>841056</v>
      </c>
      <c r="H25">
        <v>787924</v>
      </c>
      <c r="I25">
        <v>659167</v>
      </c>
      <c r="J25">
        <v>1402707</v>
      </c>
      <c r="K25">
        <v>700645</v>
      </c>
      <c r="L25">
        <v>881867</v>
      </c>
    </row>
    <row r="26" spans="1:12" x14ac:dyDescent="0.35">
      <c r="A26">
        <v>2024</v>
      </c>
      <c r="B26">
        <v>11</v>
      </c>
      <c r="C26" t="s">
        <v>74</v>
      </c>
      <c r="D26" t="s">
        <v>309</v>
      </c>
      <c r="E26" t="s">
        <v>282</v>
      </c>
      <c r="F26">
        <v>4764</v>
      </c>
      <c r="G26">
        <v>890630</v>
      </c>
      <c r="H26">
        <v>837616</v>
      </c>
      <c r="I26">
        <v>656667</v>
      </c>
      <c r="J26">
        <v>1436081</v>
      </c>
      <c r="K26">
        <v>723145</v>
      </c>
      <c r="L26">
        <v>1021609</v>
      </c>
    </row>
    <row r="27" spans="1:12" x14ac:dyDescent="0.35">
      <c r="A27">
        <v>2024</v>
      </c>
      <c r="B27">
        <v>12</v>
      </c>
      <c r="C27" t="s">
        <v>75</v>
      </c>
      <c r="D27" t="s">
        <v>309</v>
      </c>
      <c r="E27" t="s">
        <v>280</v>
      </c>
      <c r="F27">
        <v>1119</v>
      </c>
      <c r="G27">
        <v>840908</v>
      </c>
      <c r="H27">
        <v>789611</v>
      </c>
      <c r="I27">
        <v>659167</v>
      </c>
      <c r="J27">
        <v>1402707</v>
      </c>
      <c r="K27">
        <v>700645</v>
      </c>
      <c r="L27">
        <v>881867</v>
      </c>
    </row>
    <row r="28" spans="1:12" x14ac:dyDescent="0.35">
      <c r="A28">
        <v>2024</v>
      </c>
      <c r="B28">
        <v>12</v>
      </c>
      <c r="C28" t="s">
        <v>75</v>
      </c>
      <c r="D28" t="s">
        <v>309</v>
      </c>
      <c r="E28" t="s">
        <v>282</v>
      </c>
      <c r="F28">
        <v>4740</v>
      </c>
      <c r="G28">
        <v>891247</v>
      </c>
      <c r="H28">
        <v>835721</v>
      </c>
      <c r="I28">
        <v>656667</v>
      </c>
      <c r="J28">
        <v>1436081</v>
      </c>
      <c r="K28">
        <v>718146</v>
      </c>
      <c r="L28">
        <v>1028233</v>
      </c>
    </row>
    <row r="29" spans="1:12" x14ac:dyDescent="0.35">
      <c r="A29">
        <v>2025</v>
      </c>
      <c r="B29">
        <v>1</v>
      </c>
      <c r="C29" t="s">
        <v>42</v>
      </c>
      <c r="D29" t="s">
        <v>309</v>
      </c>
      <c r="E29" t="s">
        <v>280</v>
      </c>
      <c r="F29">
        <v>1086</v>
      </c>
      <c r="G29">
        <v>839423</v>
      </c>
      <c r="H29">
        <v>789611</v>
      </c>
      <c r="I29">
        <v>669169</v>
      </c>
      <c r="J29">
        <v>1402707</v>
      </c>
      <c r="K29">
        <v>703145</v>
      </c>
      <c r="L29">
        <v>881867</v>
      </c>
    </row>
    <row r="30" spans="1:12" x14ac:dyDescent="0.35">
      <c r="A30">
        <v>2025</v>
      </c>
      <c r="B30">
        <v>1</v>
      </c>
      <c r="C30" t="s">
        <v>42</v>
      </c>
      <c r="D30" t="s">
        <v>309</v>
      </c>
      <c r="E30" t="s">
        <v>282</v>
      </c>
      <c r="F30">
        <v>4646</v>
      </c>
      <c r="G30">
        <v>891430</v>
      </c>
      <c r="H30">
        <v>838355</v>
      </c>
      <c r="I30">
        <v>669169</v>
      </c>
      <c r="J30">
        <v>1436081</v>
      </c>
      <c r="K30">
        <v>726520</v>
      </c>
      <c r="L30">
        <v>1030684</v>
      </c>
    </row>
    <row r="31" spans="1:12" x14ac:dyDescent="0.35">
      <c r="A31">
        <v>2025</v>
      </c>
      <c r="B31">
        <v>2</v>
      </c>
      <c r="C31" t="s">
        <v>63</v>
      </c>
      <c r="D31" t="s">
        <v>309</v>
      </c>
      <c r="E31" t="s">
        <v>280</v>
      </c>
      <c r="F31">
        <v>1123</v>
      </c>
      <c r="G31">
        <v>848856</v>
      </c>
      <c r="H31">
        <v>793736</v>
      </c>
      <c r="I31">
        <v>661669</v>
      </c>
      <c r="J31">
        <v>1462463</v>
      </c>
      <c r="K31">
        <v>703145</v>
      </c>
      <c r="L31">
        <v>904145</v>
      </c>
    </row>
    <row r="32" spans="1:12" x14ac:dyDescent="0.35">
      <c r="A32">
        <v>2025</v>
      </c>
      <c r="B32">
        <v>2</v>
      </c>
      <c r="C32" t="s">
        <v>63</v>
      </c>
      <c r="D32" t="s">
        <v>309</v>
      </c>
      <c r="E32" t="s">
        <v>282</v>
      </c>
      <c r="F32">
        <v>4731</v>
      </c>
      <c r="G32">
        <v>900228</v>
      </c>
      <c r="H32">
        <v>848355</v>
      </c>
      <c r="I32">
        <v>656667</v>
      </c>
      <c r="J32">
        <v>1504153</v>
      </c>
      <c r="K32">
        <v>725645</v>
      </c>
      <c r="L32">
        <v>1044108</v>
      </c>
    </row>
    <row r="33" spans="1:12" x14ac:dyDescent="0.35">
      <c r="A33">
        <v>2025</v>
      </c>
      <c r="B33">
        <v>3</v>
      </c>
      <c r="C33" t="s">
        <v>66</v>
      </c>
      <c r="D33" t="s">
        <v>309</v>
      </c>
      <c r="E33" t="s">
        <v>280</v>
      </c>
      <c r="F33">
        <v>1021</v>
      </c>
      <c r="G33">
        <v>836382</v>
      </c>
      <c r="H33">
        <v>783893</v>
      </c>
      <c r="I33">
        <v>661669</v>
      </c>
      <c r="J33">
        <v>1402707</v>
      </c>
      <c r="K33">
        <v>700645</v>
      </c>
      <c r="L33">
        <v>881865</v>
      </c>
    </row>
    <row r="34" spans="1:12" x14ac:dyDescent="0.35">
      <c r="A34">
        <v>2025</v>
      </c>
      <c r="B34">
        <v>3</v>
      </c>
      <c r="C34" t="s">
        <v>66</v>
      </c>
      <c r="D34" t="s">
        <v>309</v>
      </c>
      <c r="E34" t="s">
        <v>282</v>
      </c>
      <c r="F34">
        <v>4442</v>
      </c>
      <c r="G34">
        <v>892801</v>
      </c>
      <c r="H34">
        <v>838355</v>
      </c>
      <c r="I34">
        <v>656667</v>
      </c>
      <c r="J34">
        <v>1508539</v>
      </c>
      <c r="K34">
        <v>723145</v>
      </c>
      <c r="L34">
        <v>1020733</v>
      </c>
    </row>
    <row r="35" spans="1:12" x14ac:dyDescent="0.35">
      <c r="A35">
        <v>2025</v>
      </c>
      <c r="B35">
        <v>4</v>
      </c>
      <c r="C35" t="s">
        <v>67</v>
      </c>
      <c r="D35" t="s">
        <v>309</v>
      </c>
      <c r="E35" t="s">
        <v>280</v>
      </c>
      <c r="F35">
        <v>1123</v>
      </c>
      <c r="G35">
        <v>849092</v>
      </c>
      <c r="H35">
        <v>793736</v>
      </c>
      <c r="I35">
        <v>661669</v>
      </c>
      <c r="J35">
        <v>1462463</v>
      </c>
      <c r="K35">
        <v>703145</v>
      </c>
      <c r="L35">
        <v>904365</v>
      </c>
    </row>
    <row r="36" spans="1:12" x14ac:dyDescent="0.35">
      <c r="A36">
        <v>2025</v>
      </c>
      <c r="B36">
        <v>4</v>
      </c>
      <c r="C36" t="s">
        <v>67</v>
      </c>
      <c r="D36" t="s">
        <v>309</v>
      </c>
      <c r="E36" t="s">
        <v>282</v>
      </c>
      <c r="F36">
        <v>4725</v>
      </c>
      <c r="G36">
        <v>900011</v>
      </c>
      <c r="H36">
        <v>848355</v>
      </c>
      <c r="I36">
        <v>656667</v>
      </c>
      <c r="J36">
        <v>1504153</v>
      </c>
      <c r="K36">
        <v>725645</v>
      </c>
      <c r="L36">
        <v>1043184</v>
      </c>
    </row>
    <row r="37" spans="1:12" x14ac:dyDescent="0.35">
      <c r="A37">
        <v>2025</v>
      </c>
      <c r="B37">
        <v>5</v>
      </c>
      <c r="C37" t="s">
        <v>68</v>
      </c>
      <c r="D37" t="s">
        <v>309</v>
      </c>
      <c r="E37" t="s">
        <v>280</v>
      </c>
      <c r="F37">
        <v>1153</v>
      </c>
      <c r="G37">
        <v>853817</v>
      </c>
      <c r="H37">
        <v>794611</v>
      </c>
      <c r="I37">
        <v>659167</v>
      </c>
      <c r="J37">
        <v>1442068</v>
      </c>
      <c r="K37">
        <v>703145</v>
      </c>
      <c r="L37">
        <v>914082</v>
      </c>
    </row>
    <row r="38" spans="1:12" x14ac:dyDescent="0.35">
      <c r="A38">
        <v>2025</v>
      </c>
      <c r="B38">
        <v>5</v>
      </c>
      <c r="C38" t="s">
        <v>68</v>
      </c>
      <c r="D38" t="s">
        <v>309</v>
      </c>
      <c r="E38" t="s">
        <v>282</v>
      </c>
      <c r="F38">
        <v>4841</v>
      </c>
      <c r="G38">
        <v>900813</v>
      </c>
      <c r="H38">
        <v>848675</v>
      </c>
      <c r="I38">
        <v>656667</v>
      </c>
      <c r="J38">
        <v>1457068</v>
      </c>
      <c r="K38">
        <v>723145</v>
      </c>
      <c r="L38">
        <v>1052347</v>
      </c>
    </row>
    <row r="39" spans="1:12" x14ac:dyDescent="0.35">
      <c r="A39">
        <v>2025</v>
      </c>
      <c r="B39">
        <v>6</v>
      </c>
      <c r="C39" t="s">
        <v>69</v>
      </c>
      <c r="D39" t="s">
        <v>309</v>
      </c>
      <c r="E39" t="s">
        <v>280</v>
      </c>
      <c r="F39">
        <v>1194</v>
      </c>
      <c r="G39">
        <v>844828</v>
      </c>
      <c r="H39">
        <v>786236</v>
      </c>
      <c r="I39">
        <v>659167</v>
      </c>
      <c r="J39">
        <v>1433581</v>
      </c>
      <c r="K39">
        <v>700645</v>
      </c>
      <c r="L39">
        <v>895658</v>
      </c>
    </row>
    <row r="40" spans="1:12" x14ac:dyDescent="0.35">
      <c r="A40">
        <v>2025</v>
      </c>
      <c r="B40">
        <v>6</v>
      </c>
      <c r="C40" t="s">
        <v>69</v>
      </c>
      <c r="D40" t="s">
        <v>309</v>
      </c>
      <c r="E40" t="s">
        <v>282</v>
      </c>
      <c r="F40">
        <v>4960</v>
      </c>
      <c r="G40">
        <v>893646</v>
      </c>
      <c r="H40">
        <v>845855</v>
      </c>
      <c r="I40">
        <v>656667</v>
      </c>
      <c r="J40">
        <v>1451081</v>
      </c>
      <c r="K40">
        <v>716667</v>
      </c>
      <c r="L40">
        <v>1038184</v>
      </c>
    </row>
    <row r="41" spans="1:12" x14ac:dyDescent="0.35">
      <c r="A41">
        <v>2025</v>
      </c>
      <c r="B41">
        <v>7</v>
      </c>
      <c r="C41" t="s">
        <v>70</v>
      </c>
      <c r="D41" t="s">
        <v>309</v>
      </c>
      <c r="E41" t="s">
        <v>280</v>
      </c>
      <c r="F41">
        <v>1186</v>
      </c>
      <c r="G41">
        <v>844883</v>
      </c>
      <c r="H41">
        <v>789611</v>
      </c>
      <c r="I41">
        <v>659167</v>
      </c>
      <c r="J41">
        <v>1433581</v>
      </c>
      <c r="K41">
        <v>700645</v>
      </c>
      <c r="L41">
        <v>889365</v>
      </c>
    </row>
    <row r="42" spans="1:12" x14ac:dyDescent="0.35">
      <c r="A42">
        <v>2025</v>
      </c>
      <c r="B42">
        <v>7</v>
      </c>
      <c r="C42" t="s">
        <v>70</v>
      </c>
      <c r="D42" t="s">
        <v>309</v>
      </c>
      <c r="E42" t="s">
        <v>282</v>
      </c>
      <c r="F42">
        <v>5021</v>
      </c>
      <c r="G42">
        <v>893536</v>
      </c>
      <c r="H42">
        <v>840855</v>
      </c>
      <c r="I42">
        <v>656667</v>
      </c>
      <c r="J42">
        <v>1451081</v>
      </c>
      <c r="K42">
        <v>715645</v>
      </c>
      <c r="L42">
        <v>1043184</v>
      </c>
    </row>
    <row r="43" spans="1:12" x14ac:dyDescent="0.35">
      <c r="A43">
        <v>2025</v>
      </c>
      <c r="B43">
        <v>8</v>
      </c>
      <c r="C43" t="s">
        <v>71</v>
      </c>
      <c r="D43" t="s">
        <v>309</v>
      </c>
      <c r="E43" t="s">
        <v>280</v>
      </c>
      <c r="F43">
        <v>1207</v>
      </c>
      <c r="G43">
        <v>845144</v>
      </c>
      <c r="H43">
        <v>794611</v>
      </c>
      <c r="I43">
        <v>659167</v>
      </c>
      <c r="J43">
        <v>1433581</v>
      </c>
      <c r="K43">
        <v>700645</v>
      </c>
      <c r="L43">
        <v>889365</v>
      </c>
    </row>
    <row r="44" spans="1:12" x14ac:dyDescent="0.35">
      <c r="A44">
        <v>2025</v>
      </c>
      <c r="B44">
        <v>8</v>
      </c>
      <c r="C44" t="s">
        <v>71</v>
      </c>
      <c r="D44" t="s">
        <v>309</v>
      </c>
      <c r="E44" t="s">
        <v>282</v>
      </c>
      <c r="F44">
        <v>5078</v>
      </c>
      <c r="G44">
        <v>895342</v>
      </c>
      <c r="H44">
        <v>840855</v>
      </c>
      <c r="I44">
        <v>656667</v>
      </c>
      <c r="J44">
        <v>1451081</v>
      </c>
      <c r="K44">
        <v>715645</v>
      </c>
      <c r="L44">
        <v>1094330</v>
      </c>
    </row>
    <row r="45" spans="1:12" x14ac:dyDescent="0.35">
      <c r="A45">
        <v>2025</v>
      </c>
      <c r="B45">
        <v>9</v>
      </c>
      <c r="C45" t="s">
        <v>72</v>
      </c>
      <c r="D45" t="s">
        <v>309</v>
      </c>
      <c r="E45" t="s">
        <v>280</v>
      </c>
      <c r="F45">
        <v>1233</v>
      </c>
      <c r="G45">
        <v>845039</v>
      </c>
      <c r="H45">
        <v>794611</v>
      </c>
      <c r="I45">
        <v>659167</v>
      </c>
      <c r="J45">
        <v>1433581</v>
      </c>
      <c r="K45">
        <v>700645</v>
      </c>
      <c r="L45">
        <v>889365</v>
      </c>
    </row>
    <row r="46" spans="1:12" x14ac:dyDescent="0.35">
      <c r="A46">
        <v>2025</v>
      </c>
      <c r="B46">
        <v>9</v>
      </c>
      <c r="C46" t="s">
        <v>72</v>
      </c>
      <c r="D46" t="s">
        <v>309</v>
      </c>
      <c r="E46" t="s">
        <v>282</v>
      </c>
      <c r="F46">
        <v>5176</v>
      </c>
      <c r="G46">
        <v>892701</v>
      </c>
      <c r="H46">
        <v>838355</v>
      </c>
      <c r="I46">
        <v>656667</v>
      </c>
      <c r="J46">
        <v>1451081</v>
      </c>
      <c r="K46">
        <v>715645</v>
      </c>
      <c r="L46">
        <v>1066608</v>
      </c>
    </row>
    <row r="47" spans="1:12" x14ac:dyDescent="0.35">
      <c r="A47">
        <v>2025</v>
      </c>
      <c r="B47">
        <v>10</v>
      </c>
      <c r="C47" t="s">
        <v>73</v>
      </c>
      <c r="D47" t="s">
        <v>309</v>
      </c>
      <c r="E47" t="s">
        <v>280</v>
      </c>
      <c r="F47">
        <v>1212</v>
      </c>
      <c r="G47">
        <v>850120</v>
      </c>
      <c r="H47">
        <v>794611</v>
      </c>
      <c r="I47">
        <v>659167</v>
      </c>
      <c r="J47">
        <v>1433581</v>
      </c>
      <c r="K47">
        <v>700645</v>
      </c>
      <c r="L47">
        <v>914082</v>
      </c>
    </row>
    <row r="48" spans="1:12" x14ac:dyDescent="0.35">
      <c r="A48">
        <v>2025</v>
      </c>
      <c r="B48">
        <v>10</v>
      </c>
      <c r="C48" t="s">
        <v>73</v>
      </c>
      <c r="D48" t="s">
        <v>309</v>
      </c>
      <c r="E48" t="s">
        <v>282</v>
      </c>
      <c r="F48">
        <v>5166</v>
      </c>
      <c r="G48">
        <v>898448</v>
      </c>
      <c r="H48">
        <v>845486</v>
      </c>
      <c r="I48">
        <v>656667</v>
      </c>
      <c r="J48">
        <v>1459353</v>
      </c>
      <c r="K48">
        <v>710646</v>
      </c>
      <c r="L48">
        <v>1094330</v>
      </c>
    </row>
    <row r="49" spans="1:12" x14ac:dyDescent="0.35">
      <c r="A49">
        <v>2025</v>
      </c>
      <c r="B49">
        <v>11</v>
      </c>
      <c r="C49" t="s">
        <v>74</v>
      </c>
      <c r="D49" t="s">
        <v>309</v>
      </c>
      <c r="E49" t="s">
        <v>280</v>
      </c>
      <c r="F49">
        <v>1217</v>
      </c>
      <c r="G49">
        <v>851885</v>
      </c>
      <c r="H49">
        <v>794611</v>
      </c>
      <c r="I49">
        <v>659167</v>
      </c>
      <c r="J49">
        <v>1451803</v>
      </c>
      <c r="K49">
        <v>700645</v>
      </c>
      <c r="L49">
        <v>889365</v>
      </c>
    </row>
    <row r="50" spans="1:12" x14ac:dyDescent="0.35">
      <c r="A50">
        <v>2025</v>
      </c>
      <c r="B50">
        <v>11</v>
      </c>
      <c r="C50" t="s">
        <v>74</v>
      </c>
      <c r="D50" t="s">
        <v>309</v>
      </c>
      <c r="E50" t="s">
        <v>282</v>
      </c>
      <c r="F50">
        <v>5174</v>
      </c>
      <c r="G50">
        <v>897931</v>
      </c>
      <c r="H50">
        <v>840855</v>
      </c>
      <c r="I50">
        <v>656667</v>
      </c>
      <c r="J50">
        <v>1474303</v>
      </c>
      <c r="K50">
        <v>718145</v>
      </c>
      <c r="L50">
        <v>1099701</v>
      </c>
    </row>
    <row r="51" spans="1:12" x14ac:dyDescent="0.35">
      <c r="A51">
        <v>2025</v>
      </c>
      <c r="B51">
        <v>12</v>
      </c>
      <c r="C51" t="s">
        <v>75</v>
      </c>
      <c r="D51" t="s">
        <v>309</v>
      </c>
      <c r="E51" t="s">
        <v>280</v>
      </c>
      <c r="F51">
        <v>1237</v>
      </c>
      <c r="G51">
        <v>851420</v>
      </c>
      <c r="H51">
        <v>805719</v>
      </c>
      <c r="I51">
        <v>659167</v>
      </c>
      <c r="J51">
        <v>1433581</v>
      </c>
      <c r="K51">
        <v>700646</v>
      </c>
      <c r="L51">
        <v>889365</v>
      </c>
    </row>
    <row r="52" spans="1:12" x14ac:dyDescent="0.35">
      <c r="A52">
        <v>2025</v>
      </c>
      <c r="B52">
        <v>12</v>
      </c>
      <c r="C52" t="s">
        <v>75</v>
      </c>
      <c r="D52" t="s">
        <v>309</v>
      </c>
      <c r="E52" t="s">
        <v>282</v>
      </c>
      <c r="F52">
        <v>5187</v>
      </c>
      <c r="G52">
        <v>897990</v>
      </c>
      <c r="H52">
        <v>840855</v>
      </c>
      <c r="I52">
        <v>656667</v>
      </c>
      <c r="J52">
        <v>1451081</v>
      </c>
      <c r="K52">
        <v>718145</v>
      </c>
      <c r="L52">
        <v>1104701</v>
      </c>
    </row>
  </sheetData>
  <mergeCells count="1">
    <mergeCell ref="A1:L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311</v>
      </c>
      <c r="E5" t="s">
        <v>280</v>
      </c>
      <c r="F5">
        <v>301</v>
      </c>
      <c r="G5">
        <v>413033</v>
      </c>
      <c r="H5">
        <v>378242</v>
      </c>
      <c r="I5">
        <v>309915</v>
      </c>
      <c r="J5">
        <v>812666</v>
      </c>
      <c r="K5">
        <v>347134</v>
      </c>
      <c r="L5">
        <v>445126</v>
      </c>
    </row>
    <row r="6" spans="1:12" x14ac:dyDescent="0.35">
      <c r="A6">
        <v>2024</v>
      </c>
      <c r="B6">
        <v>1</v>
      </c>
      <c r="C6" t="s">
        <v>42</v>
      </c>
      <c r="D6" t="s">
        <v>311</v>
      </c>
      <c r="E6" t="s">
        <v>282</v>
      </c>
      <c r="F6">
        <v>746</v>
      </c>
      <c r="G6">
        <v>449924</v>
      </c>
      <c r="H6">
        <v>410483</v>
      </c>
      <c r="I6">
        <v>309915</v>
      </c>
      <c r="J6">
        <v>812667</v>
      </c>
      <c r="K6">
        <v>364634</v>
      </c>
      <c r="L6">
        <v>498921</v>
      </c>
    </row>
    <row r="7" spans="1:12" x14ac:dyDescent="0.35">
      <c r="A7">
        <v>2024</v>
      </c>
      <c r="B7">
        <v>2</v>
      </c>
      <c r="C7" t="s">
        <v>63</v>
      </c>
      <c r="D7" t="s">
        <v>311</v>
      </c>
      <c r="E7" t="s">
        <v>280</v>
      </c>
      <c r="F7">
        <v>325</v>
      </c>
      <c r="G7">
        <v>413065</v>
      </c>
      <c r="H7">
        <v>374349</v>
      </c>
      <c r="I7">
        <v>309915</v>
      </c>
      <c r="J7">
        <v>812666</v>
      </c>
      <c r="K7">
        <v>358241</v>
      </c>
      <c r="L7">
        <v>443414</v>
      </c>
    </row>
    <row r="8" spans="1:12" x14ac:dyDescent="0.35">
      <c r="A8">
        <v>2024</v>
      </c>
      <c r="B8">
        <v>2</v>
      </c>
      <c r="C8" t="s">
        <v>63</v>
      </c>
      <c r="D8" t="s">
        <v>311</v>
      </c>
      <c r="E8" t="s">
        <v>282</v>
      </c>
      <c r="F8">
        <v>768</v>
      </c>
      <c r="G8">
        <v>451095</v>
      </c>
      <c r="H8">
        <v>411801</v>
      </c>
      <c r="I8">
        <v>309915</v>
      </c>
      <c r="J8">
        <v>812667</v>
      </c>
      <c r="K8">
        <v>371899</v>
      </c>
      <c r="L8">
        <v>499426</v>
      </c>
    </row>
    <row r="9" spans="1:12" x14ac:dyDescent="0.35">
      <c r="A9">
        <v>2024</v>
      </c>
      <c r="B9">
        <v>3</v>
      </c>
      <c r="C9" t="s">
        <v>66</v>
      </c>
      <c r="D9" t="s">
        <v>311</v>
      </c>
      <c r="E9" t="s">
        <v>280</v>
      </c>
      <c r="F9">
        <v>300</v>
      </c>
      <c r="G9">
        <v>422065</v>
      </c>
      <c r="H9">
        <v>381874</v>
      </c>
      <c r="I9">
        <v>309915</v>
      </c>
      <c r="J9">
        <v>812666</v>
      </c>
      <c r="K9">
        <v>358241</v>
      </c>
      <c r="L9">
        <v>461234</v>
      </c>
    </row>
    <row r="10" spans="1:12" x14ac:dyDescent="0.35">
      <c r="A10">
        <v>2024</v>
      </c>
      <c r="B10">
        <v>3</v>
      </c>
      <c r="C10" t="s">
        <v>66</v>
      </c>
      <c r="D10" t="s">
        <v>311</v>
      </c>
      <c r="E10" t="s">
        <v>282</v>
      </c>
      <c r="F10">
        <v>740</v>
      </c>
      <c r="G10">
        <v>460680</v>
      </c>
      <c r="H10">
        <v>423236</v>
      </c>
      <c r="I10">
        <v>309915</v>
      </c>
      <c r="J10">
        <v>812667</v>
      </c>
      <c r="K10">
        <v>373241</v>
      </c>
      <c r="L10">
        <v>522429</v>
      </c>
    </row>
    <row r="11" spans="1:12" x14ac:dyDescent="0.35">
      <c r="A11">
        <v>2024</v>
      </c>
      <c r="B11">
        <v>4</v>
      </c>
      <c r="C11" t="s">
        <v>67</v>
      </c>
      <c r="D11" t="s">
        <v>311</v>
      </c>
      <c r="E11" t="s">
        <v>280</v>
      </c>
      <c r="F11">
        <v>326</v>
      </c>
      <c r="G11">
        <v>415339</v>
      </c>
      <c r="H11">
        <v>375046</v>
      </c>
      <c r="I11">
        <v>309915</v>
      </c>
      <c r="J11">
        <v>812666</v>
      </c>
      <c r="K11">
        <v>358241</v>
      </c>
      <c r="L11">
        <v>445126</v>
      </c>
    </row>
    <row r="12" spans="1:12" x14ac:dyDescent="0.35">
      <c r="A12">
        <v>2024</v>
      </c>
      <c r="B12">
        <v>4</v>
      </c>
      <c r="C12" t="s">
        <v>67</v>
      </c>
      <c r="D12" t="s">
        <v>311</v>
      </c>
      <c r="E12" t="s">
        <v>282</v>
      </c>
      <c r="F12">
        <v>765</v>
      </c>
      <c r="G12">
        <v>452689</v>
      </c>
      <c r="H12">
        <v>411801</v>
      </c>
      <c r="I12">
        <v>309915</v>
      </c>
      <c r="J12">
        <v>812667</v>
      </c>
      <c r="K12">
        <v>371899</v>
      </c>
      <c r="L12">
        <v>506049</v>
      </c>
    </row>
    <row r="13" spans="1:12" x14ac:dyDescent="0.35">
      <c r="A13">
        <v>2024</v>
      </c>
      <c r="B13">
        <v>5</v>
      </c>
      <c r="C13" t="s">
        <v>68</v>
      </c>
      <c r="D13" t="s">
        <v>311</v>
      </c>
      <c r="E13" t="s">
        <v>280</v>
      </c>
      <c r="F13">
        <v>328</v>
      </c>
      <c r="G13">
        <v>414758</v>
      </c>
      <c r="H13">
        <v>376296</v>
      </c>
      <c r="I13">
        <v>309915</v>
      </c>
      <c r="J13">
        <v>812666</v>
      </c>
      <c r="K13">
        <v>358241</v>
      </c>
      <c r="L13">
        <v>443414</v>
      </c>
    </row>
    <row r="14" spans="1:12" x14ac:dyDescent="0.35">
      <c r="A14">
        <v>2024</v>
      </c>
      <c r="B14">
        <v>5</v>
      </c>
      <c r="C14" t="s">
        <v>68</v>
      </c>
      <c r="D14" t="s">
        <v>311</v>
      </c>
      <c r="E14" t="s">
        <v>282</v>
      </c>
      <c r="F14">
        <v>765</v>
      </c>
      <c r="G14">
        <v>451020</v>
      </c>
      <c r="H14">
        <v>411800</v>
      </c>
      <c r="I14">
        <v>309915</v>
      </c>
      <c r="J14">
        <v>812667</v>
      </c>
      <c r="K14">
        <v>371899</v>
      </c>
      <c r="L14">
        <v>501924</v>
      </c>
    </row>
    <row r="15" spans="1:12" x14ac:dyDescent="0.35">
      <c r="A15">
        <v>2024</v>
      </c>
      <c r="B15">
        <v>6</v>
      </c>
      <c r="C15" t="s">
        <v>69</v>
      </c>
      <c r="D15" t="s">
        <v>311</v>
      </c>
      <c r="E15" t="s">
        <v>280</v>
      </c>
      <c r="F15">
        <v>328</v>
      </c>
      <c r="G15">
        <v>414895</v>
      </c>
      <c r="H15">
        <v>376296</v>
      </c>
      <c r="I15">
        <v>309915</v>
      </c>
      <c r="J15">
        <v>812666</v>
      </c>
      <c r="K15">
        <v>358241</v>
      </c>
      <c r="L15">
        <v>443414</v>
      </c>
    </row>
    <row r="16" spans="1:12" x14ac:dyDescent="0.35">
      <c r="A16">
        <v>2024</v>
      </c>
      <c r="B16">
        <v>6</v>
      </c>
      <c r="C16" t="s">
        <v>69</v>
      </c>
      <c r="D16" t="s">
        <v>311</v>
      </c>
      <c r="E16" t="s">
        <v>282</v>
      </c>
      <c r="F16">
        <v>765</v>
      </c>
      <c r="G16">
        <v>451356</v>
      </c>
      <c r="H16">
        <v>411061</v>
      </c>
      <c r="I16">
        <v>309915</v>
      </c>
      <c r="J16">
        <v>812667</v>
      </c>
      <c r="K16">
        <v>371899</v>
      </c>
      <c r="L16">
        <v>503919</v>
      </c>
    </row>
    <row r="17" spans="1:12" x14ac:dyDescent="0.35">
      <c r="A17">
        <v>2024</v>
      </c>
      <c r="B17">
        <v>7</v>
      </c>
      <c r="C17" t="s">
        <v>70</v>
      </c>
      <c r="D17" t="s">
        <v>311</v>
      </c>
      <c r="E17" t="s">
        <v>280</v>
      </c>
      <c r="F17">
        <v>328</v>
      </c>
      <c r="G17">
        <v>416020</v>
      </c>
      <c r="H17">
        <v>378241</v>
      </c>
      <c r="I17">
        <v>309915</v>
      </c>
      <c r="J17">
        <v>812666</v>
      </c>
      <c r="K17">
        <v>358241</v>
      </c>
      <c r="L17">
        <v>445126</v>
      </c>
    </row>
    <row r="18" spans="1:12" x14ac:dyDescent="0.35">
      <c r="A18">
        <v>2024</v>
      </c>
      <c r="B18">
        <v>7</v>
      </c>
      <c r="C18" t="s">
        <v>70</v>
      </c>
      <c r="D18" t="s">
        <v>311</v>
      </c>
      <c r="E18" t="s">
        <v>282</v>
      </c>
      <c r="F18">
        <v>764</v>
      </c>
      <c r="G18">
        <v>452553</v>
      </c>
      <c r="H18">
        <v>414301</v>
      </c>
      <c r="I18">
        <v>309915</v>
      </c>
      <c r="J18">
        <v>812667</v>
      </c>
      <c r="K18">
        <v>371899</v>
      </c>
      <c r="L18">
        <v>506049</v>
      </c>
    </row>
    <row r="19" spans="1:12" x14ac:dyDescent="0.35">
      <c r="A19">
        <v>2024</v>
      </c>
      <c r="B19">
        <v>8</v>
      </c>
      <c r="C19" t="s">
        <v>71</v>
      </c>
      <c r="D19" t="s">
        <v>311</v>
      </c>
      <c r="E19" t="s">
        <v>280</v>
      </c>
      <c r="F19">
        <v>327</v>
      </c>
      <c r="G19">
        <v>417528</v>
      </c>
      <c r="H19">
        <v>378241</v>
      </c>
      <c r="I19">
        <v>309915</v>
      </c>
      <c r="J19">
        <v>812666</v>
      </c>
      <c r="K19">
        <v>358241</v>
      </c>
      <c r="L19">
        <v>450914</v>
      </c>
    </row>
    <row r="20" spans="1:12" x14ac:dyDescent="0.35">
      <c r="A20">
        <v>2024</v>
      </c>
      <c r="B20">
        <v>8</v>
      </c>
      <c r="C20" t="s">
        <v>71</v>
      </c>
      <c r="D20" t="s">
        <v>311</v>
      </c>
      <c r="E20" t="s">
        <v>282</v>
      </c>
      <c r="F20">
        <v>762</v>
      </c>
      <c r="G20">
        <v>453232</v>
      </c>
      <c r="H20">
        <v>412128</v>
      </c>
      <c r="I20">
        <v>309915</v>
      </c>
      <c r="J20">
        <v>812667</v>
      </c>
      <c r="K20">
        <v>371900</v>
      </c>
      <c r="L20">
        <v>506926</v>
      </c>
    </row>
    <row r="21" spans="1:12" x14ac:dyDescent="0.35">
      <c r="A21">
        <v>2024</v>
      </c>
      <c r="B21">
        <v>9</v>
      </c>
      <c r="C21" t="s">
        <v>72</v>
      </c>
      <c r="D21" t="s">
        <v>311</v>
      </c>
      <c r="E21" t="s">
        <v>280</v>
      </c>
      <c r="F21">
        <v>327</v>
      </c>
      <c r="G21">
        <v>417144</v>
      </c>
      <c r="H21">
        <v>379351</v>
      </c>
      <c r="I21">
        <v>309915</v>
      </c>
      <c r="J21">
        <v>812666</v>
      </c>
      <c r="K21">
        <v>358241</v>
      </c>
      <c r="L21">
        <v>455126</v>
      </c>
    </row>
    <row r="22" spans="1:12" x14ac:dyDescent="0.35">
      <c r="A22">
        <v>2024</v>
      </c>
      <c r="B22">
        <v>9</v>
      </c>
      <c r="C22" t="s">
        <v>72</v>
      </c>
      <c r="D22" t="s">
        <v>311</v>
      </c>
      <c r="E22" t="s">
        <v>282</v>
      </c>
      <c r="F22">
        <v>762</v>
      </c>
      <c r="G22">
        <v>452301</v>
      </c>
      <c r="H22">
        <v>412128</v>
      </c>
      <c r="I22">
        <v>309915</v>
      </c>
      <c r="J22">
        <v>812667</v>
      </c>
      <c r="K22">
        <v>371900</v>
      </c>
      <c r="L22">
        <v>502342</v>
      </c>
    </row>
    <row r="23" spans="1:12" x14ac:dyDescent="0.35">
      <c r="A23">
        <v>2024</v>
      </c>
      <c r="B23">
        <v>10</v>
      </c>
      <c r="C23" t="s">
        <v>73</v>
      </c>
      <c r="D23" t="s">
        <v>311</v>
      </c>
      <c r="E23" t="s">
        <v>280</v>
      </c>
      <c r="F23">
        <v>328</v>
      </c>
      <c r="G23">
        <v>416758</v>
      </c>
      <c r="H23">
        <v>378241</v>
      </c>
      <c r="I23">
        <v>309915</v>
      </c>
      <c r="J23">
        <v>812666</v>
      </c>
      <c r="K23">
        <v>358241</v>
      </c>
      <c r="L23">
        <v>450914</v>
      </c>
    </row>
    <row r="24" spans="1:12" x14ac:dyDescent="0.35">
      <c r="A24">
        <v>2024</v>
      </c>
      <c r="B24">
        <v>10</v>
      </c>
      <c r="C24" t="s">
        <v>73</v>
      </c>
      <c r="D24" t="s">
        <v>311</v>
      </c>
      <c r="E24" t="s">
        <v>282</v>
      </c>
      <c r="F24">
        <v>765</v>
      </c>
      <c r="G24">
        <v>453735</v>
      </c>
      <c r="H24">
        <v>412405</v>
      </c>
      <c r="I24">
        <v>309915</v>
      </c>
      <c r="J24">
        <v>812667</v>
      </c>
      <c r="K24">
        <v>371900</v>
      </c>
      <c r="L24">
        <v>506049</v>
      </c>
    </row>
    <row r="25" spans="1:12" x14ac:dyDescent="0.35">
      <c r="A25">
        <v>2024</v>
      </c>
      <c r="B25">
        <v>11</v>
      </c>
      <c r="C25" t="s">
        <v>74</v>
      </c>
      <c r="D25" t="s">
        <v>311</v>
      </c>
      <c r="E25" t="s">
        <v>280</v>
      </c>
      <c r="F25">
        <v>327</v>
      </c>
      <c r="G25">
        <v>416174</v>
      </c>
      <c r="H25">
        <v>378241</v>
      </c>
      <c r="I25">
        <v>309915</v>
      </c>
      <c r="J25">
        <v>812666</v>
      </c>
      <c r="K25">
        <v>358241</v>
      </c>
      <c r="L25">
        <v>448415</v>
      </c>
    </row>
    <row r="26" spans="1:12" x14ac:dyDescent="0.35">
      <c r="A26">
        <v>2024</v>
      </c>
      <c r="B26">
        <v>11</v>
      </c>
      <c r="C26" t="s">
        <v>74</v>
      </c>
      <c r="D26" t="s">
        <v>311</v>
      </c>
      <c r="E26" t="s">
        <v>282</v>
      </c>
      <c r="F26">
        <v>764</v>
      </c>
      <c r="G26">
        <v>453786</v>
      </c>
      <c r="H26">
        <v>412128</v>
      </c>
      <c r="I26">
        <v>309915</v>
      </c>
      <c r="J26">
        <v>812667</v>
      </c>
      <c r="K26">
        <v>372132</v>
      </c>
      <c r="L26">
        <v>506926</v>
      </c>
    </row>
    <row r="27" spans="1:12" x14ac:dyDescent="0.35">
      <c r="A27">
        <v>2024</v>
      </c>
      <c r="B27">
        <v>12</v>
      </c>
      <c r="C27" t="s">
        <v>75</v>
      </c>
      <c r="D27" t="s">
        <v>311</v>
      </c>
      <c r="E27" t="s">
        <v>280</v>
      </c>
      <c r="F27">
        <v>348</v>
      </c>
      <c r="G27">
        <v>412178</v>
      </c>
      <c r="H27">
        <v>371899</v>
      </c>
      <c r="I27">
        <v>309915</v>
      </c>
      <c r="J27">
        <v>812666</v>
      </c>
      <c r="K27">
        <v>353241</v>
      </c>
      <c r="L27">
        <v>443414</v>
      </c>
    </row>
    <row r="28" spans="1:12" x14ac:dyDescent="0.35">
      <c r="A28">
        <v>2024</v>
      </c>
      <c r="B28">
        <v>12</v>
      </c>
      <c r="C28" t="s">
        <v>75</v>
      </c>
      <c r="D28" t="s">
        <v>311</v>
      </c>
      <c r="E28" t="s">
        <v>282</v>
      </c>
      <c r="F28">
        <v>782</v>
      </c>
      <c r="G28">
        <v>452857</v>
      </c>
      <c r="H28">
        <v>412128</v>
      </c>
      <c r="I28">
        <v>309915</v>
      </c>
      <c r="J28">
        <v>812667</v>
      </c>
      <c r="K28">
        <v>371899</v>
      </c>
      <c r="L28">
        <v>506926</v>
      </c>
    </row>
    <row r="29" spans="1:12" x14ac:dyDescent="0.35">
      <c r="A29">
        <v>2025</v>
      </c>
      <c r="B29">
        <v>1</v>
      </c>
      <c r="C29" t="s">
        <v>42</v>
      </c>
      <c r="D29" t="s">
        <v>311</v>
      </c>
      <c r="E29" t="s">
        <v>280</v>
      </c>
      <c r="F29">
        <v>352</v>
      </c>
      <c r="G29">
        <v>438716</v>
      </c>
      <c r="H29">
        <v>397102</v>
      </c>
      <c r="I29">
        <v>309917</v>
      </c>
      <c r="J29">
        <v>812666</v>
      </c>
      <c r="K29">
        <v>358241</v>
      </c>
      <c r="L29">
        <v>506924</v>
      </c>
    </row>
    <row r="30" spans="1:12" x14ac:dyDescent="0.35">
      <c r="A30">
        <v>2025</v>
      </c>
      <c r="B30">
        <v>1</v>
      </c>
      <c r="C30" t="s">
        <v>42</v>
      </c>
      <c r="D30" t="s">
        <v>311</v>
      </c>
      <c r="E30" t="s">
        <v>282</v>
      </c>
      <c r="F30">
        <v>781</v>
      </c>
      <c r="G30">
        <v>463624</v>
      </c>
      <c r="H30">
        <v>425409</v>
      </c>
      <c r="I30">
        <v>309915</v>
      </c>
      <c r="J30">
        <v>812667</v>
      </c>
      <c r="K30">
        <v>373241</v>
      </c>
      <c r="L30">
        <v>524424</v>
      </c>
    </row>
    <row r="31" spans="1:12" x14ac:dyDescent="0.35">
      <c r="A31">
        <v>2025</v>
      </c>
      <c r="B31">
        <v>2</v>
      </c>
      <c r="C31" t="s">
        <v>63</v>
      </c>
      <c r="D31" t="s">
        <v>311</v>
      </c>
      <c r="E31" t="s">
        <v>280</v>
      </c>
      <c r="F31">
        <v>375</v>
      </c>
      <c r="G31">
        <v>423341</v>
      </c>
      <c r="H31">
        <v>391801</v>
      </c>
      <c r="I31">
        <v>309917</v>
      </c>
      <c r="J31">
        <v>812666</v>
      </c>
      <c r="K31">
        <v>358241</v>
      </c>
      <c r="L31">
        <v>460005</v>
      </c>
    </row>
    <row r="32" spans="1:12" x14ac:dyDescent="0.35">
      <c r="A32">
        <v>2025</v>
      </c>
      <c r="B32">
        <v>2</v>
      </c>
      <c r="C32" t="s">
        <v>63</v>
      </c>
      <c r="D32" t="s">
        <v>311</v>
      </c>
      <c r="E32" t="s">
        <v>282</v>
      </c>
      <c r="F32">
        <v>785</v>
      </c>
      <c r="G32">
        <v>456705</v>
      </c>
      <c r="H32">
        <v>421801</v>
      </c>
      <c r="I32">
        <v>309915</v>
      </c>
      <c r="J32">
        <v>817666</v>
      </c>
      <c r="K32">
        <v>373241</v>
      </c>
      <c r="L32">
        <v>506924</v>
      </c>
    </row>
    <row r="33" spans="1:12" x14ac:dyDescent="0.35">
      <c r="A33">
        <v>2025</v>
      </c>
      <c r="B33">
        <v>3</v>
      </c>
      <c r="C33" t="s">
        <v>66</v>
      </c>
      <c r="D33" t="s">
        <v>311</v>
      </c>
      <c r="E33" t="s">
        <v>280</v>
      </c>
      <c r="F33">
        <v>375</v>
      </c>
      <c r="G33">
        <v>423031</v>
      </c>
      <c r="H33">
        <v>391801</v>
      </c>
      <c r="I33">
        <v>309917</v>
      </c>
      <c r="J33">
        <v>812666</v>
      </c>
      <c r="K33">
        <v>358241</v>
      </c>
      <c r="L33">
        <v>460005</v>
      </c>
    </row>
    <row r="34" spans="1:12" x14ac:dyDescent="0.35">
      <c r="A34">
        <v>2025</v>
      </c>
      <c r="B34">
        <v>3</v>
      </c>
      <c r="C34" t="s">
        <v>66</v>
      </c>
      <c r="D34" t="s">
        <v>311</v>
      </c>
      <c r="E34" t="s">
        <v>282</v>
      </c>
      <c r="F34">
        <v>783</v>
      </c>
      <c r="G34">
        <v>456984</v>
      </c>
      <c r="H34">
        <v>422404</v>
      </c>
      <c r="I34">
        <v>309915</v>
      </c>
      <c r="J34">
        <v>817666</v>
      </c>
      <c r="K34">
        <v>373241</v>
      </c>
      <c r="L34">
        <v>509424</v>
      </c>
    </row>
    <row r="35" spans="1:12" x14ac:dyDescent="0.35">
      <c r="A35">
        <v>2025</v>
      </c>
      <c r="B35">
        <v>4</v>
      </c>
      <c r="C35" t="s">
        <v>67</v>
      </c>
      <c r="D35" t="s">
        <v>311</v>
      </c>
      <c r="E35" t="s">
        <v>280</v>
      </c>
      <c r="F35">
        <v>375</v>
      </c>
      <c r="G35">
        <v>423341</v>
      </c>
      <c r="H35">
        <v>391801</v>
      </c>
      <c r="I35">
        <v>309917</v>
      </c>
      <c r="J35">
        <v>812666</v>
      </c>
      <c r="K35">
        <v>358241</v>
      </c>
      <c r="L35">
        <v>460005</v>
      </c>
    </row>
    <row r="36" spans="1:12" x14ac:dyDescent="0.35">
      <c r="A36">
        <v>2025</v>
      </c>
      <c r="B36">
        <v>4</v>
      </c>
      <c r="C36" t="s">
        <v>67</v>
      </c>
      <c r="D36" t="s">
        <v>311</v>
      </c>
      <c r="E36" t="s">
        <v>282</v>
      </c>
      <c r="F36">
        <v>785</v>
      </c>
      <c r="G36">
        <v>456705</v>
      </c>
      <c r="H36">
        <v>421801</v>
      </c>
      <c r="I36">
        <v>309915</v>
      </c>
      <c r="J36">
        <v>817666</v>
      </c>
      <c r="K36">
        <v>373241</v>
      </c>
      <c r="L36">
        <v>506924</v>
      </c>
    </row>
    <row r="37" spans="1:12" x14ac:dyDescent="0.35">
      <c r="A37">
        <v>2025</v>
      </c>
      <c r="B37">
        <v>5</v>
      </c>
      <c r="C37" t="s">
        <v>68</v>
      </c>
      <c r="D37" t="s">
        <v>311</v>
      </c>
      <c r="E37" t="s">
        <v>280</v>
      </c>
      <c r="F37">
        <v>375</v>
      </c>
      <c r="G37">
        <v>423912</v>
      </c>
      <c r="H37">
        <v>392404</v>
      </c>
      <c r="I37">
        <v>309917</v>
      </c>
      <c r="J37">
        <v>812666</v>
      </c>
      <c r="K37">
        <v>358241</v>
      </c>
      <c r="L37">
        <v>460005</v>
      </c>
    </row>
    <row r="38" spans="1:12" x14ac:dyDescent="0.35">
      <c r="A38">
        <v>2025</v>
      </c>
      <c r="B38">
        <v>5</v>
      </c>
      <c r="C38" t="s">
        <v>68</v>
      </c>
      <c r="D38" t="s">
        <v>311</v>
      </c>
      <c r="E38" t="s">
        <v>282</v>
      </c>
      <c r="F38">
        <v>782</v>
      </c>
      <c r="G38">
        <v>458164</v>
      </c>
      <c r="H38">
        <v>422102</v>
      </c>
      <c r="I38">
        <v>309915</v>
      </c>
      <c r="J38">
        <v>817666</v>
      </c>
      <c r="K38">
        <v>373241</v>
      </c>
      <c r="L38">
        <v>511050</v>
      </c>
    </row>
    <row r="39" spans="1:12" x14ac:dyDescent="0.35">
      <c r="A39">
        <v>2025</v>
      </c>
      <c r="B39">
        <v>6</v>
      </c>
      <c r="C39" t="s">
        <v>69</v>
      </c>
      <c r="D39" t="s">
        <v>311</v>
      </c>
      <c r="E39" t="s">
        <v>280</v>
      </c>
      <c r="F39">
        <v>374</v>
      </c>
      <c r="G39">
        <v>429153</v>
      </c>
      <c r="H39">
        <v>392404</v>
      </c>
      <c r="I39">
        <v>309917</v>
      </c>
      <c r="J39">
        <v>812666</v>
      </c>
      <c r="K39">
        <v>358241</v>
      </c>
      <c r="L39">
        <v>461235</v>
      </c>
    </row>
    <row r="40" spans="1:12" x14ac:dyDescent="0.35">
      <c r="A40">
        <v>2025</v>
      </c>
      <c r="B40">
        <v>6</v>
      </c>
      <c r="C40" t="s">
        <v>69</v>
      </c>
      <c r="D40" t="s">
        <v>311</v>
      </c>
      <c r="E40" t="s">
        <v>282</v>
      </c>
      <c r="F40">
        <v>780</v>
      </c>
      <c r="G40">
        <v>468097</v>
      </c>
      <c r="H40">
        <v>432909</v>
      </c>
      <c r="I40">
        <v>309915</v>
      </c>
      <c r="J40">
        <v>849332</v>
      </c>
      <c r="K40">
        <v>375741</v>
      </c>
      <c r="L40">
        <v>527429</v>
      </c>
    </row>
    <row r="41" spans="1:12" x14ac:dyDescent="0.35">
      <c r="A41">
        <v>2025</v>
      </c>
      <c r="B41">
        <v>7</v>
      </c>
      <c r="C41" t="s">
        <v>70</v>
      </c>
      <c r="D41" t="s">
        <v>311</v>
      </c>
      <c r="E41" t="s">
        <v>280</v>
      </c>
      <c r="F41">
        <v>350</v>
      </c>
      <c r="G41">
        <v>425612</v>
      </c>
      <c r="H41">
        <v>386875</v>
      </c>
      <c r="I41">
        <v>309917</v>
      </c>
      <c r="J41">
        <v>851336</v>
      </c>
      <c r="K41">
        <v>358241</v>
      </c>
      <c r="L41">
        <v>468921</v>
      </c>
    </row>
    <row r="42" spans="1:12" x14ac:dyDescent="0.35">
      <c r="A42">
        <v>2025</v>
      </c>
      <c r="B42">
        <v>7</v>
      </c>
      <c r="C42" t="s">
        <v>70</v>
      </c>
      <c r="D42" t="s">
        <v>311</v>
      </c>
      <c r="E42" t="s">
        <v>282</v>
      </c>
      <c r="F42">
        <v>761</v>
      </c>
      <c r="G42">
        <v>467002</v>
      </c>
      <c r="H42">
        <v>426800</v>
      </c>
      <c r="I42">
        <v>309915</v>
      </c>
      <c r="J42">
        <v>838942</v>
      </c>
      <c r="K42">
        <v>374351</v>
      </c>
      <c r="L42">
        <v>524424</v>
      </c>
    </row>
    <row r="43" spans="1:12" x14ac:dyDescent="0.35">
      <c r="A43">
        <v>2025</v>
      </c>
      <c r="B43">
        <v>8</v>
      </c>
      <c r="C43" t="s">
        <v>71</v>
      </c>
      <c r="D43" t="s">
        <v>311</v>
      </c>
      <c r="E43" t="s">
        <v>280</v>
      </c>
      <c r="F43">
        <v>373</v>
      </c>
      <c r="G43">
        <v>417613</v>
      </c>
      <c r="H43">
        <v>379399</v>
      </c>
      <c r="I43">
        <v>309917</v>
      </c>
      <c r="J43">
        <v>812666</v>
      </c>
      <c r="K43">
        <v>352134</v>
      </c>
      <c r="L43">
        <v>452626</v>
      </c>
    </row>
    <row r="44" spans="1:12" x14ac:dyDescent="0.35">
      <c r="A44">
        <v>2025</v>
      </c>
      <c r="B44">
        <v>8</v>
      </c>
      <c r="C44" t="s">
        <v>71</v>
      </c>
      <c r="D44" t="s">
        <v>311</v>
      </c>
      <c r="E44" t="s">
        <v>282</v>
      </c>
      <c r="F44">
        <v>781</v>
      </c>
      <c r="G44">
        <v>458879</v>
      </c>
      <c r="H44">
        <v>416850</v>
      </c>
      <c r="I44">
        <v>309915</v>
      </c>
      <c r="J44">
        <v>817666</v>
      </c>
      <c r="K44">
        <v>373241</v>
      </c>
      <c r="L44">
        <v>512429</v>
      </c>
    </row>
    <row r="45" spans="1:12" x14ac:dyDescent="0.35">
      <c r="A45">
        <v>2025</v>
      </c>
      <c r="B45">
        <v>9</v>
      </c>
      <c r="C45" t="s">
        <v>72</v>
      </c>
      <c r="D45" t="s">
        <v>311</v>
      </c>
      <c r="E45" t="s">
        <v>280</v>
      </c>
      <c r="F45">
        <v>373</v>
      </c>
      <c r="G45">
        <v>416906</v>
      </c>
      <c r="H45">
        <v>380741</v>
      </c>
      <c r="I45">
        <v>309917</v>
      </c>
      <c r="J45">
        <v>812666</v>
      </c>
      <c r="K45">
        <v>352134</v>
      </c>
      <c r="L45">
        <v>452626</v>
      </c>
    </row>
    <row r="46" spans="1:12" x14ac:dyDescent="0.35">
      <c r="A46">
        <v>2025</v>
      </c>
      <c r="B46">
        <v>9</v>
      </c>
      <c r="C46" t="s">
        <v>72</v>
      </c>
      <c r="D46" t="s">
        <v>311</v>
      </c>
      <c r="E46" t="s">
        <v>282</v>
      </c>
      <c r="F46">
        <v>782</v>
      </c>
      <c r="G46">
        <v>458142</v>
      </c>
      <c r="H46">
        <v>418606</v>
      </c>
      <c r="I46">
        <v>309915</v>
      </c>
      <c r="J46">
        <v>817666</v>
      </c>
      <c r="K46">
        <v>373241</v>
      </c>
      <c r="L46">
        <v>509929</v>
      </c>
    </row>
    <row r="47" spans="1:12" x14ac:dyDescent="0.35">
      <c r="A47">
        <v>2025</v>
      </c>
      <c r="B47">
        <v>10</v>
      </c>
      <c r="C47" t="s">
        <v>73</v>
      </c>
      <c r="D47" t="s">
        <v>311</v>
      </c>
      <c r="E47" t="s">
        <v>280</v>
      </c>
      <c r="F47">
        <v>372</v>
      </c>
      <c r="G47">
        <v>416801</v>
      </c>
      <c r="H47">
        <v>379399</v>
      </c>
      <c r="I47">
        <v>309917</v>
      </c>
      <c r="J47">
        <v>812666</v>
      </c>
      <c r="K47">
        <v>352134</v>
      </c>
      <c r="L47">
        <v>448415</v>
      </c>
    </row>
    <row r="48" spans="1:12" x14ac:dyDescent="0.35">
      <c r="A48">
        <v>2025</v>
      </c>
      <c r="B48">
        <v>10</v>
      </c>
      <c r="C48" t="s">
        <v>73</v>
      </c>
      <c r="D48" t="s">
        <v>311</v>
      </c>
      <c r="E48" t="s">
        <v>282</v>
      </c>
      <c r="F48">
        <v>782</v>
      </c>
      <c r="G48">
        <v>458103</v>
      </c>
      <c r="H48">
        <v>418606</v>
      </c>
      <c r="I48">
        <v>309915</v>
      </c>
      <c r="J48">
        <v>817666</v>
      </c>
      <c r="K48">
        <v>373241</v>
      </c>
      <c r="L48">
        <v>509929</v>
      </c>
    </row>
    <row r="49" spans="1:12" x14ac:dyDescent="0.35">
      <c r="A49">
        <v>2025</v>
      </c>
      <c r="B49">
        <v>11</v>
      </c>
      <c r="C49" t="s">
        <v>74</v>
      </c>
      <c r="D49" t="s">
        <v>311</v>
      </c>
      <c r="E49" t="s">
        <v>280</v>
      </c>
      <c r="F49">
        <v>372</v>
      </c>
      <c r="G49">
        <v>416915</v>
      </c>
      <c r="H49">
        <v>379399</v>
      </c>
      <c r="I49">
        <v>309917</v>
      </c>
      <c r="J49">
        <v>812666</v>
      </c>
      <c r="K49">
        <v>352134</v>
      </c>
      <c r="L49">
        <v>448415</v>
      </c>
    </row>
    <row r="50" spans="1:12" x14ac:dyDescent="0.35">
      <c r="A50">
        <v>2025</v>
      </c>
      <c r="B50">
        <v>11</v>
      </c>
      <c r="C50" t="s">
        <v>74</v>
      </c>
      <c r="D50" t="s">
        <v>311</v>
      </c>
      <c r="E50" t="s">
        <v>282</v>
      </c>
      <c r="F50">
        <v>782</v>
      </c>
      <c r="G50">
        <v>458186</v>
      </c>
      <c r="H50">
        <v>418606</v>
      </c>
      <c r="I50">
        <v>309915</v>
      </c>
      <c r="J50">
        <v>817666</v>
      </c>
      <c r="K50">
        <v>373241</v>
      </c>
      <c r="L50">
        <v>509929</v>
      </c>
    </row>
    <row r="51" spans="1:12" x14ac:dyDescent="0.35">
      <c r="A51">
        <v>2025</v>
      </c>
      <c r="B51">
        <v>12</v>
      </c>
      <c r="C51" t="s">
        <v>75</v>
      </c>
      <c r="D51" t="s">
        <v>311</v>
      </c>
      <c r="E51" t="s">
        <v>280</v>
      </c>
      <c r="F51">
        <v>372</v>
      </c>
      <c r="G51">
        <v>417005</v>
      </c>
      <c r="H51">
        <v>379399</v>
      </c>
      <c r="I51">
        <v>309917</v>
      </c>
      <c r="J51">
        <v>812666</v>
      </c>
      <c r="K51">
        <v>352134</v>
      </c>
      <c r="L51">
        <v>452626</v>
      </c>
    </row>
    <row r="52" spans="1:12" x14ac:dyDescent="0.35">
      <c r="A52">
        <v>2025</v>
      </c>
      <c r="B52">
        <v>12</v>
      </c>
      <c r="C52" t="s">
        <v>75</v>
      </c>
      <c r="D52" t="s">
        <v>311</v>
      </c>
      <c r="E52" t="s">
        <v>282</v>
      </c>
      <c r="F52">
        <v>782</v>
      </c>
      <c r="G52">
        <v>458221</v>
      </c>
      <c r="H52">
        <v>419300</v>
      </c>
      <c r="I52">
        <v>309915</v>
      </c>
      <c r="J52">
        <v>817666</v>
      </c>
      <c r="K52">
        <v>373241</v>
      </c>
      <c r="L52">
        <v>509929</v>
      </c>
    </row>
  </sheetData>
  <mergeCells count="1">
    <mergeCell ref="A1:L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313</v>
      </c>
      <c r="E5" t="s">
        <v>280</v>
      </c>
      <c r="F5">
        <v>669</v>
      </c>
      <c r="G5">
        <v>340155</v>
      </c>
      <c r="H5">
        <v>320519</v>
      </c>
      <c r="I5">
        <v>255297</v>
      </c>
      <c r="J5">
        <v>695411</v>
      </c>
      <c r="K5">
        <v>283486</v>
      </c>
      <c r="L5">
        <v>364866</v>
      </c>
    </row>
    <row r="6" spans="1:12" x14ac:dyDescent="0.35">
      <c r="A6">
        <v>2024</v>
      </c>
      <c r="B6">
        <v>1</v>
      </c>
      <c r="C6" t="s">
        <v>42</v>
      </c>
      <c r="D6" t="s">
        <v>313</v>
      </c>
      <c r="E6" t="s">
        <v>282</v>
      </c>
      <c r="F6">
        <v>2542</v>
      </c>
      <c r="G6">
        <v>351427</v>
      </c>
      <c r="H6">
        <v>330286</v>
      </c>
      <c r="I6">
        <v>239743</v>
      </c>
      <c r="J6">
        <v>740916</v>
      </c>
      <c r="K6">
        <v>290752</v>
      </c>
      <c r="L6">
        <v>378795</v>
      </c>
    </row>
    <row r="7" spans="1:12" x14ac:dyDescent="0.35">
      <c r="A7">
        <v>2024</v>
      </c>
      <c r="B7">
        <v>2</v>
      </c>
      <c r="C7" t="s">
        <v>63</v>
      </c>
      <c r="D7" t="s">
        <v>313</v>
      </c>
      <c r="E7" t="s">
        <v>280</v>
      </c>
      <c r="F7">
        <v>677</v>
      </c>
      <c r="G7">
        <v>343107</v>
      </c>
      <c r="H7">
        <v>321627</v>
      </c>
      <c r="I7">
        <v>255297</v>
      </c>
      <c r="J7">
        <v>716541</v>
      </c>
      <c r="K7">
        <v>283486</v>
      </c>
      <c r="L7">
        <v>366080</v>
      </c>
    </row>
    <row r="8" spans="1:12" x14ac:dyDescent="0.35">
      <c r="A8">
        <v>2024</v>
      </c>
      <c r="B8">
        <v>2</v>
      </c>
      <c r="C8" t="s">
        <v>63</v>
      </c>
      <c r="D8" t="s">
        <v>313</v>
      </c>
      <c r="E8" t="s">
        <v>282</v>
      </c>
      <c r="F8">
        <v>2562</v>
      </c>
      <c r="G8">
        <v>355349</v>
      </c>
      <c r="H8">
        <v>332350</v>
      </c>
      <c r="I8">
        <v>239743</v>
      </c>
      <c r="J8">
        <v>740916</v>
      </c>
      <c r="K8">
        <v>290752</v>
      </c>
      <c r="L8">
        <v>383290</v>
      </c>
    </row>
    <row r="9" spans="1:12" x14ac:dyDescent="0.35">
      <c r="A9">
        <v>2024</v>
      </c>
      <c r="B9">
        <v>3</v>
      </c>
      <c r="C9" t="s">
        <v>66</v>
      </c>
      <c r="D9" t="s">
        <v>313</v>
      </c>
      <c r="E9" t="s">
        <v>280</v>
      </c>
      <c r="F9">
        <v>693</v>
      </c>
      <c r="G9">
        <v>341529</v>
      </c>
      <c r="H9">
        <v>321073</v>
      </c>
      <c r="I9">
        <v>255297</v>
      </c>
      <c r="J9">
        <v>706149</v>
      </c>
      <c r="K9">
        <v>280986</v>
      </c>
      <c r="L9">
        <v>364866</v>
      </c>
    </row>
    <row r="10" spans="1:12" x14ac:dyDescent="0.35">
      <c r="A10">
        <v>2024</v>
      </c>
      <c r="B10">
        <v>3</v>
      </c>
      <c r="C10" t="s">
        <v>66</v>
      </c>
      <c r="D10" t="s">
        <v>313</v>
      </c>
      <c r="E10" t="s">
        <v>282</v>
      </c>
      <c r="F10">
        <v>2618</v>
      </c>
      <c r="G10">
        <v>353082</v>
      </c>
      <c r="H10">
        <v>330286</v>
      </c>
      <c r="I10">
        <v>239743</v>
      </c>
      <c r="J10">
        <v>740916</v>
      </c>
      <c r="K10">
        <v>290752</v>
      </c>
      <c r="L10">
        <v>380974</v>
      </c>
    </row>
    <row r="11" spans="1:12" x14ac:dyDescent="0.35">
      <c r="A11">
        <v>2024</v>
      </c>
      <c r="B11">
        <v>4</v>
      </c>
      <c r="C11" t="s">
        <v>67</v>
      </c>
      <c r="D11" t="s">
        <v>313</v>
      </c>
      <c r="E11" t="s">
        <v>280</v>
      </c>
      <c r="F11">
        <v>712</v>
      </c>
      <c r="G11">
        <v>340000</v>
      </c>
      <c r="H11">
        <v>319202</v>
      </c>
      <c r="I11">
        <v>255297</v>
      </c>
      <c r="J11">
        <v>706149</v>
      </c>
      <c r="K11">
        <v>280986</v>
      </c>
      <c r="L11">
        <v>364866</v>
      </c>
    </row>
    <row r="12" spans="1:12" x14ac:dyDescent="0.35">
      <c r="A12">
        <v>2024</v>
      </c>
      <c r="B12">
        <v>4</v>
      </c>
      <c r="C12" t="s">
        <v>67</v>
      </c>
      <c r="D12" t="s">
        <v>313</v>
      </c>
      <c r="E12" t="s">
        <v>282</v>
      </c>
      <c r="F12">
        <v>2697</v>
      </c>
      <c r="G12">
        <v>352299</v>
      </c>
      <c r="H12">
        <v>330286</v>
      </c>
      <c r="I12">
        <v>239743</v>
      </c>
      <c r="J12">
        <v>740916</v>
      </c>
      <c r="K12">
        <v>290986</v>
      </c>
      <c r="L12">
        <v>380976</v>
      </c>
    </row>
    <row r="13" spans="1:12" x14ac:dyDescent="0.35">
      <c r="A13">
        <v>2024</v>
      </c>
      <c r="B13">
        <v>5</v>
      </c>
      <c r="C13" t="s">
        <v>68</v>
      </c>
      <c r="D13" t="s">
        <v>313</v>
      </c>
      <c r="E13" t="s">
        <v>280</v>
      </c>
      <c r="F13">
        <v>728</v>
      </c>
      <c r="G13">
        <v>339609</v>
      </c>
      <c r="H13">
        <v>317697</v>
      </c>
      <c r="I13">
        <v>255297</v>
      </c>
      <c r="J13">
        <v>706149</v>
      </c>
      <c r="K13">
        <v>283486</v>
      </c>
      <c r="L13">
        <v>363474</v>
      </c>
    </row>
    <row r="14" spans="1:12" x14ac:dyDescent="0.35">
      <c r="A14">
        <v>2024</v>
      </c>
      <c r="B14">
        <v>5</v>
      </c>
      <c r="C14" t="s">
        <v>68</v>
      </c>
      <c r="D14" t="s">
        <v>313</v>
      </c>
      <c r="E14" t="s">
        <v>282</v>
      </c>
      <c r="F14">
        <v>2737</v>
      </c>
      <c r="G14">
        <v>351437</v>
      </c>
      <c r="H14">
        <v>330286</v>
      </c>
      <c r="I14">
        <v>239743</v>
      </c>
      <c r="J14">
        <v>740916</v>
      </c>
      <c r="K14">
        <v>290752</v>
      </c>
      <c r="L14">
        <v>380974</v>
      </c>
    </row>
    <row r="15" spans="1:12" x14ac:dyDescent="0.35">
      <c r="A15">
        <v>2024</v>
      </c>
      <c r="B15">
        <v>6</v>
      </c>
      <c r="C15" t="s">
        <v>69</v>
      </c>
      <c r="D15" t="s">
        <v>313</v>
      </c>
      <c r="E15" t="s">
        <v>280</v>
      </c>
      <c r="F15">
        <v>754</v>
      </c>
      <c r="G15">
        <v>338711</v>
      </c>
      <c r="H15">
        <v>313574</v>
      </c>
      <c r="I15">
        <v>255297</v>
      </c>
      <c r="J15">
        <v>706149</v>
      </c>
      <c r="K15">
        <v>283486</v>
      </c>
      <c r="L15">
        <v>360790</v>
      </c>
    </row>
    <row r="16" spans="1:12" x14ac:dyDescent="0.35">
      <c r="A16">
        <v>2024</v>
      </c>
      <c r="B16">
        <v>6</v>
      </c>
      <c r="C16" t="s">
        <v>69</v>
      </c>
      <c r="D16" t="s">
        <v>313</v>
      </c>
      <c r="E16" t="s">
        <v>282</v>
      </c>
      <c r="F16">
        <v>2796</v>
      </c>
      <c r="G16">
        <v>351622</v>
      </c>
      <c r="H16">
        <v>330286</v>
      </c>
      <c r="I16">
        <v>239743</v>
      </c>
      <c r="J16">
        <v>740916</v>
      </c>
      <c r="K16">
        <v>290986</v>
      </c>
      <c r="L16">
        <v>379866</v>
      </c>
    </row>
    <row r="17" spans="1:12" x14ac:dyDescent="0.35">
      <c r="A17">
        <v>2024</v>
      </c>
      <c r="B17">
        <v>7</v>
      </c>
      <c r="C17" t="s">
        <v>70</v>
      </c>
      <c r="D17" t="s">
        <v>313</v>
      </c>
      <c r="E17" t="s">
        <v>280</v>
      </c>
      <c r="F17">
        <v>768</v>
      </c>
      <c r="G17">
        <v>338768</v>
      </c>
      <c r="H17">
        <v>313573</v>
      </c>
      <c r="I17">
        <v>255297</v>
      </c>
      <c r="J17">
        <v>706149</v>
      </c>
      <c r="K17">
        <v>283486</v>
      </c>
      <c r="L17">
        <v>360286</v>
      </c>
    </row>
    <row r="18" spans="1:12" x14ac:dyDescent="0.35">
      <c r="A18">
        <v>2024</v>
      </c>
      <c r="B18">
        <v>7</v>
      </c>
      <c r="C18" t="s">
        <v>70</v>
      </c>
      <c r="D18" t="s">
        <v>313</v>
      </c>
      <c r="E18" t="s">
        <v>282</v>
      </c>
      <c r="F18">
        <v>2831</v>
      </c>
      <c r="G18">
        <v>352144</v>
      </c>
      <c r="H18">
        <v>330286</v>
      </c>
      <c r="I18">
        <v>242797</v>
      </c>
      <c r="J18">
        <v>740916</v>
      </c>
      <c r="K18">
        <v>290986</v>
      </c>
      <c r="L18">
        <v>380974</v>
      </c>
    </row>
    <row r="19" spans="1:12" x14ac:dyDescent="0.35">
      <c r="A19">
        <v>2024</v>
      </c>
      <c r="B19">
        <v>8</v>
      </c>
      <c r="C19" t="s">
        <v>71</v>
      </c>
      <c r="D19" t="s">
        <v>313</v>
      </c>
      <c r="E19" t="s">
        <v>280</v>
      </c>
      <c r="F19">
        <v>772</v>
      </c>
      <c r="G19">
        <v>339602</v>
      </c>
      <c r="H19">
        <v>314550</v>
      </c>
      <c r="I19">
        <v>255297</v>
      </c>
      <c r="J19">
        <v>706149</v>
      </c>
      <c r="K19">
        <v>283486</v>
      </c>
      <c r="L19">
        <v>364866</v>
      </c>
    </row>
    <row r="20" spans="1:12" x14ac:dyDescent="0.35">
      <c r="A20">
        <v>2024</v>
      </c>
      <c r="B20">
        <v>8</v>
      </c>
      <c r="C20" t="s">
        <v>71</v>
      </c>
      <c r="D20" t="s">
        <v>313</v>
      </c>
      <c r="E20" t="s">
        <v>282</v>
      </c>
      <c r="F20">
        <v>2863</v>
      </c>
      <c r="G20">
        <v>353171</v>
      </c>
      <c r="H20">
        <v>330286</v>
      </c>
      <c r="I20">
        <v>242797</v>
      </c>
      <c r="J20">
        <v>740916</v>
      </c>
      <c r="K20">
        <v>290986</v>
      </c>
      <c r="L20">
        <v>380974</v>
      </c>
    </row>
    <row r="21" spans="1:12" x14ac:dyDescent="0.35">
      <c r="A21">
        <v>2024</v>
      </c>
      <c r="B21">
        <v>9</v>
      </c>
      <c r="C21" t="s">
        <v>72</v>
      </c>
      <c r="D21" t="s">
        <v>313</v>
      </c>
      <c r="E21" t="s">
        <v>280</v>
      </c>
      <c r="F21">
        <v>775</v>
      </c>
      <c r="G21">
        <v>338864</v>
      </c>
      <c r="H21">
        <v>313573</v>
      </c>
      <c r="I21">
        <v>255297</v>
      </c>
      <c r="J21">
        <v>706149</v>
      </c>
      <c r="K21">
        <v>283486</v>
      </c>
      <c r="L21">
        <v>360790</v>
      </c>
    </row>
    <row r="22" spans="1:12" x14ac:dyDescent="0.35">
      <c r="A22">
        <v>2024</v>
      </c>
      <c r="B22">
        <v>9</v>
      </c>
      <c r="C22" t="s">
        <v>72</v>
      </c>
      <c r="D22" t="s">
        <v>313</v>
      </c>
      <c r="E22" t="s">
        <v>282</v>
      </c>
      <c r="F22">
        <v>2901</v>
      </c>
      <c r="G22">
        <v>351798</v>
      </c>
      <c r="H22">
        <v>330286</v>
      </c>
      <c r="I22">
        <v>242797</v>
      </c>
      <c r="J22">
        <v>740916</v>
      </c>
      <c r="K22">
        <v>290986</v>
      </c>
      <c r="L22">
        <v>378795</v>
      </c>
    </row>
    <row r="23" spans="1:12" x14ac:dyDescent="0.35">
      <c r="A23">
        <v>2024</v>
      </c>
      <c r="B23">
        <v>10</v>
      </c>
      <c r="C23" t="s">
        <v>73</v>
      </c>
      <c r="D23" t="s">
        <v>313</v>
      </c>
      <c r="E23" t="s">
        <v>280</v>
      </c>
      <c r="F23">
        <v>776</v>
      </c>
      <c r="G23">
        <v>339051</v>
      </c>
      <c r="H23">
        <v>313574</v>
      </c>
      <c r="I23">
        <v>255297</v>
      </c>
      <c r="J23">
        <v>706149</v>
      </c>
      <c r="K23">
        <v>283486</v>
      </c>
      <c r="L23">
        <v>359866</v>
      </c>
    </row>
    <row r="24" spans="1:12" x14ac:dyDescent="0.35">
      <c r="A24">
        <v>2024</v>
      </c>
      <c r="B24">
        <v>10</v>
      </c>
      <c r="C24" t="s">
        <v>73</v>
      </c>
      <c r="D24" t="s">
        <v>313</v>
      </c>
      <c r="E24" t="s">
        <v>282</v>
      </c>
      <c r="F24">
        <v>2914</v>
      </c>
      <c r="G24">
        <v>351801</v>
      </c>
      <c r="H24">
        <v>330286</v>
      </c>
      <c r="I24">
        <v>242797</v>
      </c>
      <c r="J24">
        <v>740916</v>
      </c>
      <c r="K24">
        <v>290986</v>
      </c>
      <c r="L24">
        <v>379866</v>
      </c>
    </row>
    <row r="25" spans="1:12" x14ac:dyDescent="0.35">
      <c r="A25">
        <v>2024</v>
      </c>
      <c r="B25">
        <v>11</v>
      </c>
      <c r="C25" t="s">
        <v>74</v>
      </c>
      <c r="D25" t="s">
        <v>313</v>
      </c>
      <c r="E25" t="s">
        <v>280</v>
      </c>
      <c r="F25">
        <v>779</v>
      </c>
      <c r="G25">
        <v>339506</v>
      </c>
      <c r="H25">
        <v>313942</v>
      </c>
      <c r="I25">
        <v>255297</v>
      </c>
      <c r="J25">
        <v>706149</v>
      </c>
      <c r="K25">
        <v>283486</v>
      </c>
      <c r="L25">
        <v>360974</v>
      </c>
    </row>
    <row r="26" spans="1:12" x14ac:dyDescent="0.35">
      <c r="A26">
        <v>2024</v>
      </c>
      <c r="B26">
        <v>11</v>
      </c>
      <c r="C26" t="s">
        <v>74</v>
      </c>
      <c r="D26" t="s">
        <v>313</v>
      </c>
      <c r="E26" t="s">
        <v>282</v>
      </c>
      <c r="F26">
        <v>2916</v>
      </c>
      <c r="G26">
        <v>352134</v>
      </c>
      <c r="H26">
        <v>330286</v>
      </c>
      <c r="I26">
        <v>242797</v>
      </c>
      <c r="J26">
        <v>740916</v>
      </c>
      <c r="K26">
        <v>290986</v>
      </c>
      <c r="L26">
        <v>378795</v>
      </c>
    </row>
    <row r="27" spans="1:12" x14ac:dyDescent="0.35">
      <c r="A27">
        <v>2024</v>
      </c>
      <c r="B27">
        <v>12</v>
      </c>
      <c r="C27" t="s">
        <v>75</v>
      </c>
      <c r="D27" t="s">
        <v>313</v>
      </c>
      <c r="E27" t="s">
        <v>280</v>
      </c>
      <c r="F27">
        <v>778</v>
      </c>
      <c r="G27">
        <v>339524</v>
      </c>
      <c r="H27">
        <v>313758</v>
      </c>
      <c r="I27">
        <v>255297</v>
      </c>
      <c r="J27">
        <v>706149</v>
      </c>
      <c r="K27">
        <v>283486</v>
      </c>
      <c r="L27">
        <v>360974</v>
      </c>
    </row>
    <row r="28" spans="1:12" x14ac:dyDescent="0.35">
      <c r="A28">
        <v>2024</v>
      </c>
      <c r="B28">
        <v>12</v>
      </c>
      <c r="C28" t="s">
        <v>75</v>
      </c>
      <c r="D28" t="s">
        <v>313</v>
      </c>
      <c r="E28" t="s">
        <v>282</v>
      </c>
      <c r="F28">
        <v>2918</v>
      </c>
      <c r="G28">
        <v>352191</v>
      </c>
      <c r="H28">
        <v>330286</v>
      </c>
      <c r="I28">
        <v>242797</v>
      </c>
      <c r="J28">
        <v>740916</v>
      </c>
      <c r="K28">
        <v>290986</v>
      </c>
      <c r="L28">
        <v>378795</v>
      </c>
    </row>
    <row r="29" spans="1:12" x14ac:dyDescent="0.35">
      <c r="A29">
        <v>2025</v>
      </c>
      <c r="B29">
        <v>1</v>
      </c>
      <c r="C29" t="s">
        <v>42</v>
      </c>
      <c r="D29" t="s">
        <v>313</v>
      </c>
      <c r="E29" t="s">
        <v>280</v>
      </c>
      <c r="F29">
        <v>771</v>
      </c>
      <c r="G29">
        <v>341203</v>
      </c>
      <c r="H29">
        <v>313942</v>
      </c>
      <c r="I29">
        <v>255297</v>
      </c>
      <c r="J29">
        <v>706149</v>
      </c>
      <c r="K29">
        <v>285064</v>
      </c>
      <c r="L29">
        <v>365974</v>
      </c>
    </row>
    <row r="30" spans="1:12" x14ac:dyDescent="0.35">
      <c r="A30">
        <v>2025</v>
      </c>
      <c r="B30">
        <v>1</v>
      </c>
      <c r="C30" t="s">
        <v>42</v>
      </c>
      <c r="D30" t="s">
        <v>313</v>
      </c>
      <c r="E30" t="s">
        <v>282</v>
      </c>
      <c r="F30">
        <v>2906</v>
      </c>
      <c r="G30">
        <v>353511</v>
      </c>
      <c r="H30">
        <v>333155</v>
      </c>
      <c r="I30">
        <v>242797</v>
      </c>
      <c r="J30">
        <v>780217</v>
      </c>
      <c r="K30">
        <v>293252</v>
      </c>
      <c r="L30">
        <v>380322</v>
      </c>
    </row>
    <row r="31" spans="1:12" x14ac:dyDescent="0.35">
      <c r="A31">
        <v>2025</v>
      </c>
      <c r="B31">
        <v>2</v>
      </c>
      <c r="C31" t="s">
        <v>63</v>
      </c>
      <c r="D31" t="s">
        <v>313</v>
      </c>
      <c r="E31" t="s">
        <v>280</v>
      </c>
      <c r="F31">
        <v>794</v>
      </c>
      <c r="G31">
        <v>342187</v>
      </c>
      <c r="H31">
        <v>320519</v>
      </c>
      <c r="I31">
        <v>255297</v>
      </c>
      <c r="J31">
        <v>706149</v>
      </c>
      <c r="K31">
        <v>284410</v>
      </c>
      <c r="L31">
        <v>365974</v>
      </c>
    </row>
    <row r="32" spans="1:12" x14ac:dyDescent="0.35">
      <c r="A32">
        <v>2025</v>
      </c>
      <c r="B32">
        <v>2</v>
      </c>
      <c r="C32" t="s">
        <v>63</v>
      </c>
      <c r="D32" t="s">
        <v>313</v>
      </c>
      <c r="E32" t="s">
        <v>282</v>
      </c>
      <c r="F32">
        <v>2992</v>
      </c>
      <c r="G32">
        <v>353217</v>
      </c>
      <c r="H32">
        <v>330468</v>
      </c>
      <c r="I32">
        <v>242797</v>
      </c>
      <c r="J32">
        <v>779645</v>
      </c>
      <c r="K32">
        <v>290986</v>
      </c>
      <c r="L32">
        <v>380275</v>
      </c>
    </row>
    <row r="33" spans="1:12" x14ac:dyDescent="0.35">
      <c r="A33">
        <v>2025</v>
      </c>
      <c r="B33">
        <v>3</v>
      </c>
      <c r="C33" t="s">
        <v>66</v>
      </c>
      <c r="D33" t="s">
        <v>313</v>
      </c>
      <c r="E33" t="s">
        <v>280</v>
      </c>
      <c r="F33">
        <v>819</v>
      </c>
      <c r="G33">
        <v>340674</v>
      </c>
      <c r="H33">
        <v>318942</v>
      </c>
      <c r="I33">
        <v>255297</v>
      </c>
      <c r="J33">
        <v>706149</v>
      </c>
      <c r="K33">
        <v>283486</v>
      </c>
      <c r="L33">
        <v>365974</v>
      </c>
    </row>
    <row r="34" spans="1:12" x14ac:dyDescent="0.35">
      <c r="A34">
        <v>2025</v>
      </c>
      <c r="B34">
        <v>3</v>
      </c>
      <c r="C34" t="s">
        <v>66</v>
      </c>
      <c r="D34" t="s">
        <v>313</v>
      </c>
      <c r="E34" t="s">
        <v>282</v>
      </c>
      <c r="F34">
        <v>3075</v>
      </c>
      <c r="G34">
        <v>352005</v>
      </c>
      <c r="H34">
        <v>330286</v>
      </c>
      <c r="I34">
        <v>242797</v>
      </c>
      <c r="J34">
        <v>735916</v>
      </c>
      <c r="K34">
        <v>290986</v>
      </c>
      <c r="L34">
        <v>380974</v>
      </c>
    </row>
    <row r="35" spans="1:12" x14ac:dyDescent="0.35">
      <c r="A35">
        <v>2025</v>
      </c>
      <c r="B35">
        <v>4</v>
      </c>
      <c r="C35" t="s">
        <v>67</v>
      </c>
      <c r="D35" t="s">
        <v>313</v>
      </c>
      <c r="E35" t="s">
        <v>280</v>
      </c>
      <c r="F35">
        <v>794</v>
      </c>
      <c r="G35">
        <v>342187</v>
      </c>
      <c r="H35">
        <v>320519</v>
      </c>
      <c r="I35">
        <v>255297</v>
      </c>
      <c r="J35">
        <v>706149</v>
      </c>
      <c r="K35">
        <v>284410</v>
      </c>
      <c r="L35">
        <v>365974</v>
      </c>
    </row>
    <row r="36" spans="1:12" x14ac:dyDescent="0.35">
      <c r="A36">
        <v>2025</v>
      </c>
      <c r="B36">
        <v>4</v>
      </c>
      <c r="C36" t="s">
        <v>67</v>
      </c>
      <c r="D36" t="s">
        <v>313</v>
      </c>
      <c r="E36" t="s">
        <v>282</v>
      </c>
      <c r="F36">
        <v>2992</v>
      </c>
      <c r="G36">
        <v>353272</v>
      </c>
      <c r="H36">
        <v>330468</v>
      </c>
      <c r="I36">
        <v>242797</v>
      </c>
      <c r="J36">
        <v>779645</v>
      </c>
      <c r="K36">
        <v>290986</v>
      </c>
      <c r="L36">
        <v>380275</v>
      </c>
    </row>
    <row r="37" spans="1:12" x14ac:dyDescent="0.35">
      <c r="A37">
        <v>2025</v>
      </c>
      <c r="B37">
        <v>5</v>
      </c>
      <c r="C37" t="s">
        <v>68</v>
      </c>
      <c r="D37" t="s">
        <v>313</v>
      </c>
      <c r="E37" t="s">
        <v>280</v>
      </c>
      <c r="F37">
        <v>852</v>
      </c>
      <c r="G37">
        <v>339696</v>
      </c>
      <c r="H37">
        <v>318640</v>
      </c>
      <c r="I37">
        <v>255297</v>
      </c>
      <c r="J37">
        <v>706149</v>
      </c>
      <c r="K37">
        <v>283486</v>
      </c>
      <c r="L37">
        <v>365974</v>
      </c>
    </row>
    <row r="38" spans="1:12" x14ac:dyDescent="0.35">
      <c r="A38">
        <v>2025</v>
      </c>
      <c r="B38">
        <v>5</v>
      </c>
      <c r="C38" t="s">
        <v>68</v>
      </c>
      <c r="D38" t="s">
        <v>313</v>
      </c>
      <c r="E38" t="s">
        <v>282</v>
      </c>
      <c r="F38">
        <v>3155</v>
      </c>
      <c r="G38">
        <v>352197</v>
      </c>
      <c r="H38">
        <v>330286</v>
      </c>
      <c r="I38">
        <v>242797</v>
      </c>
      <c r="J38">
        <v>735916</v>
      </c>
      <c r="K38">
        <v>290754</v>
      </c>
      <c r="L38">
        <v>381529</v>
      </c>
    </row>
    <row r="39" spans="1:12" x14ac:dyDescent="0.35">
      <c r="A39">
        <v>2025</v>
      </c>
      <c r="B39">
        <v>6</v>
      </c>
      <c r="C39" t="s">
        <v>69</v>
      </c>
      <c r="D39" t="s">
        <v>313</v>
      </c>
      <c r="E39" t="s">
        <v>280</v>
      </c>
      <c r="F39">
        <v>855</v>
      </c>
      <c r="G39">
        <v>340249</v>
      </c>
      <c r="H39">
        <v>318942</v>
      </c>
      <c r="I39">
        <v>255297</v>
      </c>
      <c r="J39">
        <v>706149</v>
      </c>
      <c r="K39">
        <v>283486</v>
      </c>
      <c r="L39">
        <v>366295</v>
      </c>
    </row>
    <row r="40" spans="1:12" x14ac:dyDescent="0.35">
      <c r="A40">
        <v>2025</v>
      </c>
      <c r="B40">
        <v>6</v>
      </c>
      <c r="C40" t="s">
        <v>69</v>
      </c>
      <c r="D40" t="s">
        <v>313</v>
      </c>
      <c r="E40" t="s">
        <v>282</v>
      </c>
      <c r="F40">
        <v>3168</v>
      </c>
      <c r="G40">
        <v>352537</v>
      </c>
      <c r="H40">
        <v>330286</v>
      </c>
      <c r="I40">
        <v>247243</v>
      </c>
      <c r="J40">
        <v>735916</v>
      </c>
      <c r="K40">
        <v>290986</v>
      </c>
      <c r="L40">
        <v>380974</v>
      </c>
    </row>
    <row r="41" spans="1:12" x14ac:dyDescent="0.35">
      <c r="A41">
        <v>2025</v>
      </c>
      <c r="B41">
        <v>7</v>
      </c>
      <c r="C41" t="s">
        <v>70</v>
      </c>
      <c r="D41" t="s">
        <v>313</v>
      </c>
      <c r="E41" t="s">
        <v>280</v>
      </c>
      <c r="F41">
        <v>854</v>
      </c>
      <c r="G41">
        <v>340594</v>
      </c>
      <c r="H41">
        <v>318942</v>
      </c>
      <c r="I41">
        <v>255297</v>
      </c>
      <c r="J41">
        <v>681851</v>
      </c>
      <c r="K41">
        <v>283486</v>
      </c>
      <c r="L41">
        <v>366295</v>
      </c>
    </row>
    <row r="42" spans="1:12" x14ac:dyDescent="0.35">
      <c r="A42">
        <v>2025</v>
      </c>
      <c r="B42">
        <v>7</v>
      </c>
      <c r="C42" t="s">
        <v>70</v>
      </c>
      <c r="D42" t="s">
        <v>313</v>
      </c>
      <c r="E42" t="s">
        <v>282</v>
      </c>
      <c r="F42">
        <v>3184</v>
      </c>
      <c r="G42">
        <v>353286</v>
      </c>
      <c r="H42">
        <v>330286</v>
      </c>
      <c r="I42">
        <v>246824</v>
      </c>
      <c r="J42">
        <v>735916</v>
      </c>
      <c r="K42">
        <v>290986</v>
      </c>
      <c r="L42">
        <v>383290</v>
      </c>
    </row>
    <row r="43" spans="1:12" x14ac:dyDescent="0.35">
      <c r="A43">
        <v>2025</v>
      </c>
      <c r="B43">
        <v>8</v>
      </c>
      <c r="C43" t="s">
        <v>71</v>
      </c>
      <c r="D43" t="s">
        <v>313</v>
      </c>
      <c r="E43" t="s">
        <v>280</v>
      </c>
      <c r="F43">
        <v>862</v>
      </c>
      <c r="G43">
        <v>341693</v>
      </c>
      <c r="H43">
        <v>318942</v>
      </c>
      <c r="I43">
        <v>255297</v>
      </c>
      <c r="J43">
        <v>706149</v>
      </c>
      <c r="K43">
        <v>285752</v>
      </c>
      <c r="L43">
        <v>368474</v>
      </c>
    </row>
    <row r="44" spans="1:12" x14ac:dyDescent="0.35">
      <c r="A44">
        <v>2025</v>
      </c>
      <c r="B44">
        <v>8</v>
      </c>
      <c r="C44" t="s">
        <v>71</v>
      </c>
      <c r="D44" t="s">
        <v>313</v>
      </c>
      <c r="E44" t="s">
        <v>282</v>
      </c>
      <c r="F44">
        <v>3190</v>
      </c>
      <c r="G44">
        <v>353895</v>
      </c>
      <c r="H44">
        <v>331768</v>
      </c>
      <c r="I44">
        <v>246824</v>
      </c>
      <c r="J44">
        <v>735916</v>
      </c>
      <c r="K44">
        <v>291945</v>
      </c>
      <c r="L44">
        <v>384719</v>
      </c>
    </row>
    <row r="45" spans="1:12" x14ac:dyDescent="0.35">
      <c r="A45">
        <v>2025</v>
      </c>
      <c r="B45">
        <v>9</v>
      </c>
      <c r="C45" t="s">
        <v>72</v>
      </c>
      <c r="D45" t="s">
        <v>313</v>
      </c>
      <c r="E45" t="s">
        <v>280</v>
      </c>
      <c r="F45">
        <v>865</v>
      </c>
      <c r="G45">
        <v>341978</v>
      </c>
      <c r="H45">
        <v>318942</v>
      </c>
      <c r="I45">
        <v>255297</v>
      </c>
      <c r="J45">
        <v>706149</v>
      </c>
      <c r="K45">
        <v>285752</v>
      </c>
      <c r="L45">
        <v>368290</v>
      </c>
    </row>
    <row r="46" spans="1:12" x14ac:dyDescent="0.35">
      <c r="A46">
        <v>2025</v>
      </c>
      <c r="B46">
        <v>9</v>
      </c>
      <c r="C46" t="s">
        <v>72</v>
      </c>
      <c r="D46" t="s">
        <v>313</v>
      </c>
      <c r="E46" t="s">
        <v>282</v>
      </c>
      <c r="F46">
        <v>3204</v>
      </c>
      <c r="G46">
        <v>353669</v>
      </c>
      <c r="H46">
        <v>331442</v>
      </c>
      <c r="I46">
        <v>246824</v>
      </c>
      <c r="J46">
        <v>735916</v>
      </c>
      <c r="K46">
        <v>293252</v>
      </c>
      <c r="L46">
        <v>382822</v>
      </c>
    </row>
    <row r="47" spans="1:12" x14ac:dyDescent="0.35">
      <c r="A47">
        <v>2025</v>
      </c>
      <c r="B47">
        <v>10</v>
      </c>
      <c r="C47" t="s">
        <v>73</v>
      </c>
      <c r="D47" t="s">
        <v>313</v>
      </c>
      <c r="E47" t="s">
        <v>280</v>
      </c>
      <c r="F47">
        <v>874</v>
      </c>
      <c r="G47">
        <v>341268</v>
      </c>
      <c r="H47">
        <v>318942</v>
      </c>
      <c r="I47">
        <v>255297</v>
      </c>
      <c r="J47">
        <v>706149</v>
      </c>
      <c r="K47">
        <v>285752</v>
      </c>
      <c r="L47">
        <v>368290</v>
      </c>
    </row>
    <row r="48" spans="1:12" x14ac:dyDescent="0.35">
      <c r="A48">
        <v>2025</v>
      </c>
      <c r="B48">
        <v>10</v>
      </c>
      <c r="C48" t="s">
        <v>73</v>
      </c>
      <c r="D48" t="s">
        <v>313</v>
      </c>
      <c r="E48" t="s">
        <v>282</v>
      </c>
      <c r="F48">
        <v>3211</v>
      </c>
      <c r="G48">
        <v>353779</v>
      </c>
      <c r="H48">
        <v>331073</v>
      </c>
      <c r="I48">
        <v>246824</v>
      </c>
      <c r="J48">
        <v>735916</v>
      </c>
      <c r="K48">
        <v>293252</v>
      </c>
      <c r="L48">
        <v>382822</v>
      </c>
    </row>
    <row r="49" spans="1:12" x14ac:dyDescent="0.35">
      <c r="A49">
        <v>2025</v>
      </c>
      <c r="B49">
        <v>11</v>
      </c>
      <c r="C49" t="s">
        <v>74</v>
      </c>
      <c r="D49" t="s">
        <v>313</v>
      </c>
      <c r="E49" t="s">
        <v>280</v>
      </c>
      <c r="F49">
        <v>876</v>
      </c>
      <c r="G49">
        <v>341373</v>
      </c>
      <c r="H49">
        <v>318942</v>
      </c>
      <c r="I49">
        <v>260064</v>
      </c>
      <c r="J49">
        <v>706149</v>
      </c>
      <c r="K49">
        <v>285752</v>
      </c>
      <c r="L49">
        <v>368290</v>
      </c>
    </row>
    <row r="50" spans="1:12" x14ac:dyDescent="0.35">
      <c r="A50">
        <v>2025</v>
      </c>
      <c r="B50">
        <v>11</v>
      </c>
      <c r="C50" t="s">
        <v>74</v>
      </c>
      <c r="D50" t="s">
        <v>313</v>
      </c>
      <c r="E50" t="s">
        <v>282</v>
      </c>
      <c r="F50">
        <v>3212</v>
      </c>
      <c r="G50">
        <v>353840</v>
      </c>
      <c r="H50">
        <v>331442</v>
      </c>
      <c r="I50">
        <v>246824</v>
      </c>
      <c r="J50">
        <v>735916</v>
      </c>
      <c r="K50">
        <v>293252</v>
      </c>
      <c r="L50">
        <v>382822</v>
      </c>
    </row>
    <row r="51" spans="1:12" x14ac:dyDescent="0.35">
      <c r="A51">
        <v>2025</v>
      </c>
      <c r="B51">
        <v>12</v>
      </c>
      <c r="C51" t="s">
        <v>75</v>
      </c>
      <c r="D51" t="s">
        <v>313</v>
      </c>
      <c r="E51" t="s">
        <v>280</v>
      </c>
      <c r="F51">
        <v>876</v>
      </c>
      <c r="G51">
        <v>341680</v>
      </c>
      <c r="H51">
        <v>318942</v>
      </c>
      <c r="I51">
        <v>259324</v>
      </c>
      <c r="J51">
        <v>706149</v>
      </c>
      <c r="K51">
        <v>285752</v>
      </c>
      <c r="L51">
        <v>368474</v>
      </c>
    </row>
    <row r="52" spans="1:12" x14ac:dyDescent="0.35">
      <c r="A52">
        <v>2025</v>
      </c>
      <c r="B52">
        <v>12</v>
      </c>
      <c r="C52" t="s">
        <v>75</v>
      </c>
      <c r="D52" t="s">
        <v>313</v>
      </c>
      <c r="E52" t="s">
        <v>282</v>
      </c>
      <c r="F52">
        <v>3215</v>
      </c>
      <c r="G52">
        <v>354043</v>
      </c>
      <c r="H52">
        <v>332786</v>
      </c>
      <c r="I52">
        <v>246824</v>
      </c>
      <c r="J52">
        <v>735916</v>
      </c>
      <c r="K52">
        <v>293252</v>
      </c>
      <c r="L52">
        <v>382822</v>
      </c>
    </row>
  </sheetData>
  <mergeCells count="1">
    <mergeCell ref="A1:L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315</v>
      </c>
      <c r="E5" t="s">
        <v>280</v>
      </c>
      <c r="F5">
        <v>172</v>
      </c>
      <c r="G5">
        <v>998969</v>
      </c>
      <c r="H5">
        <v>1017835</v>
      </c>
      <c r="I5">
        <v>690287</v>
      </c>
      <c r="J5">
        <v>1203741</v>
      </c>
      <c r="K5">
        <v>905118</v>
      </c>
      <c r="L5">
        <v>1116708</v>
      </c>
    </row>
    <row r="6" spans="1:12" x14ac:dyDescent="0.35">
      <c r="A6">
        <v>2024</v>
      </c>
      <c r="B6">
        <v>1</v>
      </c>
      <c r="C6" t="s">
        <v>42</v>
      </c>
      <c r="D6" t="s">
        <v>315</v>
      </c>
      <c r="E6" t="s">
        <v>282</v>
      </c>
      <c r="F6">
        <v>448</v>
      </c>
      <c r="G6">
        <v>1021690</v>
      </c>
      <c r="H6">
        <v>1044725</v>
      </c>
      <c r="I6">
        <v>690287</v>
      </c>
      <c r="J6">
        <v>1278458</v>
      </c>
      <c r="K6">
        <v>937284</v>
      </c>
      <c r="L6">
        <v>1131708</v>
      </c>
    </row>
    <row r="7" spans="1:12" x14ac:dyDescent="0.35">
      <c r="A7">
        <v>2024</v>
      </c>
      <c r="B7">
        <v>2</v>
      </c>
      <c r="C7" t="s">
        <v>63</v>
      </c>
      <c r="D7" t="s">
        <v>315</v>
      </c>
      <c r="E7" t="s">
        <v>280</v>
      </c>
      <c r="F7">
        <v>179</v>
      </c>
      <c r="G7">
        <v>986604</v>
      </c>
      <c r="H7">
        <v>999085</v>
      </c>
      <c r="I7">
        <v>690287</v>
      </c>
      <c r="J7">
        <v>1203741</v>
      </c>
      <c r="K7">
        <v>849477</v>
      </c>
      <c r="L7">
        <v>1067225</v>
      </c>
    </row>
    <row r="8" spans="1:12" x14ac:dyDescent="0.35">
      <c r="A8">
        <v>2024</v>
      </c>
      <c r="B8">
        <v>2</v>
      </c>
      <c r="C8" t="s">
        <v>63</v>
      </c>
      <c r="D8" t="s">
        <v>315</v>
      </c>
      <c r="E8" t="s">
        <v>282</v>
      </c>
      <c r="F8">
        <v>469</v>
      </c>
      <c r="G8">
        <v>1004166</v>
      </c>
      <c r="H8">
        <v>1044725</v>
      </c>
      <c r="I8">
        <v>690287</v>
      </c>
      <c r="J8">
        <v>1278458</v>
      </c>
      <c r="K8">
        <v>879477</v>
      </c>
      <c r="L8">
        <v>1124208</v>
      </c>
    </row>
    <row r="9" spans="1:12" x14ac:dyDescent="0.35">
      <c r="A9">
        <v>2024</v>
      </c>
      <c r="B9">
        <v>3</v>
      </c>
      <c r="C9" t="s">
        <v>66</v>
      </c>
      <c r="D9" t="s">
        <v>315</v>
      </c>
      <c r="E9" t="s">
        <v>280</v>
      </c>
      <c r="F9">
        <v>172</v>
      </c>
      <c r="G9">
        <v>999216</v>
      </c>
      <c r="H9">
        <v>1014085</v>
      </c>
      <c r="I9">
        <v>690287</v>
      </c>
      <c r="J9">
        <v>1203741</v>
      </c>
      <c r="K9">
        <v>905118</v>
      </c>
      <c r="L9">
        <v>1116708</v>
      </c>
    </row>
    <row r="10" spans="1:12" x14ac:dyDescent="0.35">
      <c r="A10">
        <v>2024</v>
      </c>
      <c r="B10">
        <v>3</v>
      </c>
      <c r="C10" t="s">
        <v>66</v>
      </c>
      <c r="D10" t="s">
        <v>315</v>
      </c>
      <c r="E10" t="s">
        <v>282</v>
      </c>
      <c r="F10">
        <v>445</v>
      </c>
      <c r="G10">
        <v>1022072</v>
      </c>
      <c r="H10">
        <v>1044725</v>
      </c>
      <c r="I10">
        <v>690287</v>
      </c>
      <c r="J10">
        <v>1285955</v>
      </c>
      <c r="K10">
        <v>937284</v>
      </c>
      <c r="L10">
        <v>1124208</v>
      </c>
    </row>
    <row r="11" spans="1:12" x14ac:dyDescent="0.35">
      <c r="A11">
        <v>2024</v>
      </c>
      <c r="B11">
        <v>4</v>
      </c>
      <c r="C11" t="s">
        <v>67</v>
      </c>
      <c r="D11" t="s">
        <v>315</v>
      </c>
      <c r="E11" t="s">
        <v>280</v>
      </c>
      <c r="F11">
        <v>179</v>
      </c>
      <c r="G11">
        <v>987303</v>
      </c>
      <c r="H11">
        <v>999085</v>
      </c>
      <c r="I11">
        <v>690287</v>
      </c>
      <c r="J11">
        <v>1203741</v>
      </c>
      <c r="K11">
        <v>849477</v>
      </c>
      <c r="L11">
        <v>1067225</v>
      </c>
    </row>
    <row r="12" spans="1:12" x14ac:dyDescent="0.35">
      <c r="A12">
        <v>2024</v>
      </c>
      <c r="B12">
        <v>4</v>
      </c>
      <c r="C12" t="s">
        <v>67</v>
      </c>
      <c r="D12" t="s">
        <v>315</v>
      </c>
      <c r="E12" t="s">
        <v>282</v>
      </c>
      <c r="F12">
        <v>467</v>
      </c>
      <c r="G12">
        <v>1005284</v>
      </c>
      <c r="H12">
        <v>1044725</v>
      </c>
      <c r="I12">
        <v>690287</v>
      </c>
      <c r="J12">
        <v>1278458</v>
      </c>
      <c r="K12">
        <v>889476</v>
      </c>
      <c r="L12">
        <v>1124208</v>
      </c>
    </row>
    <row r="13" spans="1:12" x14ac:dyDescent="0.35">
      <c r="A13">
        <v>2024</v>
      </c>
      <c r="B13">
        <v>5</v>
      </c>
      <c r="C13" t="s">
        <v>68</v>
      </c>
      <c r="D13" t="s">
        <v>315</v>
      </c>
      <c r="E13" t="s">
        <v>280</v>
      </c>
      <c r="F13">
        <v>182</v>
      </c>
      <c r="G13">
        <v>1007306</v>
      </c>
      <c r="H13">
        <v>1044725</v>
      </c>
      <c r="I13">
        <v>690287</v>
      </c>
      <c r="J13">
        <v>1409539</v>
      </c>
      <c r="K13">
        <v>849477</v>
      </c>
      <c r="L13">
        <v>1166708</v>
      </c>
    </row>
    <row r="14" spans="1:12" x14ac:dyDescent="0.35">
      <c r="A14">
        <v>2024</v>
      </c>
      <c r="B14">
        <v>5</v>
      </c>
      <c r="C14" t="s">
        <v>68</v>
      </c>
      <c r="D14" t="s">
        <v>315</v>
      </c>
      <c r="E14" t="s">
        <v>282</v>
      </c>
      <c r="F14">
        <v>470</v>
      </c>
      <c r="G14">
        <v>1023848</v>
      </c>
      <c r="H14">
        <v>1052225</v>
      </c>
      <c r="I14">
        <v>690287</v>
      </c>
      <c r="J14">
        <v>1432039</v>
      </c>
      <c r="K14">
        <v>889476</v>
      </c>
      <c r="L14">
        <v>1181708</v>
      </c>
    </row>
    <row r="15" spans="1:12" x14ac:dyDescent="0.35">
      <c r="A15">
        <v>2024</v>
      </c>
      <c r="B15">
        <v>6</v>
      </c>
      <c r="C15" t="s">
        <v>69</v>
      </c>
      <c r="D15" t="s">
        <v>315</v>
      </c>
      <c r="E15" t="s">
        <v>280</v>
      </c>
      <c r="F15">
        <v>179</v>
      </c>
      <c r="G15">
        <v>987359</v>
      </c>
      <c r="H15">
        <v>1044725</v>
      </c>
      <c r="I15">
        <v>690287</v>
      </c>
      <c r="J15">
        <v>1218741</v>
      </c>
      <c r="K15">
        <v>841977</v>
      </c>
      <c r="L15">
        <v>1067225</v>
      </c>
    </row>
    <row r="16" spans="1:12" x14ac:dyDescent="0.35">
      <c r="A16">
        <v>2024</v>
      </c>
      <c r="B16">
        <v>6</v>
      </c>
      <c r="C16" t="s">
        <v>69</v>
      </c>
      <c r="D16" t="s">
        <v>315</v>
      </c>
      <c r="E16" t="s">
        <v>282</v>
      </c>
      <c r="F16">
        <v>464</v>
      </c>
      <c r="G16">
        <v>1003342</v>
      </c>
      <c r="H16">
        <v>1044725</v>
      </c>
      <c r="I16">
        <v>690287</v>
      </c>
      <c r="J16">
        <v>1278458</v>
      </c>
      <c r="K16">
        <v>864477</v>
      </c>
      <c r="L16">
        <v>1131708</v>
      </c>
    </row>
    <row r="17" spans="1:12" x14ac:dyDescent="0.35">
      <c r="A17">
        <v>2024</v>
      </c>
      <c r="B17">
        <v>7</v>
      </c>
      <c r="C17" t="s">
        <v>70</v>
      </c>
      <c r="D17" t="s">
        <v>315</v>
      </c>
      <c r="E17" t="s">
        <v>280</v>
      </c>
      <c r="F17">
        <v>180</v>
      </c>
      <c r="G17">
        <v>990754</v>
      </c>
      <c r="H17">
        <v>1044725</v>
      </c>
      <c r="I17">
        <v>690288</v>
      </c>
      <c r="J17">
        <v>1362483</v>
      </c>
      <c r="K17">
        <v>866977</v>
      </c>
      <c r="L17">
        <v>1067225</v>
      </c>
    </row>
    <row r="18" spans="1:12" x14ac:dyDescent="0.35">
      <c r="A18">
        <v>2024</v>
      </c>
      <c r="B18">
        <v>7</v>
      </c>
      <c r="C18" t="s">
        <v>70</v>
      </c>
      <c r="D18" t="s">
        <v>315</v>
      </c>
      <c r="E18" t="s">
        <v>282</v>
      </c>
      <c r="F18">
        <v>464</v>
      </c>
      <c r="G18">
        <v>1006450</v>
      </c>
      <c r="H18">
        <v>1052225</v>
      </c>
      <c r="I18">
        <v>690287</v>
      </c>
      <c r="J18">
        <v>1384983</v>
      </c>
      <c r="K18">
        <v>871977</v>
      </c>
      <c r="L18">
        <v>1131708</v>
      </c>
    </row>
    <row r="19" spans="1:12" x14ac:dyDescent="0.35">
      <c r="A19">
        <v>2024</v>
      </c>
      <c r="B19">
        <v>8</v>
      </c>
      <c r="C19" t="s">
        <v>71</v>
      </c>
      <c r="D19" t="s">
        <v>315</v>
      </c>
      <c r="E19" t="s">
        <v>280</v>
      </c>
      <c r="F19">
        <v>190</v>
      </c>
      <c r="G19">
        <v>986072</v>
      </c>
      <c r="H19">
        <v>1009663</v>
      </c>
      <c r="I19">
        <v>690288</v>
      </c>
      <c r="J19">
        <v>1278457</v>
      </c>
      <c r="K19">
        <v>859477</v>
      </c>
      <c r="L19">
        <v>1116708</v>
      </c>
    </row>
    <row r="20" spans="1:12" x14ac:dyDescent="0.35">
      <c r="A20">
        <v>2024</v>
      </c>
      <c r="B20">
        <v>8</v>
      </c>
      <c r="C20" t="s">
        <v>71</v>
      </c>
      <c r="D20" t="s">
        <v>315</v>
      </c>
      <c r="E20" t="s">
        <v>282</v>
      </c>
      <c r="F20">
        <v>487</v>
      </c>
      <c r="G20">
        <v>1005218</v>
      </c>
      <c r="H20">
        <v>1052225</v>
      </c>
      <c r="I20">
        <v>690287</v>
      </c>
      <c r="J20">
        <v>1300957</v>
      </c>
      <c r="K20">
        <v>874477</v>
      </c>
      <c r="L20">
        <v>1166708</v>
      </c>
    </row>
    <row r="21" spans="1:12" x14ac:dyDescent="0.35">
      <c r="A21">
        <v>2024</v>
      </c>
      <c r="B21">
        <v>9</v>
      </c>
      <c r="C21" t="s">
        <v>72</v>
      </c>
      <c r="D21" t="s">
        <v>315</v>
      </c>
      <c r="E21" t="s">
        <v>280</v>
      </c>
      <c r="F21">
        <v>189</v>
      </c>
      <c r="G21">
        <v>984812</v>
      </c>
      <c r="H21">
        <v>994477</v>
      </c>
      <c r="I21">
        <v>690288</v>
      </c>
      <c r="J21">
        <v>1278457</v>
      </c>
      <c r="K21">
        <v>866977</v>
      </c>
      <c r="L21">
        <v>1067225</v>
      </c>
    </row>
    <row r="22" spans="1:12" x14ac:dyDescent="0.35">
      <c r="A22">
        <v>2024</v>
      </c>
      <c r="B22">
        <v>9</v>
      </c>
      <c r="C22" t="s">
        <v>72</v>
      </c>
      <c r="D22" t="s">
        <v>315</v>
      </c>
      <c r="E22" t="s">
        <v>282</v>
      </c>
      <c r="F22">
        <v>489</v>
      </c>
      <c r="G22">
        <v>998221</v>
      </c>
      <c r="H22">
        <v>1044725</v>
      </c>
      <c r="I22">
        <v>690287</v>
      </c>
      <c r="J22">
        <v>1300957</v>
      </c>
      <c r="K22">
        <v>864477</v>
      </c>
      <c r="L22">
        <v>1131708</v>
      </c>
    </row>
    <row r="23" spans="1:12" x14ac:dyDescent="0.35">
      <c r="A23">
        <v>2024</v>
      </c>
      <c r="B23">
        <v>10</v>
      </c>
      <c r="C23" t="s">
        <v>73</v>
      </c>
      <c r="D23" t="s">
        <v>315</v>
      </c>
      <c r="E23" t="s">
        <v>280</v>
      </c>
      <c r="F23">
        <v>189</v>
      </c>
      <c r="G23">
        <v>981373</v>
      </c>
      <c r="H23">
        <v>974601</v>
      </c>
      <c r="I23">
        <v>690288</v>
      </c>
      <c r="J23">
        <v>1278457</v>
      </c>
      <c r="K23">
        <v>859477</v>
      </c>
      <c r="L23">
        <v>1067225</v>
      </c>
    </row>
    <row r="24" spans="1:12" x14ac:dyDescent="0.35">
      <c r="A24">
        <v>2024</v>
      </c>
      <c r="B24">
        <v>10</v>
      </c>
      <c r="C24" t="s">
        <v>73</v>
      </c>
      <c r="D24" t="s">
        <v>315</v>
      </c>
      <c r="E24" t="s">
        <v>282</v>
      </c>
      <c r="F24">
        <v>489</v>
      </c>
      <c r="G24">
        <v>1001382</v>
      </c>
      <c r="H24">
        <v>1044725</v>
      </c>
      <c r="I24">
        <v>690287</v>
      </c>
      <c r="J24">
        <v>1453912</v>
      </c>
      <c r="K24">
        <v>864477</v>
      </c>
      <c r="L24">
        <v>1131708</v>
      </c>
    </row>
    <row r="25" spans="1:12" x14ac:dyDescent="0.35">
      <c r="A25">
        <v>2024</v>
      </c>
      <c r="B25">
        <v>11</v>
      </c>
      <c r="C25" t="s">
        <v>74</v>
      </c>
      <c r="D25" t="s">
        <v>315</v>
      </c>
      <c r="E25" t="s">
        <v>280</v>
      </c>
      <c r="F25">
        <v>189</v>
      </c>
      <c r="G25">
        <v>981293</v>
      </c>
      <c r="H25">
        <v>974601</v>
      </c>
      <c r="I25">
        <v>690288</v>
      </c>
      <c r="J25">
        <v>1278457</v>
      </c>
      <c r="K25">
        <v>859477</v>
      </c>
      <c r="L25">
        <v>1067225</v>
      </c>
    </row>
    <row r="26" spans="1:12" x14ac:dyDescent="0.35">
      <c r="A26">
        <v>2024</v>
      </c>
      <c r="B26">
        <v>11</v>
      </c>
      <c r="C26" t="s">
        <v>74</v>
      </c>
      <c r="D26" t="s">
        <v>315</v>
      </c>
      <c r="E26" t="s">
        <v>282</v>
      </c>
      <c r="F26">
        <v>489</v>
      </c>
      <c r="G26">
        <v>997092</v>
      </c>
      <c r="H26">
        <v>1044725</v>
      </c>
      <c r="I26">
        <v>690287</v>
      </c>
      <c r="J26">
        <v>1300957</v>
      </c>
      <c r="K26">
        <v>864477</v>
      </c>
      <c r="L26">
        <v>1131708</v>
      </c>
    </row>
    <row r="27" spans="1:12" x14ac:dyDescent="0.35">
      <c r="A27">
        <v>2024</v>
      </c>
      <c r="B27">
        <v>12</v>
      </c>
      <c r="C27" t="s">
        <v>75</v>
      </c>
      <c r="D27" t="s">
        <v>315</v>
      </c>
      <c r="E27" t="s">
        <v>280</v>
      </c>
      <c r="F27">
        <v>189</v>
      </c>
      <c r="G27">
        <v>981293</v>
      </c>
      <c r="H27">
        <v>974601</v>
      </c>
      <c r="I27">
        <v>690288</v>
      </c>
      <c r="J27">
        <v>1278457</v>
      </c>
      <c r="K27">
        <v>859477</v>
      </c>
      <c r="L27">
        <v>1067225</v>
      </c>
    </row>
    <row r="28" spans="1:12" x14ac:dyDescent="0.35">
      <c r="A28">
        <v>2024</v>
      </c>
      <c r="B28">
        <v>12</v>
      </c>
      <c r="C28" t="s">
        <v>75</v>
      </c>
      <c r="D28" t="s">
        <v>315</v>
      </c>
      <c r="E28" t="s">
        <v>282</v>
      </c>
      <c r="F28">
        <v>487</v>
      </c>
      <c r="G28">
        <v>996950</v>
      </c>
      <c r="H28">
        <v>1044725</v>
      </c>
      <c r="I28">
        <v>690287</v>
      </c>
      <c r="J28">
        <v>1300957</v>
      </c>
      <c r="K28">
        <v>866977</v>
      </c>
      <c r="L28">
        <v>1131708</v>
      </c>
    </row>
    <row r="29" spans="1:12" x14ac:dyDescent="0.35">
      <c r="A29">
        <v>2025</v>
      </c>
      <c r="B29">
        <v>1</v>
      </c>
      <c r="C29" t="s">
        <v>42</v>
      </c>
      <c r="D29" t="s">
        <v>315</v>
      </c>
      <c r="E29" t="s">
        <v>280</v>
      </c>
      <c r="F29">
        <v>186</v>
      </c>
      <c r="G29">
        <v>979099</v>
      </c>
      <c r="H29">
        <v>974601</v>
      </c>
      <c r="I29">
        <v>690288</v>
      </c>
      <c r="J29">
        <v>1278457</v>
      </c>
      <c r="K29">
        <v>859477</v>
      </c>
      <c r="L29">
        <v>1059725</v>
      </c>
    </row>
    <row r="30" spans="1:12" x14ac:dyDescent="0.35">
      <c r="A30">
        <v>2025</v>
      </c>
      <c r="B30">
        <v>1</v>
      </c>
      <c r="C30" t="s">
        <v>42</v>
      </c>
      <c r="D30" t="s">
        <v>315</v>
      </c>
      <c r="E30" t="s">
        <v>282</v>
      </c>
      <c r="F30">
        <v>483</v>
      </c>
      <c r="G30">
        <v>995365</v>
      </c>
      <c r="H30">
        <v>1044725</v>
      </c>
      <c r="I30">
        <v>690287</v>
      </c>
      <c r="J30">
        <v>1300957</v>
      </c>
      <c r="K30">
        <v>864477</v>
      </c>
      <c r="L30">
        <v>1124208</v>
      </c>
    </row>
    <row r="31" spans="1:12" x14ac:dyDescent="0.35">
      <c r="A31">
        <v>2025</v>
      </c>
      <c r="B31">
        <v>2</v>
      </c>
      <c r="C31" t="s">
        <v>63</v>
      </c>
      <c r="D31" t="s">
        <v>315</v>
      </c>
      <c r="E31" t="s">
        <v>280</v>
      </c>
      <c r="F31">
        <v>192</v>
      </c>
      <c r="G31">
        <v>1081741</v>
      </c>
      <c r="H31">
        <v>1044725</v>
      </c>
      <c r="I31">
        <v>690288</v>
      </c>
      <c r="J31">
        <v>1520951</v>
      </c>
      <c r="K31">
        <v>952101</v>
      </c>
      <c r="L31">
        <v>1196241</v>
      </c>
    </row>
    <row r="32" spans="1:12" x14ac:dyDescent="0.35">
      <c r="A32">
        <v>2025</v>
      </c>
      <c r="B32">
        <v>2</v>
      </c>
      <c r="C32" t="s">
        <v>63</v>
      </c>
      <c r="D32" t="s">
        <v>315</v>
      </c>
      <c r="E32" t="s">
        <v>282</v>
      </c>
      <c r="F32">
        <v>488</v>
      </c>
      <c r="G32">
        <v>1078857</v>
      </c>
      <c r="H32">
        <v>1059725</v>
      </c>
      <c r="I32">
        <v>690287</v>
      </c>
      <c r="J32">
        <v>1528451</v>
      </c>
      <c r="K32">
        <v>959601</v>
      </c>
      <c r="L32">
        <v>1196241</v>
      </c>
    </row>
    <row r="33" spans="1:12" x14ac:dyDescent="0.35">
      <c r="A33">
        <v>2025</v>
      </c>
      <c r="B33">
        <v>3</v>
      </c>
      <c r="C33" t="s">
        <v>66</v>
      </c>
      <c r="D33" t="s">
        <v>315</v>
      </c>
      <c r="E33" t="s">
        <v>280</v>
      </c>
      <c r="F33">
        <v>189</v>
      </c>
      <c r="G33">
        <v>997676</v>
      </c>
      <c r="H33">
        <v>1021582</v>
      </c>
      <c r="I33">
        <v>690288</v>
      </c>
      <c r="J33">
        <v>1289477</v>
      </c>
      <c r="K33">
        <v>905116</v>
      </c>
      <c r="L33">
        <v>1059725</v>
      </c>
    </row>
    <row r="34" spans="1:12" x14ac:dyDescent="0.35">
      <c r="A34">
        <v>2025</v>
      </c>
      <c r="B34">
        <v>3</v>
      </c>
      <c r="C34" t="s">
        <v>66</v>
      </c>
      <c r="D34" t="s">
        <v>315</v>
      </c>
      <c r="E34" t="s">
        <v>282</v>
      </c>
      <c r="F34">
        <v>485</v>
      </c>
      <c r="G34">
        <v>1009007</v>
      </c>
      <c r="H34">
        <v>1044725</v>
      </c>
      <c r="I34">
        <v>690287</v>
      </c>
      <c r="J34">
        <v>1300957</v>
      </c>
      <c r="K34">
        <v>902616</v>
      </c>
      <c r="L34">
        <v>1124208</v>
      </c>
    </row>
    <row r="35" spans="1:12" x14ac:dyDescent="0.35">
      <c r="A35">
        <v>2025</v>
      </c>
      <c r="B35">
        <v>4</v>
      </c>
      <c r="C35" t="s">
        <v>67</v>
      </c>
      <c r="D35" t="s">
        <v>315</v>
      </c>
      <c r="E35" t="s">
        <v>280</v>
      </c>
      <c r="F35">
        <v>195</v>
      </c>
      <c r="G35">
        <v>1086263</v>
      </c>
      <c r="H35">
        <v>1044725</v>
      </c>
      <c r="I35">
        <v>690288</v>
      </c>
      <c r="J35">
        <v>1520951</v>
      </c>
      <c r="K35">
        <v>952101</v>
      </c>
      <c r="L35">
        <v>1196241</v>
      </c>
    </row>
    <row r="36" spans="1:12" x14ac:dyDescent="0.35">
      <c r="A36">
        <v>2025</v>
      </c>
      <c r="B36">
        <v>4</v>
      </c>
      <c r="C36" t="s">
        <v>67</v>
      </c>
      <c r="D36" t="s">
        <v>315</v>
      </c>
      <c r="E36" t="s">
        <v>282</v>
      </c>
      <c r="F36">
        <v>499</v>
      </c>
      <c r="G36">
        <v>1077884</v>
      </c>
      <c r="H36">
        <v>1059725</v>
      </c>
      <c r="I36">
        <v>690287</v>
      </c>
      <c r="J36">
        <v>1528451</v>
      </c>
      <c r="K36">
        <v>967101</v>
      </c>
      <c r="L36">
        <v>1196241</v>
      </c>
    </row>
    <row r="37" spans="1:12" x14ac:dyDescent="0.35">
      <c r="A37">
        <v>2025</v>
      </c>
      <c r="B37">
        <v>5</v>
      </c>
      <c r="C37" t="s">
        <v>68</v>
      </c>
      <c r="D37" t="s">
        <v>315</v>
      </c>
      <c r="E37" t="s">
        <v>280</v>
      </c>
      <c r="F37">
        <v>189</v>
      </c>
      <c r="G37">
        <v>999133</v>
      </c>
      <c r="H37">
        <v>1021585</v>
      </c>
      <c r="I37">
        <v>690288</v>
      </c>
      <c r="J37">
        <v>1289477</v>
      </c>
      <c r="K37">
        <v>905116</v>
      </c>
      <c r="L37">
        <v>1116708</v>
      </c>
    </row>
    <row r="38" spans="1:12" x14ac:dyDescent="0.35">
      <c r="A38">
        <v>2025</v>
      </c>
      <c r="B38">
        <v>5</v>
      </c>
      <c r="C38" t="s">
        <v>68</v>
      </c>
      <c r="D38" t="s">
        <v>315</v>
      </c>
      <c r="E38" t="s">
        <v>282</v>
      </c>
      <c r="F38">
        <v>483</v>
      </c>
      <c r="G38">
        <v>1011132</v>
      </c>
      <c r="H38">
        <v>1044725</v>
      </c>
      <c r="I38">
        <v>690287</v>
      </c>
      <c r="J38">
        <v>1300957</v>
      </c>
      <c r="K38">
        <v>920118</v>
      </c>
      <c r="L38">
        <v>1124208</v>
      </c>
    </row>
    <row r="39" spans="1:12" x14ac:dyDescent="0.35">
      <c r="A39">
        <v>2025</v>
      </c>
      <c r="B39">
        <v>6</v>
      </c>
      <c r="C39" t="s">
        <v>69</v>
      </c>
      <c r="D39" t="s">
        <v>315</v>
      </c>
      <c r="E39" t="s">
        <v>280</v>
      </c>
      <c r="F39">
        <v>189</v>
      </c>
      <c r="G39">
        <v>999212</v>
      </c>
      <c r="H39">
        <v>1021585</v>
      </c>
      <c r="I39">
        <v>690288</v>
      </c>
      <c r="J39">
        <v>1289477</v>
      </c>
      <c r="K39">
        <v>905116</v>
      </c>
      <c r="L39">
        <v>1116708</v>
      </c>
    </row>
    <row r="40" spans="1:12" x14ac:dyDescent="0.35">
      <c r="A40">
        <v>2025</v>
      </c>
      <c r="B40">
        <v>6</v>
      </c>
      <c r="C40" t="s">
        <v>69</v>
      </c>
      <c r="D40" t="s">
        <v>315</v>
      </c>
      <c r="E40" t="s">
        <v>282</v>
      </c>
      <c r="F40">
        <v>482</v>
      </c>
      <c r="G40">
        <v>1010356</v>
      </c>
      <c r="H40">
        <v>1044725</v>
      </c>
      <c r="I40">
        <v>690287</v>
      </c>
      <c r="J40">
        <v>1313361</v>
      </c>
      <c r="K40">
        <v>905118</v>
      </c>
      <c r="L40">
        <v>1124208</v>
      </c>
    </row>
    <row r="41" spans="1:12" x14ac:dyDescent="0.35">
      <c r="A41">
        <v>2025</v>
      </c>
      <c r="B41">
        <v>7</v>
      </c>
      <c r="C41" t="s">
        <v>70</v>
      </c>
      <c r="D41" t="s">
        <v>315</v>
      </c>
      <c r="E41" t="s">
        <v>280</v>
      </c>
      <c r="F41">
        <v>189</v>
      </c>
      <c r="G41">
        <v>999212</v>
      </c>
      <c r="H41">
        <v>1021585</v>
      </c>
      <c r="I41">
        <v>690288</v>
      </c>
      <c r="J41">
        <v>1289477</v>
      </c>
      <c r="K41">
        <v>905116</v>
      </c>
      <c r="L41">
        <v>1116708</v>
      </c>
    </row>
    <row r="42" spans="1:12" x14ac:dyDescent="0.35">
      <c r="A42">
        <v>2025</v>
      </c>
      <c r="B42">
        <v>7</v>
      </c>
      <c r="C42" t="s">
        <v>70</v>
      </c>
      <c r="D42" t="s">
        <v>315</v>
      </c>
      <c r="E42" t="s">
        <v>282</v>
      </c>
      <c r="F42">
        <v>482</v>
      </c>
      <c r="G42">
        <v>1010237</v>
      </c>
      <c r="H42">
        <v>1044725</v>
      </c>
      <c r="I42">
        <v>690287</v>
      </c>
      <c r="J42">
        <v>1293457</v>
      </c>
      <c r="K42">
        <v>905118</v>
      </c>
      <c r="L42">
        <v>1124208</v>
      </c>
    </row>
    <row r="43" spans="1:12" x14ac:dyDescent="0.35">
      <c r="A43">
        <v>2025</v>
      </c>
      <c r="B43">
        <v>8</v>
      </c>
      <c r="C43" t="s">
        <v>71</v>
      </c>
      <c r="D43" t="s">
        <v>315</v>
      </c>
      <c r="E43" t="s">
        <v>280</v>
      </c>
      <c r="F43">
        <v>189</v>
      </c>
      <c r="G43">
        <v>1001051</v>
      </c>
      <c r="H43">
        <v>1021585</v>
      </c>
      <c r="I43">
        <v>690288</v>
      </c>
      <c r="J43">
        <v>1529212</v>
      </c>
      <c r="K43">
        <v>905116</v>
      </c>
      <c r="L43">
        <v>1116708</v>
      </c>
    </row>
    <row r="44" spans="1:12" x14ac:dyDescent="0.35">
      <c r="A44">
        <v>2025</v>
      </c>
      <c r="B44">
        <v>8</v>
      </c>
      <c r="C44" t="s">
        <v>71</v>
      </c>
      <c r="D44" t="s">
        <v>315</v>
      </c>
      <c r="E44" t="s">
        <v>282</v>
      </c>
      <c r="F44">
        <v>482</v>
      </c>
      <c r="G44">
        <v>1010396</v>
      </c>
      <c r="H44">
        <v>1044725</v>
      </c>
      <c r="I44">
        <v>690287</v>
      </c>
      <c r="J44">
        <v>1293457</v>
      </c>
      <c r="K44">
        <v>905118</v>
      </c>
      <c r="L44">
        <v>1124208</v>
      </c>
    </row>
    <row r="45" spans="1:12" x14ac:dyDescent="0.35">
      <c r="A45">
        <v>2025</v>
      </c>
      <c r="B45">
        <v>9</v>
      </c>
      <c r="C45" t="s">
        <v>72</v>
      </c>
      <c r="D45" t="s">
        <v>315</v>
      </c>
      <c r="E45" t="s">
        <v>280</v>
      </c>
      <c r="F45">
        <v>189</v>
      </c>
      <c r="G45">
        <v>1000006</v>
      </c>
      <c r="H45">
        <v>1021585</v>
      </c>
      <c r="I45">
        <v>690288</v>
      </c>
      <c r="J45">
        <v>1289477</v>
      </c>
      <c r="K45">
        <v>905116</v>
      </c>
      <c r="L45">
        <v>1116708</v>
      </c>
    </row>
    <row r="46" spans="1:12" x14ac:dyDescent="0.35">
      <c r="A46">
        <v>2025</v>
      </c>
      <c r="B46">
        <v>9</v>
      </c>
      <c r="C46" t="s">
        <v>72</v>
      </c>
      <c r="D46" t="s">
        <v>315</v>
      </c>
      <c r="E46" t="s">
        <v>282</v>
      </c>
      <c r="F46">
        <v>483</v>
      </c>
      <c r="G46">
        <v>1010891</v>
      </c>
      <c r="H46">
        <v>1044725</v>
      </c>
      <c r="I46">
        <v>690287</v>
      </c>
      <c r="J46">
        <v>1293457</v>
      </c>
      <c r="K46">
        <v>912616</v>
      </c>
      <c r="L46">
        <v>1124208</v>
      </c>
    </row>
    <row r="47" spans="1:12" x14ac:dyDescent="0.35">
      <c r="A47">
        <v>2025</v>
      </c>
      <c r="B47">
        <v>10</v>
      </c>
      <c r="C47" t="s">
        <v>73</v>
      </c>
      <c r="D47" t="s">
        <v>315</v>
      </c>
      <c r="E47" t="s">
        <v>280</v>
      </c>
      <c r="F47">
        <v>189</v>
      </c>
      <c r="G47">
        <v>997584</v>
      </c>
      <c r="H47">
        <v>1014085</v>
      </c>
      <c r="I47">
        <v>690288</v>
      </c>
      <c r="J47">
        <v>1278457</v>
      </c>
      <c r="K47">
        <v>905116</v>
      </c>
      <c r="L47">
        <v>1116708</v>
      </c>
    </row>
    <row r="48" spans="1:12" x14ac:dyDescent="0.35">
      <c r="A48">
        <v>2025</v>
      </c>
      <c r="B48">
        <v>10</v>
      </c>
      <c r="C48" t="s">
        <v>73</v>
      </c>
      <c r="D48" t="s">
        <v>315</v>
      </c>
      <c r="E48" t="s">
        <v>282</v>
      </c>
      <c r="F48">
        <v>482</v>
      </c>
      <c r="G48">
        <v>1011466</v>
      </c>
      <c r="H48">
        <v>1044725</v>
      </c>
      <c r="I48">
        <v>690287</v>
      </c>
      <c r="J48">
        <v>1369208</v>
      </c>
      <c r="K48">
        <v>905118</v>
      </c>
      <c r="L48">
        <v>1131708</v>
      </c>
    </row>
    <row r="49" spans="1:12" x14ac:dyDescent="0.35">
      <c r="A49">
        <v>2025</v>
      </c>
      <c r="B49">
        <v>11</v>
      </c>
      <c r="C49" t="s">
        <v>74</v>
      </c>
      <c r="D49" t="s">
        <v>315</v>
      </c>
      <c r="E49" t="s">
        <v>280</v>
      </c>
      <c r="F49">
        <v>197</v>
      </c>
      <c r="G49">
        <v>1046858</v>
      </c>
      <c r="H49">
        <v>1044725</v>
      </c>
      <c r="I49">
        <v>690288</v>
      </c>
      <c r="J49">
        <v>1476425</v>
      </c>
      <c r="K49">
        <v>912616</v>
      </c>
      <c r="L49">
        <v>1196241</v>
      </c>
    </row>
    <row r="50" spans="1:12" x14ac:dyDescent="0.35">
      <c r="A50">
        <v>2025</v>
      </c>
      <c r="B50">
        <v>11</v>
      </c>
      <c r="C50" t="s">
        <v>74</v>
      </c>
      <c r="D50" t="s">
        <v>315</v>
      </c>
      <c r="E50" t="s">
        <v>282</v>
      </c>
      <c r="F50">
        <v>498</v>
      </c>
      <c r="G50">
        <v>1047598</v>
      </c>
      <c r="H50">
        <v>1052225</v>
      </c>
      <c r="I50">
        <v>690287</v>
      </c>
      <c r="J50">
        <v>1506425</v>
      </c>
      <c r="K50">
        <v>927616</v>
      </c>
      <c r="L50">
        <v>1196241</v>
      </c>
    </row>
    <row r="51" spans="1:12" x14ac:dyDescent="0.35">
      <c r="A51">
        <v>2025</v>
      </c>
      <c r="B51">
        <v>12</v>
      </c>
      <c r="C51" t="s">
        <v>75</v>
      </c>
      <c r="D51" t="s">
        <v>315</v>
      </c>
      <c r="E51" t="s">
        <v>280</v>
      </c>
      <c r="F51">
        <v>195</v>
      </c>
      <c r="G51">
        <v>995480</v>
      </c>
      <c r="H51">
        <v>1014085</v>
      </c>
      <c r="I51">
        <v>690288</v>
      </c>
      <c r="J51">
        <v>1278457</v>
      </c>
      <c r="K51">
        <v>866977</v>
      </c>
      <c r="L51">
        <v>1067225</v>
      </c>
    </row>
    <row r="52" spans="1:12" x14ac:dyDescent="0.35">
      <c r="A52">
        <v>2025</v>
      </c>
      <c r="B52">
        <v>12</v>
      </c>
      <c r="C52" t="s">
        <v>75</v>
      </c>
      <c r="D52" t="s">
        <v>315</v>
      </c>
      <c r="E52" t="s">
        <v>282</v>
      </c>
      <c r="F52">
        <v>492</v>
      </c>
      <c r="G52">
        <v>1009189</v>
      </c>
      <c r="H52">
        <v>1044725</v>
      </c>
      <c r="I52">
        <v>690287</v>
      </c>
      <c r="J52">
        <v>1293457</v>
      </c>
      <c r="K52">
        <v>905116</v>
      </c>
      <c r="L52">
        <v>1116708</v>
      </c>
    </row>
  </sheetData>
  <mergeCells count="1">
    <mergeCell ref="A1:L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317</v>
      </c>
      <c r="E5" t="s">
        <v>280</v>
      </c>
      <c r="F5">
        <v>4363</v>
      </c>
      <c r="G5">
        <v>286231</v>
      </c>
      <c r="H5">
        <v>278486</v>
      </c>
      <c r="I5">
        <v>229743</v>
      </c>
      <c r="J5">
        <v>545804</v>
      </c>
      <c r="K5">
        <v>254743</v>
      </c>
      <c r="L5">
        <v>305519</v>
      </c>
    </row>
    <row r="6" spans="1:12" x14ac:dyDescent="0.35">
      <c r="A6">
        <v>2024</v>
      </c>
      <c r="B6">
        <v>1</v>
      </c>
      <c r="C6" t="s">
        <v>42</v>
      </c>
      <c r="D6" t="s">
        <v>317</v>
      </c>
      <c r="E6" t="s">
        <v>282</v>
      </c>
      <c r="F6">
        <v>1963</v>
      </c>
      <c r="G6">
        <v>300004</v>
      </c>
      <c r="H6">
        <v>290752</v>
      </c>
      <c r="I6">
        <v>229743</v>
      </c>
      <c r="J6">
        <v>502848</v>
      </c>
      <c r="K6">
        <v>262243</v>
      </c>
      <c r="L6">
        <v>323252</v>
      </c>
    </row>
    <row r="7" spans="1:12" x14ac:dyDescent="0.35">
      <c r="A7">
        <v>2024</v>
      </c>
      <c r="B7">
        <v>2</v>
      </c>
      <c r="C7" t="s">
        <v>63</v>
      </c>
      <c r="D7" t="s">
        <v>317</v>
      </c>
      <c r="E7" t="s">
        <v>280</v>
      </c>
      <c r="F7">
        <v>4469</v>
      </c>
      <c r="G7">
        <v>288032</v>
      </c>
      <c r="H7">
        <v>279459</v>
      </c>
      <c r="I7">
        <v>229743</v>
      </c>
      <c r="J7">
        <v>545804</v>
      </c>
      <c r="K7">
        <v>254743</v>
      </c>
      <c r="L7">
        <v>311043</v>
      </c>
    </row>
    <row r="8" spans="1:12" x14ac:dyDescent="0.35">
      <c r="A8">
        <v>2024</v>
      </c>
      <c r="B8">
        <v>2</v>
      </c>
      <c r="C8" t="s">
        <v>63</v>
      </c>
      <c r="D8" t="s">
        <v>317</v>
      </c>
      <c r="E8" t="s">
        <v>282</v>
      </c>
      <c r="F8">
        <v>2025</v>
      </c>
      <c r="G8">
        <v>301443</v>
      </c>
      <c r="H8">
        <v>292564</v>
      </c>
      <c r="I8">
        <v>229743</v>
      </c>
      <c r="J8">
        <v>502848</v>
      </c>
      <c r="K8">
        <v>261690</v>
      </c>
      <c r="L8">
        <v>328252</v>
      </c>
    </row>
    <row r="9" spans="1:12" x14ac:dyDescent="0.35">
      <c r="A9">
        <v>2024</v>
      </c>
      <c r="B9">
        <v>3</v>
      </c>
      <c r="C9" t="s">
        <v>66</v>
      </c>
      <c r="D9" t="s">
        <v>317</v>
      </c>
      <c r="E9" t="s">
        <v>280</v>
      </c>
      <c r="F9">
        <v>4611</v>
      </c>
      <c r="G9">
        <v>285117</v>
      </c>
      <c r="H9">
        <v>277564</v>
      </c>
      <c r="I9">
        <v>229743</v>
      </c>
      <c r="J9">
        <v>545804</v>
      </c>
      <c r="K9">
        <v>251824</v>
      </c>
      <c r="L9">
        <v>305752</v>
      </c>
    </row>
    <row r="10" spans="1:12" x14ac:dyDescent="0.35">
      <c r="A10">
        <v>2024</v>
      </c>
      <c r="B10">
        <v>3</v>
      </c>
      <c r="C10" t="s">
        <v>66</v>
      </c>
      <c r="D10" t="s">
        <v>317</v>
      </c>
      <c r="E10" t="s">
        <v>282</v>
      </c>
      <c r="F10">
        <v>2096</v>
      </c>
      <c r="G10">
        <v>297996</v>
      </c>
      <c r="H10">
        <v>290408</v>
      </c>
      <c r="I10">
        <v>229743</v>
      </c>
      <c r="J10">
        <v>502848</v>
      </c>
      <c r="K10">
        <v>257243</v>
      </c>
      <c r="L10">
        <v>321676</v>
      </c>
    </row>
    <row r="11" spans="1:12" x14ac:dyDescent="0.35">
      <c r="A11">
        <v>2024</v>
      </c>
      <c r="B11">
        <v>4</v>
      </c>
      <c r="C11" t="s">
        <v>67</v>
      </c>
      <c r="D11" t="s">
        <v>317</v>
      </c>
      <c r="E11" t="s">
        <v>280</v>
      </c>
      <c r="F11">
        <v>4649</v>
      </c>
      <c r="G11">
        <v>285455</v>
      </c>
      <c r="H11">
        <v>277797</v>
      </c>
      <c r="I11">
        <v>229743</v>
      </c>
      <c r="J11">
        <v>545804</v>
      </c>
      <c r="K11">
        <v>254190</v>
      </c>
      <c r="L11">
        <v>305520</v>
      </c>
    </row>
    <row r="12" spans="1:12" x14ac:dyDescent="0.35">
      <c r="A12">
        <v>2024</v>
      </c>
      <c r="B12">
        <v>4</v>
      </c>
      <c r="C12" t="s">
        <v>67</v>
      </c>
      <c r="D12" t="s">
        <v>317</v>
      </c>
      <c r="E12" t="s">
        <v>282</v>
      </c>
      <c r="F12">
        <v>2115</v>
      </c>
      <c r="G12">
        <v>297949</v>
      </c>
      <c r="H12">
        <v>288486</v>
      </c>
      <c r="I12">
        <v>229743</v>
      </c>
      <c r="J12">
        <v>502848</v>
      </c>
      <c r="K12">
        <v>260064</v>
      </c>
      <c r="L12">
        <v>321442</v>
      </c>
    </row>
    <row r="13" spans="1:12" x14ac:dyDescent="0.35">
      <c r="A13">
        <v>2024</v>
      </c>
      <c r="B13">
        <v>5</v>
      </c>
      <c r="C13" t="s">
        <v>68</v>
      </c>
      <c r="D13" t="s">
        <v>317</v>
      </c>
      <c r="E13" t="s">
        <v>280</v>
      </c>
      <c r="F13">
        <v>4672</v>
      </c>
      <c r="G13">
        <v>285110</v>
      </c>
      <c r="H13">
        <v>278486</v>
      </c>
      <c r="I13">
        <v>229743</v>
      </c>
      <c r="J13">
        <v>545804</v>
      </c>
      <c r="K13">
        <v>251824</v>
      </c>
      <c r="L13">
        <v>305519</v>
      </c>
    </row>
    <row r="14" spans="1:12" x14ac:dyDescent="0.35">
      <c r="A14">
        <v>2024</v>
      </c>
      <c r="B14">
        <v>5</v>
      </c>
      <c r="C14" t="s">
        <v>68</v>
      </c>
      <c r="D14" t="s">
        <v>317</v>
      </c>
      <c r="E14" t="s">
        <v>282</v>
      </c>
      <c r="F14">
        <v>2106</v>
      </c>
      <c r="G14">
        <v>297772</v>
      </c>
      <c r="H14">
        <v>288369</v>
      </c>
      <c r="I14">
        <v>229743</v>
      </c>
      <c r="J14">
        <v>502848</v>
      </c>
      <c r="K14">
        <v>257797</v>
      </c>
      <c r="L14">
        <v>320752</v>
      </c>
    </row>
    <row r="15" spans="1:12" x14ac:dyDescent="0.35">
      <c r="A15">
        <v>2024</v>
      </c>
      <c r="B15">
        <v>6</v>
      </c>
      <c r="C15" t="s">
        <v>69</v>
      </c>
      <c r="D15" t="s">
        <v>317</v>
      </c>
      <c r="E15" t="s">
        <v>280</v>
      </c>
      <c r="F15">
        <v>4724</v>
      </c>
      <c r="G15">
        <v>285115</v>
      </c>
      <c r="H15">
        <v>277564</v>
      </c>
      <c r="I15">
        <v>229743</v>
      </c>
      <c r="J15">
        <v>545804</v>
      </c>
      <c r="K15">
        <v>251824</v>
      </c>
      <c r="L15">
        <v>305519</v>
      </c>
    </row>
    <row r="16" spans="1:12" x14ac:dyDescent="0.35">
      <c r="A16">
        <v>2024</v>
      </c>
      <c r="B16">
        <v>6</v>
      </c>
      <c r="C16" t="s">
        <v>69</v>
      </c>
      <c r="D16" t="s">
        <v>317</v>
      </c>
      <c r="E16" t="s">
        <v>282</v>
      </c>
      <c r="F16">
        <v>2130</v>
      </c>
      <c r="G16">
        <v>297554</v>
      </c>
      <c r="H16">
        <v>288564</v>
      </c>
      <c r="I16">
        <v>229743</v>
      </c>
      <c r="J16">
        <v>502848</v>
      </c>
      <c r="K16">
        <v>257243</v>
      </c>
      <c r="L16">
        <v>320752</v>
      </c>
    </row>
    <row r="17" spans="1:12" x14ac:dyDescent="0.35">
      <c r="A17">
        <v>2024</v>
      </c>
      <c r="B17">
        <v>7</v>
      </c>
      <c r="C17" t="s">
        <v>70</v>
      </c>
      <c r="D17" t="s">
        <v>317</v>
      </c>
      <c r="E17" t="s">
        <v>280</v>
      </c>
      <c r="F17">
        <v>4784</v>
      </c>
      <c r="G17">
        <v>285320</v>
      </c>
      <c r="H17">
        <v>277564</v>
      </c>
      <c r="I17">
        <v>229743</v>
      </c>
      <c r="J17">
        <v>545804</v>
      </c>
      <c r="K17">
        <v>251824</v>
      </c>
      <c r="L17">
        <v>305519</v>
      </c>
    </row>
    <row r="18" spans="1:12" x14ac:dyDescent="0.35">
      <c r="A18">
        <v>2024</v>
      </c>
      <c r="B18">
        <v>7</v>
      </c>
      <c r="C18" t="s">
        <v>70</v>
      </c>
      <c r="D18" t="s">
        <v>317</v>
      </c>
      <c r="E18" t="s">
        <v>282</v>
      </c>
      <c r="F18">
        <v>2160</v>
      </c>
      <c r="G18">
        <v>297309</v>
      </c>
      <c r="H18">
        <v>288252</v>
      </c>
      <c r="I18">
        <v>229743</v>
      </c>
      <c r="J18">
        <v>502848</v>
      </c>
      <c r="K18">
        <v>257243</v>
      </c>
      <c r="L18">
        <v>320752</v>
      </c>
    </row>
    <row r="19" spans="1:12" x14ac:dyDescent="0.35">
      <c r="A19">
        <v>2024</v>
      </c>
      <c r="B19">
        <v>8</v>
      </c>
      <c r="C19" t="s">
        <v>71</v>
      </c>
      <c r="D19" t="s">
        <v>317</v>
      </c>
      <c r="E19" t="s">
        <v>280</v>
      </c>
      <c r="F19">
        <v>4828</v>
      </c>
      <c r="G19">
        <v>287161</v>
      </c>
      <c r="H19">
        <v>278142</v>
      </c>
      <c r="I19">
        <v>229743</v>
      </c>
      <c r="J19">
        <v>545804</v>
      </c>
      <c r="K19">
        <v>251824</v>
      </c>
      <c r="L19">
        <v>305752</v>
      </c>
    </row>
    <row r="20" spans="1:12" x14ac:dyDescent="0.35">
      <c r="A20">
        <v>2024</v>
      </c>
      <c r="B20">
        <v>8</v>
      </c>
      <c r="C20" t="s">
        <v>71</v>
      </c>
      <c r="D20" t="s">
        <v>317</v>
      </c>
      <c r="E20" t="s">
        <v>282</v>
      </c>
      <c r="F20">
        <v>2197</v>
      </c>
      <c r="G20">
        <v>297690</v>
      </c>
      <c r="H20">
        <v>288252</v>
      </c>
      <c r="I20">
        <v>229743</v>
      </c>
      <c r="J20">
        <v>502848</v>
      </c>
      <c r="K20">
        <v>255297</v>
      </c>
      <c r="L20">
        <v>320752</v>
      </c>
    </row>
    <row r="21" spans="1:12" x14ac:dyDescent="0.35">
      <c r="A21">
        <v>2024</v>
      </c>
      <c r="B21">
        <v>9</v>
      </c>
      <c r="C21" t="s">
        <v>72</v>
      </c>
      <c r="D21" t="s">
        <v>317</v>
      </c>
      <c r="E21" t="s">
        <v>280</v>
      </c>
      <c r="F21">
        <v>4962</v>
      </c>
      <c r="G21">
        <v>284586</v>
      </c>
      <c r="H21">
        <v>275988</v>
      </c>
      <c r="I21">
        <v>229743</v>
      </c>
      <c r="J21">
        <v>545804</v>
      </c>
      <c r="K21">
        <v>250297</v>
      </c>
      <c r="L21">
        <v>305519</v>
      </c>
    </row>
    <row r="22" spans="1:12" x14ac:dyDescent="0.35">
      <c r="A22">
        <v>2024</v>
      </c>
      <c r="B22">
        <v>9</v>
      </c>
      <c r="C22" t="s">
        <v>72</v>
      </c>
      <c r="D22" t="s">
        <v>317</v>
      </c>
      <c r="E22" t="s">
        <v>282</v>
      </c>
      <c r="F22">
        <v>2228</v>
      </c>
      <c r="G22">
        <v>296297</v>
      </c>
      <c r="H22">
        <v>285986</v>
      </c>
      <c r="I22">
        <v>229743</v>
      </c>
      <c r="J22">
        <v>502848</v>
      </c>
      <c r="K22">
        <v>254743</v>
      </c>
      <c r="L22">
        <v>320519</v>
      </c>
    </row>
    <row r="23" spans="1:12" x14ac:dyDescent="0.35">
      <c r="A23">
        <v>2024</v>
      </c>
      <c r="B23">
        <v>10</v>
      </c>
      <c r="C23" t="s">
        <v>73</v>
      </c>
      <c r="D23" t="s">
        <v>317</v>
      </c>
      <c r="E23" t="s">
        <v>280</v>
      </c>
      <c r="F23">
        <v>5026</v>
      </c>
      <c r="G23">
        <v>284178</v>
      </c>
      <c r="H23">
        <v>275986</v>
      </c>
      <c r="I23">
        <v>229743</v>
      </c>
      <c r="J23">
        <v>545804</v>
      </c>
      <c r="K23">
        <v>250297</v>
      </c>
      <c r="L23">
        <v>305519</v>
      </c>
    </row>
    <row r="24" spans="1:12" x14ac:dyDescent="0.35">
      <c r="A24">
        <v>2024</v>
      </c>
      <c r="B24">
        <v>10</v>
      </c>
      <c r="C24" t="s">
        <v>73</v>
      </c>
      <c r="D24" t="s">
        <v>317</v>
      </c>
      <c r="E24" t="s">
        <v>282</v>
      </c>
      <c r="F24">
        <v>2253</v>
      </c>
      <c r="G24">
        <v>295512</v>
      </c>
      <c r="H24">
        <v>285752</v>
      </c>
      <c r="I24">
        <v>229743</v>
      </c>
      <c r="J24">
        <v>502848</v>
      </c>
      <c r="K24">
        <v>254743</v>
      </c>
      <c r="L24">
        <v>320519</v>
      </c>
    </row>
    <row r="25" spans="1:12" x14ac:dyDescent="0.35">
      <c r="A25">
        <v>2024</v>
      </c>
      <c r="B25">
        <v>11</v>
      </c>
      <c r="C25" t="s">
        <v>74</v>
      </c>
      <c r="D25" t="s">
        <v>317</v>
      </c>
      <c r="E25" t="s">
        <v>280</v>
      </c>
      <c r="F25">
        <v>5021</v>
      </c>
      <c r="G25">
        <v>283875</v>
      </c>
      <c r="H25">
        <v>275986</v>
      </c>
      <c r="I25">
        <v>229743</v>
      </c>
      <c r="J25">
        <v>545804</v>
      </c>
      <c r="K25">
        <v>250297</v>
      </c>
      <c r="L25">
        <v>305519</v>
      </c>
    </row>
    <row r="26" spans="1:12" x14ac:dyDescent="0.35">
      <c r="A26">
        <v>2024</v>
      </c>
      <c r="B26">
        <v>11</v>
      </c>
      <c r="C26" t="s">
        <v>74</v>
      </c>
      <c r="D26" t="s">
        <v>317</v>
      </c>
      <c r="E26" t="s">
        <v>282</v>
      </c>
      <c r="F26">
        <v>2281</v>
      </c>
      <c r="G26">
        <v>294993</v>
      </c>
      <c r="H26">
        <v>285064</v>
      </c>
      <c r="I26">
        <v>229743</v>
      </c>
      <c r="J26">
        <v>502848</v>
      </c>
      <c r="K26">
        <v>254743</v>
      </c>
      <c r="L26">
        <v>318942</v>
      </c>
    </row>
    <row r="27" spans="1:12" x14ac:dyDescent="0.35">
      <c r="A27">
        <v>2024</v>
      </c>
      <c r="B27">
        <v>12</v>
      </c>
      <c r="C27" t="s">
        <v>75</v>
      </c>
      <c r="D27" t="s">
        <v>317</v>
      </c>
      <c r="E27" t="s">
        <v>280</v>
      </c>
      <c r="F27">
        <v>5039</v>
      </c>
      <c r="G27">
        <v>283732</v>
      </c>
      <c r="H27">
        <v>275986</v>
      </c>
      <c r="I27">
        <v>229743</v>
      </c>
      <c r="J27">
        <v>545804</v>
      </c>
      <c r="K27">
        <v>250297</v>
      </c>
      <c r="L27">
        <v>305519</v>
      </c>
    </row>
    <row r="28" spans="1:12" x14ac:dyDescent="0.35">
      <c r="A28">
        <v>2024</v>
      </c>
      <c r="B28">
        <v>12</v>
      </c>
      <c r="C28" t="s">
        <v>75</v>
      </c>
      <c r="D28" t="s">
        <v>317</v>
      </c>
      <c r="E28" t="s">
        <v>282</v>
      </c>
      <c r="F28">
        <v>2281</v>
      </c>
      <c r="G28">
        <v>295040</v>
      </c>
      <c r="H28">
        <v>285297</v>
      </c>
      <c r="I28">
        <v>229743</v>
      </c>
      <c r="J28">
        <v>502848</v>
      </c>
      <c r="K28">
        <v>254743</v>
      </c>
      <c r="L28">
        <v>318942</v>
      </c>
    </row>
    <row r="29" spans="1:12" x14ac:dyDescent="0.35">
      <c r="A29">
        <v>2025</v>
      </c>
      <c r="B29">
        <v>1</v>
      </c>
      <c r="C29" t="s">
        <v>42</v>
      </c>
      <c r="D29" t="s">
        <v>317</v>
      </c>
      <c r="E29" t="s">
        <v>280</v>
      </c>
      <c r="F29">
        <v>5017</v>
      </c>
      <c r="G29">
        <v>284053</v>
      </c>
      <c r="H29">
        <v>275988</v>
      </c>
      <c r="I29">
        <v>229743</v>
      </c>
      <c r="J29">
        <v>545804</v>
      </c>
      <c r="K29">
        <v>251400</v>
      </c>
      <c r="L29">
        <v>305519</v>
      </c>
    </row>
    <row r="30" spans="1:12" x14ac:dyDescent="0.35">
      <c r="A30">
        <v>2025</v>
      </c>
      <c r="B30">
        <v>1</v>
      </c>
      <c r="C30" t="s">
        <v>42</v>
      </c>
      <c r="D30" t="s">
        <v>317</v>
      </c>
      <c r="E30" t="s">
        <v>282</v>
      </c>
      <c r="F30">
        <v>2267</v>
      </c>
      <c r="G30">
        <v>294457</v>
      </c>
      <c r="H30">
        <v>285064</v>
      </c>
      <c r="I30">
        <v>229743</v>
      </c>
      <c r="J30">
        <v>502848</v>
      </c>
      <c r="K30">
        <v>254778</v>
      </c>
      <c r="L30">
        <v>318019</v>
      </c>
    </row>
    <row r="31" spans="1:12" x14ac:dyDescent="0.35">
      <c r="A31">
        <v>2025</v>
      </c>
      <c r="B31">
        <v>2</v>
      </c>
      <c r="C31" t="s">
        <v>63</v>
      </c>
      <c r="D31" t="s">
        <v>317</v>
      </c>
      <c r="E31" t="s">
        <v>280</v>
      </c>
      <c r="F31">
        <v>5189</v>
      </c>
      <c r="G31">
        <v>285326</v>
      </c>
      <c r="H31">
        <v>276982</v>
      </c>
      <c r="I31">
        <v>229743</v>
      </c>
      <c r="J31">
        <v>545804</v>
      </c>
      <c r="K31">
        <v>250297</v>
      </c>
      <c r="L31">
        <v>305752</v>
      </c>
    </row>
    <row r="32" spans="1:12" x14ac:dyDescent="0.35">
      <c r="A32">
        <v>2025</v>
      </c>
      <c r="B32">
        <v>2</v>
      </c>
      <c r="C32" t="s">
        <v>63</v>
      </c>
      <c r="D32" t="s">
        <v>317</v>
      </c>
      <c r="E32" t="s">
        <v>282</v>
      </c>
      <c r="F32">
        <v>2328</v>
      </c>
      <c r="G32">
        <v>294625</v>
      </c>
      <c r="H32">
        <v>283488</v>
      </c>
      <c r="I32">
        <v>229743</v>
      </c>
      <c r="J32">
        <v>502848</v>
      </c>
      <c r="K32">
        <v>254324</v>
      </c>
      <c r="L32">
        <v>320752</v>
      </c>
    </row>
    <row r="33" spans="1:12" x14ac:dyDescent="0.35">
      <c r="A33">
        <v>2025</v>
      </c>
      <c r="B33">
        <v>3</v>
      </c>
      <c r="C33" t="s">
        <v>66</v>
      </c>
      <c r="D33" t="s">
        <v>317</v>
      </c>
      <c r="E33" t="s">
        <v>280</v>
      </c>
      <c r="F33">
        <v>5330</v>
      </c>
      <c r="G33">
        <v>283909</v>
      </c>
      <c r="H33">
        <v>275986</v>
      </c>
      <c r="I33">
        <v>229743</v>
      </c>
      <c r="J33">
        <v>545804</v>
      </c>
      <c r="K33">
        <v>249743</v>
      </c>
      <c r="L33">
        <v>305519</v>
      </c>
    </row>
    <row r="34" spans="1:12" x14ac:dyDescent="0.35">
      <c r="A34">
        <v>2025</v>
      </c>
      <c r="B34">
        <v>3</v>
      </c>
      <c r="C34" t="s">
        <v>66</v>
      </c>
      <c r="D34" t="s">
        <v>317</v>
      </c>
      <c r="E34" t="s">
        <v>282</v>
      </c>
      <c r="F34">
        <v>2414</v>
      </c>
      <c r="G34">
        <v>293126</v>
      </c>
      <c r="H34">
        <v>283486</v>
      </c>
      <c r="I34">
        <v>229743</v>
      </c>
      <c r="J34">
        <v>502848</v>
      </c>
      <c r="K34">
        <v>254190</v>
      </c>
      <c r="L34">
        <v>316676</v>
      </c>
    </row>
    <row r="35" spans="1:12" x14ac:dyDescent="0.35">
      <c r="A35">
        <v>2025</v>
      </c>
      <c r="B35">
        <v>4</v>
      </c>
      <c r="C35" t="s">
        <v>67</v>
      </c>
      <c r="D35" t="s">
        <v>317</v>
      </c>
      <c r="E35" t="s">
        <v>280</v>
      </c>
      <c r="F35">
        <v>5189</v>
      </c>
      <c r="G35">
        <v>285326</v>
      </c>
      <c r="H35">
        <v>276982</v>
      </c>
      <c r="I35">
        <v>229743</v>
      </c>
      <c r="J35">
        <v>545804</v>
      </c>
      <c r="K35">
        <v>250297</v>
      </c>
      <c r="L35">
        <v>305752</v>
      </c>
    </row>
    <row r="36" spans="1:12" x14ac:dyDescent="0.35">
      <c r="A36">
        <v>2025</v>
      </c>
      <c r="B36">
        <v>4</v>
      </c>
      <c r="C36" t="s">
        <v>67</v>
      </c>
      <c r="D36" t="s">
        <v>317</v>
      </c>
      <c r="E36" t="s">
        <v>282</v>
      </c>
      <c r="F36">
        <v>2328</v>
      </c>
      <c r="G36">
        <v>294625</v>
      </c>
      <c r="H36">
        <v>283488</v>
      </c>
      <c r="I36">
        <v>229743</v>
      </c>
      <c r="J36">
        <v>502848</v>
      </c>
      <c r="K36">
        <v>254324</v>
      </c>
      <c r="L36">
        <v>320752</v>
      </c>
    </row>
    <row r="37" spans="1:12" x14ac:dyDescent="0.35">
      <c r="A37">
        <v>2025</v>
      </c>
      <c r="B37">
        <v>5</v>
      </c>
      <c r="C37" t="s">
        <v>68</v>
      </c>
      <c r="D37" t="s">
        <v>317</v>
      </c>
      <c r="E37" t="s">
        <v>280</v>
      </c>
      <c r="F37">
        <v>5519</v>
      </c>
      <c r="G37">
        <v>283359</v>
      </c>
      <c r="H37">
        <v>275986</v>
      </c>
      <c r="I37">
        <v>229743</v>
      </c>
      <c r="J37">
        <v>545804</v>
      </c>
      <c r="K37">
        <v>247797</v>
      </c>
      <c r="L37">
        <v>305519</v>
      </c>
    </row>
    <row r="38" spans="1:12" x14ac:dyDescent="0.35">
      <c r="A38">
        <v>2025</v>
      </c>
      <c r="B38">
        <v>5</v>
      </c>
      <c r="C38" t="s">
        <v>68</v>
      </c>
      <c r="D38" t="s">
        <v>317</v>
      </c>
      <c r="E38" t="s">
        <v>282</v>
      </c>
      <c r="F38">
        <v>2467</v>
      </c>
      <c r="G38">
        <v>292555</v>
      </c>
      <c r="H38">
        <v>283486</v>
      </c>
      <c r="I38">
        <v>229743</v>
      </c>
      <c r="J38">
        <v>502848</v>
      </c>
      <c r="K38">
        <v>254190</v>
      </c>
      <c r="L38">
        <v>316258</v>
      </c>
    </row>
    <row r="39" spans="1:12" x14ac:dyDescent="0.35">
      <c r="A39">
        <v>2025</v>
      </c>
      <c r="B39">
        <v>6</v>
      </c>
      <c r="C39" t="s">
        <v>69</v>
      </c>
      <c r="D39" t="s">
        <v>317</v>
      </c>
      <c r="E39" t="s">
        <v>280</v>
      </c>
      <c r="F39">
        <v>5557</v>
      </c>
      <c r="G39">
        <v>283678</v>
      </c>
      <c r="H39">
        <v>275986</v>
      </c>
      <c r="I39">
        <v>229743</v>
      </c>
      <c r="J39">
        <v>545804</v>
      </c>
      <c r="K39">
        <v>249355</v>
      </c>
      <c r="L39">
        <v>305519</v>
      </c>
    </row>
    <row r="40" spans="1:12" x14ac:dyDescent="0.35">
      <c r="A40">
        <v>2025</v>
      </c>
      <c r="B40">
        <v>6</v>
      </c>
      <c r="C40" t="s">
        <v>69</v>
      </c>
      <c r="D40" t="s">
        <v>317</v>
      </c>
      <c r="E40" t="s">
        <v>282</v>
      </c>
      <c r="F40">
        <v>2489</v>
      </c>
      <c r="G40">
        <v>292562</v>
      </c>
      <c r="H40">
        <v>283486</v>
      </c>
      <c r="I40">
        <v>229743</v>
      </c>
      <c r="J40">
        <v>502848</v>
      </c>
      <c r="K40">
        <v>252797</v>
      </c>
      <c r="L40">
        <v>316307</v>
      </c>
    </row>
    <row r="41" spans="1:12" x14ac:dyDescent="0.35">
      <c r="A41">
        <v>2025</v>
      </c>
      <c r="B41">
        <v>7</v>
      </c>
      <c r="C41" t="s">
        <v>70</v>
      </c>
      <c r="D41" t="s">
        <v>317</v>
      </c>
      <c r="E41" t="s">
        <v>280</v>
      </c>
      <c r="F41">
        <v>5575</v>
      </c>
      <c r="G41">
        <v>283620</v>
      </c>
      <c r="H41">
        <v>275986</v>
      </c>
      <c r="I41">
        <v>229743</v>
      </c>
      <c r="J41">
        <v>545804</v>
      </c>
      <c r="K41">
        <v>249190</v>
      </c>
      <c r="L41">
        <v>305519</v>
      </c>
    </row>
    <row r="42" spans="1:12" x14ac:dyDescent="0.35">
      <c r="A42">
        <v>2025</v>
      </c>
      <c r="B42">
        <v>7</v>
      </c>
      <c r="C42" t="s">
        <v>70</v>
      </c>
      <c r="D42" t="s">
        <v>317</v>
      </c>
      <c r="E42" t="s">
        <v>282</v>
      </c>
      <c r="F42">
        <v>2504</v>
      </c>
      <c r="G42">
        <v>292623</v>
      </c>
      <c r="H42">
        <v>283486</v>
      </c>
      <c r="I42">
        <v>229743</v>
      </c>
      <c r="J42">
        <v>502848</v>
      </c>
      <c r="K42">
        <v>254743</v>
      </c>
      <c r="L42">
        <v>315752</v>
      </c>
    </row>
    <row r="43" spans="1:12" x14ac:dyDescent="0.35">
      <c r="A43">
        <v>2025</v>
      </c>
      <c r="B43">
        <v>8</v>
      </c>
      <c r="C43" t="s">
        <v>71</v>
      </c>
      <c r="D43" t="s">
        <v>317</v>
      </c>
      <c r="E43" t="s">
        <v>280</v>
      </c>
      <c r="F43">
        <v>5591</v>
      </c>
      <c r="G43">
        <v>283538</v>
      </c>
      <c r="H43">
        <v>275986</v>
      </c>
      <c r="I43">
        <v>229743</v>
      </c>
      <c r="J43">
        <v>545804</v>
      </c>
      <c r="K43">
        <v>249551</v>
      </c>
      <c r="L43">
        <v>305519</v>
      </c>
    </row>
    <row r="44" spans="1:12" x14ac:dyDescent="0.35">
      <c r="A44">
        <v>2025</v>
      </c>
      <c r="B44">
        <v>8</v>
      </c>
      <c r="C44" t="s">
        <v>71</v>
      </c>
      <c r="D44" t="s">
        <v>317</v>
      </c>
      <c r="E44" t="s">
        <v>282</v>
      </c>
      <c r="F44">
        <v>2516</v>
      </c>
      <c r="G44">
        <v>292337</v>
      </c>
      <c r="H44">
        <v>283486</v>
      </c>
      <c r="I44">
        <v>229743</v>
      </c>
      <c r="J44">
        <v>502848</v>
      </c>
      <c r="K44">
        <v>254324</v>
      </c>
      <c r="L44">
        <v>315519</v>
      </c>
    </row>
    <row r="45" spans="1:12" x14ac:dyDescent="0.35">
      <c r="A45">
        <v>2025</v>
      </c>
      <c r="B45">
        <v>9</v>
      </c>
      <c r="C45" t="s">
        <v>72</v>
      </c>
      <c r="D45" t="s">
        <v>317</v>
      </c>
      <c r="E45" t="s">
        <v>280</v>
      </c>
      <c r="F45">
        <v>5589</v>
      </c>
      <c r="G45">
        <v>283371</v>
      </c>
      <c r="H45">
        <v>275986</v>
      </c>
      <c r="I45">
        <v>229743</v>
      </c>
      <c r="J45">
        <v>545804</v>
      </c>
      <c r="K45">
        <v>249743</v>
      </c>
      <c r="L45">
        <v>305519</v>
      </c>
    </row>
    <row r="46" spans="1:12" x14ac:dyDescent="0.35">
      <c r="A46">
        <v>2025</v>
      </c>
      <c r="B46">
        <v>9</v>
      </c>
      <c r="C46" t="s">
        <v>72</v>
      </c>
      <c r="D46" t="s">
        <v>317</v>
      </c>
      <c r="E46" t="s">
        <v>282</v>
      </c>
      <c r="F46">
        <v>2530</v>
      </c>
      <c r="G46">
        <v>292102</v>
      </c>
      <c r="H46">
        <v>283486</v>
      </c>
      <c r="I46">
        <v>229743</v>
      </c>
      <c r="J46">
        <v>502848</v>
      </c>
      <c r="K46">
        <v>254324</v>
      </c>
      <c r="L46">
        <v>313942</v>
      </c>
    </row>
    <row r="47" spans="1:12" x14ac:dyDescent="0.35">
      <c r="A47">
        <v>2025</v>
      </c>
      <c r="B47">
        <v>10</v>
      </c>
      <c r="C47" t="s">
        <v>73</v>
      </c>
      <c r="D47" t="s">
        <v>317</v>
      </c>
      <c r="E47" t="s">
        <v>280</v>
      </c>
      <c r="F47">
        <v>5606</v>
      </c>
      <c r="G47">
        <v>283364</v>
      </c>
      <c r="H47">
        <v>275986</v>
      </c>
      <c r="I47">
        <v>229743</v>
      </c>
      <c r="J47">
        <v>545804</v>
      </c>
      <c r="K47">
        <v>249190</v>
      </c>
      <c r="L47">
        <v>305519</v>
      </c>
    </row>
    <row r="48" spans="1:12" x14ac:dyDescent="0.35">
      <c r="A48">
        <v>2025</v>
      </c>
      <c r="B48">
        <v>10</v>
      </c>
      <c r="C48" t="s">
        <v>73</v>
      </c>
      <c r="D48" t="s">
        <v>317</v>
      </c>
      <c r="E48" t="s">
        <v>282</v>
      </c>
      <c r="F48">
        <v>2546</v>
      </c>
      <c r="G48">
        <v>292116</v>
      </c>
      <c r="H48">
        <v>283486</v>
      </c>
      <c r="I48">
        <v>229743</v>
      </c>
      <c r="J48">
        <v>502848</v>
      </c>
      <c r="K48">
        <v>254743</v>
      </c>
      <c r="L48">
        <v>313942</v>
      </c>
    </row>
    <row r="49" spans="1:12" x14ac:dyDescent="0.35">
      <c r="A49">
        <v>2025</v>
      </c>
      <c r="B49">
        <v>11</v>
      </c>
      <c r="C49" t="s">
        <v>74</v>
      </c>
      <c r="D49" t="s">
        <v>317</v>
      </c>
      <c r="E49" t="s">
        <v>280</v>
      </c>
      <c r="F49">
        <v>5622</v>
      </c>
      <c r="G49">
        <v>283378</v>
      </c>
      <c r="H49">
        <v>275986</v>
      </c>
      <c r="I49">
        <v>229743</v>
      </c>
      <c r="J49">
        <v>557494</v>
      </c>
      <c r="K49">
        <v>249190</v>
      </c>
      <c r="L49">
        <v>305519</v>
      </c>
    </row>
    <row r="50" spans="1:12" x14ac:dyDescent="0.35">
      <c r="A50">
        <v>2025</v>
      </c>
      <c r="B50">
        <v>11</v>
      </c>
      <c r="C50" t="s">
        <v>74</v>
      </c>
      <c r="D50" t="s">
        <v>317</v>
      </c>
      <c r="E50" t="s">
        <v>282</v>
      </c>
      <c r="F50">
        <v>2562</v>
      </c>
      <c r="G50">
        <v>291988</v>
      </c>
      <c r="H50">
        <v>283486</v>
      </c>
      <c r="I50">
        <v>229743</v>
      </c>
      <c r="J50">
        <v>502848</v>
      </c>
      <c r="K50">
        <v>254324</v>
      </c>
      <c r="L50">
        <v>313942</v>
      </c>
    </row>
    <row r="51" spans="1:12" x14ac:dyDescent="0.35">
      <c r="A51">
        <v>2025</v>
      </c>
      <c r="B51">
        <v>12</v>
      </c>
      <c r="C51" t="s">
        <v>75</v>
      </c>
      <c r="D51" t="s">
        <v>317</v>
      </c>
      <c r="E51" t="s">
        <v>280</v>
      </c>
      <c r="F51">
        <v>5623</v>
      </c>
      <c r="G51">
        <v>283309</v>
      </c>
      <c r="H51">
        <v>275986</v>
      </c>
      <c r="I51">
        <v>229743</v>
      </c>
      <c r="J51">
        <v>552515</v>
      </c>
      <c r="K51">
        <v>247797</v>
      </c>
      <c r="L51">
        <v>305519</v>
      </c>
    </row>
    <row r="52" spans="1:12" x14ac:dyDescent="0.35">
      <c r="A52">
        <v>2025</v>
      </c>
      <c r="B52">
        <v>12</v>
      </c>
      <c r="C52" t="s">
        <v>75</v>
      </c>
      <c r="D52" t="s">
        <v>317</v>
      </c>
      <c r="E52" t="s">
        <v>282</v>
      </c>
      <c r="F52">
        <v>2559</v>
      </c>
      <c r="G52">
        <v>292101</v>
      </c>
      <c r="H52">
        <v>283488</v>
      </c>
      <c r="I52">
        <v>229743</v>
      </c>
      <c r="J52">
        <v>502848</v>
      </c>
      <c r="K52">
        <v>254324</v>
      </c>
      <c r="L52">
        <v>313942</v>
      </c>
    </row>
  </sheetData>
  <mergeCells count="1">
    <mergeCell ref="A1:L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52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4" width="15" customWidth="1"/>
    <col min="5" max="6" width="18" customWidth="1"/>
    <col min="7" max="8" width="15" customWidth="1"/>
  </cols>
  <sheetData>
    <row r="1" spans="1:12" ht="28" customHeight="1" x14ac:dyDescent="0.35">
      <c r="A1" s="6" t="s">
        <v>341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5" x14ac:dyDescent="0.35">
      <c r="A2" s="2" t="str">
        <f>HYPERLINK("#SOMMAIRE!A1","← Retour au sommaire")</f>
        <v>← Retour au sommaire</v>
      </c>
    </row>
    <row r="4" spans="1:12" ht="29" x14ac:dyDescent="0.35">
      <c r="A4" s="1" t="s">
        <v>30</v>
      </c>
      <c r="B4" s="1" t="s">
        <v>31</v>
      </c>
      <c r="C4" s="1" t="s">
        <v>32</v>
      </c>
      <c r="D4" s="1" t="s">
        <v>298</v>
      </c>
      <c r="E4" s="1" t="s">
        <v>279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35">
      <c r="A5">
        <v>2024</v>
      </c>
      <c r="B5">
        <v>1</v>
      </c>
      <c r="C5" t="s">
        <v>42</v>
      </c>
      <c r="D5" t="s">
        <v>319</v>
      </c>
      <c r="E5" t="s">
        <v>280</v>
      </c>
      <c r="F5">
        <v>17352</v>
      </c>
      <c r="G5">
        <v>302951</v>
      </c>
      <c r="H5">
        <v>295519</v>
      </c>
      <c r="I5">
        <v>204237</v>
      </c>
      <c r="J5">
        <v>677824</v>
      </c>
      <c r="K5">
        <v>265986</v>
      </c>
      <c r="L5">
        <v>328942</v>
      </c>
    </row>
    <row r="6" spans="1:12" x14ac:dyDescent="0.35">
      <c r="A6">
        <v>2024</v>
      </c>
      <c r="B6">
        <v>1</v>
      </c>
      <c r="C6" t="s">
        <v>42</v>
      </c>
      <c r="D6" t="s">
        <v>319</v>
      </c>
      <c r="E6" t="s">
        <v>282</v>
      </c>
      <c r="F6">
        <v>13789</v>
      </c>
      <c r="G6">
        <v>339129</v>
      </c>
      <c r="H6">
        <v>318019</v>
      </c>
      <c r="I6">
        <v>204842</v>
      </c>
      <c r="J6">
        <v>695879</v>
      </c>
      <c r="K6">
        <v>285752</v>
      </c>
      <c r="L6">
        <v>373795</v>
      </c>
    </row>
    <row r="7" spans="1:12" x14ac:dyDescent="0.35">
      <c r="A7">
        <v>2024</v>
      </c>
      <c r="B7">
        <v>2</v>
      </c>
      <c r="C7" t="s">
        <v>63</v>
      </c>
      <c r="D7" t="s">
        <v>319</v>
      </c>
      <c r="E7" t="s">
        <v>280</v>
      </c>
      <c r="F7">
        <v>17383</v>
      </c>
      <c r="G7">
        <v>303754</v>
      </c>
      <c r="H7">
        <v>295519</v>
      </c>
      <c r="I7">
        <v>204237</v>
      </c>
      <c r="J7">
        <v>677824</v>
      </c>
      <c r="K7">
        <v>265986</v>
      </c>
      <c r="L7">
        <v>328942</v>
      </c>
    </row>
    <row r="8" spans="1:12" x14ac:dyDescent="0.35">
      <c r="A8">
        <v>2024</v>
      </c>
      <c r="B8">
        <v>2</v>
      </c>
      <c r="C8" t="s">
        <v>63</v>
      </c>
      <c r="D8" t="s">
        <v>319</v>
      </c>
      <c r="E8" t="s">
        <v>282</v>
      </c>
      <c r="F8">
        <v>13797</v>
      </c>
      <c r="G8">
        <v>339538</v>
      </c>
      <c r="H8">
        <v>318020</v>
      </c>
      <c r="I8">
        <v>204842</v>
      </c>
      <c r="J8">
        <v>695879</v>
      </c>
      <c r="K8">
        <v>285752</v>
      </c>
      <c r="L8">
        <v>376295</v>
      </c>
    </row>
    <row r="9" spans="1:12" x14ac:dyDescent="0.35">
      <c r="A9">
        <v>2024</v>
      </c>
      <c r="B9">
        <v>3</v>
      </c>
      <c r="C9" t="s">
        <v>66</v>
      </c>
      <c r="D9" t="s">
        <v>319</v>
      </c>
      <c r="E9" t="s">
        <v>280</v>
      </c>
      <c r="F9">
        <v>17659</v>
      </c>
      <c r="G9">
        <v>305018</v>
      </c>
      <c r="H9">
        <v>300519</v>
      </c>
      <c r="I9">
        <v>204237</v>
      </c>
      <c r="J9">
        <v>677824</v>
      </c>
      <c r="K9">
        <v>265986</v>
      </c>
      <c r="L9">
        <v>330052</v>
      </c>
    </row>
    <row r="10" spans="1:12" x14ac:dyDescent="0.35">
      <c r="A10">
        <v>2024</v>
      </c>
      <c r="B10">
        <v>3</v>
      </c>
      <c r="C10" t="s">
        <v>66</v>
      </c>
      <c r="D10" t="s">
        <v>319</v>
      </c>
      <c r="E10" t="s">
        <v>282</v>
      </c>
      <c r="F10">
        <v>13925</v>
      </c>
      <c r="G10">
        <v>340858</v>
      </c>
      <c r="H10">
        <v>323942</v>
      </c>
      <c r="I10">
        <v>204842</v>
      </c>
      <c r="J10">
        <v>695879</v>
      </c>
      <c r="K10">
        <v>285752</v>
      </c>
      <c r="L10">
        <v>374719</v>
      </c>
    </row>
    <row r="11" spans="1:12" x14ac:dyDescent="0.35">
      <c r="A11">
        <v>2024</v>
      </c>
      <c r="B11">
        <v>4</v>
      </c>
      <c r="C11" t="s">
        <v>67</v>
      </c>
      <c r="D11" t="s">
        <v>319</v>
      </c>
      <c r="E11" t="s">
        <v>280</v>
      </c>
      <c r="F11">
        <v>17797</v>
      </c>
      <c r="G11">
        <v>304180</v>
      </c>
      <c r="H11">
        <v>295519</v>
      </c>
      <c r="I11">
        <v>204237</v>
      </c>
      <c r="J11">
        <v>677824</v>
      </c>
      <c r="K11">
        <v>265986</v>
      </c>
      <c r="L11">
        <v>330052</v>
      </c>
    </row>
    <row r="12" spans="1:12" x14ac:dyDescent="0.35">
      <c r="A12">
        <v>2024</v>
      </c>
      <c r="B12">
        <v>4</v>
      </c>
      <c r="C12" t="s">
        <v>67</v>
      </c>
      <c r="D12" t="s">
        <v>319</v>
      </c>
      <c r="E12" t="s">
        <v>282</v>
      </c>
      <c r="F12">
        <v>14024</v>
      </c>
      <c r="G12">
        <v>340198</v>
      </c>
      <c r="H12">
        <v>321442</v>
      </c>
      <c r="I12">
        <v>204842</v>
      </c>
      <c r="J12">
        <v>695879</v>
      </c>
      <c r="K12">
        <v>283486</v>
      </c>
      <c r="L12">
        <v>376295</v>
      </c>
    </row>
    <row r="13" spans="1:12" x14ac:dyDescent="0.35">
      <c r="A13">
        <v>2024</v>
      </c>
      <c r="B13">
        <v>5</v>
      </c>
      <c r="C13" t="s">
        <v>68</v>
      </c>
      <c r="D13" t="s">
        <v>319</v>
      </c>
      <c r="E13" t="s">
        <v>280</v>
      </c>
      <c r="F13">
        <v>17676</v>
      </c>
      <c r="G13">
        <v>305005</v>
      </c>
      <c r="H13">
        <v>300519</v>
      </c>
      <c r="I13">
        <v>204237</v>
      </c>
      <c r="J13">
        <v>694918</v>
      </c>
      <c r="K13">
        <v>265986</v>
      </c>
      <c r="L13">
        <v>328942</v>
      </c>
    </row>
    <row r="14" spans="1:12" x14ac:dyDescent="0.35">
      <c r="A14">
        <v>2024</v>
      </c>
      <c r="B14">
        <v>5</v>
      </c>
      <c r="C14" t="s">
        <v>68</v>
      </c>
      <c r="D14" t="s">
        <v>319</v>
      </c>
      <c r="E14" t="s">
        <v>282</v>
      </c>
      <c r="F14">
        <v>13965</v>
      </c>
      <c r="G14">
        <v>340809</v>
      </c>
      <c r="H14">
        <v>321442</v>
      </c>
      <c r="I14">
        <v>204842</v>
      </c>
      <c r="J14">
        <v>695879</v>
      </c>
      <c r="K14">
        <v>290752</v>
      </c>
      <c r="L14">
        <v>373795</v>
      </c>
    </row>
    <row r="15" spans="1:12" x14ac:dyDescent="0.35">
      <c r="A15">
        <v>2024</v>
      </c>
      <c r="B15">
        <v>6</v>
      </c>
      <c r="C15" t="s">
        <v>69</v>
      </c>
      <c r="D15" t="s">
        <v>319</v>
      </c>
      <c r="E15" t="s">
        <v>280</v>
      </c>
      <c r="F15">
        <v>17752</v>
      </c>
      <c r="G15">
        <v>304950</v>
      </c>
      <c r="H15">
        <v>298252</v>
      </c>
      <c r="I15">
        <v>204237</v>
      </c>
      <c r="J15">
        <v>677824</v>
      </c>
      <c r="K15">
        <v>265986</v>
      </c>
      <c r="L15">
        <v>328942</v>
      </c>
    </row>
    <row r="16" spans="1:12" x14ac:dyDescent="0.35">
      <c r="A16">
        <v>2024</v>
      </c>
      <c r="B16">
        <v>6</v>
      </c>
      <c r="C16" t="s">
        <v>69</v>
      </c>
      <c r="D16" t="s">
        <v>319</v>
      </c>
      <c r="E16" t="s">
        <v>282</v>
      </c>
      <c r="F16">
        <v>14026</v>
      </c>
      <c r="G16">
        <v>340552</v>
      </c>
      <c r="H16">
        <v>321442</v>
      </c>
      <c r="I16">
        <v>204842</v>
      </c>
      <c r="J16">
        <v>695879</v>
      </c>
      <c r="K16">
        <v>288486</v>
      </c>
      <c r="L16">
        <v>372552</v>
      </c>
    </row>
    <row r="17" spans="1:12" x14ac:dyDescent="0.35">
      <c r="A17">
        <v>2024</v>
      </c>
      <c r="B17">
        <v>7</v>
      </c>
      <c r="C17" t="s">
        <v>70</v>
      </c>
      <c r="D17" t="s">
        <v>319</v>
      </c>
      <c r="E17" t="s">
        <v>280</v>
      </c>
      <c r="F17">
        <v>17843</v>
      </c>
      <c r="G17">
        <v>304504</v>
      </c>
      <c r="H17">
        <v>298252</v>
      </c>
      <c r="I17">
        <v>204237</v>
      </c>
      <c r="J17">
        <v>677824</v>
      </c>
      <c r="K17">
        <v>265986</v>
      </c>
      <c r="L17">
        <v>328942</v>
      </c>
    </row>
    <row r="18" spans="1:12" x14ac:dyDescent="0.35">
      <c r="A18">
        <v>2024</v>
      </c>
      <c r="B18">
        <v>7</v>
      </c>
      <c r="C18" t="s">
        <v>70</v>
      </c>
      <c r="D18" t="s">
        <v>319</v>
      </c>
      <c r="E18" t="s">
        <v>282</v>
      </c>
      <c r="F18">
        <v>14094</v>
      </c>
      <c r="G18">
        <v>340122</v>
      </c>
      <c r="H18">
        <v>321442</v>
      </c>
      <c r="I18">
        <v>204842</v>
      </c>
      <c r="J18">
        <v>695879</v>
      </c>
      <c r="K18">
        <v>288252</v>
      </c>
      <c r="L18">
        <v>372552</v>
      </c>
    </row>
    <row r="19" spans="1:12" x14ac:dyDescent="0.35">
      <c r="A19">
        <v>2024</v>
      </c>
      <c r="B19">
        <v>8</v>
      </c>
      <c r="C19" t="s">
        <v>71</v>
      </c>
      <c r="D19" t="s">
        <v>319</v>
      </c>
      <c r="E19" t="s">
        <v>280</v>
      </c>
      <c r="F19">
        <v>17932</v>
      </c>
      <c r="G19">
        <v>306624</v>
      </c>
      <c r="H19">
        <v>298252</v>
      </c>
      <c r="I19">
        <v>204842</v>
      </c>
      <c r="J19">
        <v>677824</v>
      </c>
      <c r="K19">
        <v>265986</v>
      </c>
      <c r="L19">
        <v>330052</v>
      </c>
    </row>
    <row r="20" spans="1:12" x14ac:dyDescent="0.35">
      <c r="A20">
        <v>2024</v>
      </c>
      <c r="B20">
        <v>8</v>
      </c>
      <c r="C20" t="s">
        <v>71</v>
      </c>
      <c r="D20" t="s">
        <v>319</v>
      </c>
      <c r="E20" t="s">
        <v>282</v>
      </c>
      <c r="F20">
        <v>14124</v>
      </c>
      <c r="G20">
        <v>341089</v>
      </c>
      <c r="H20">
        <v>323019</v>
      </c>
      <c r="I20">
        <v>204842</v>
      </c>
      <c r="J20">
        <v>695879</v>
      </c>
      <c r="K20">
        <v>288252</v>
      </c>
      <c r="L20">
        <v>379719</v>
      </c>
    </row>
    <row r="21" spans="1:12" x14ac:dyDescent="0.35">
      <c r="A21">
        <v>2024</v>
      </c>
      <c r="B21">
        <v>9</v>
      </c>
      <c r="C21" t="s">
        <v>72</v>
      </c>
      <c r="D21" t="s">
        <v>319</v>
      </c>
      <c r="E21" t="s">
        <v>280</v>
      </c>
      <c r="F21">
        <v>18017</v>
      </c>
      <c r="G21">
        <v>305169</v>
      </c>
      <c r="H21">
        <v>298252</v>
      </c>
      <c r="I21">
        <v>204842</v>
      </c>
      <c r="J21">
        <v>677824</v>
      </c>
      <c r="K21">
        <v>265986</v>
      </c>
      <c r="L21">
        <v>330052</v>
      </c>
    </row>
    <row r="22" spans="1:12" x14ac:dyDescent="0.35">
      <c r="A22">
        <v>2024</v>
      </c>
      <c r="B22">
        <v>9</v>
      </c>
      <c r="C22" t="s">
        <v>72</v>
      </c>
      <c r="D22" t="s">
        <v>319</v>
      </c>
      <c r="E22" t="s">
        <v>282</v>
      </c>
      <c r="F22">
        <v>14217</v>
      </c>
      <c r="G22">
        <v>340664</v>
      </c>
      <c r="H22">
        <v>321442</v>
      </c>
      <c r="I22">
        <v>204842</v>
      </c>
      <c r="J22">
        <v>695879</v>
      </c>
      <c r="K22">
        <v>288252</v>
      </c>
      <c r="L22">
        <v>373474</v>
      </c>
    </row>
    <row r="23" spans="1:12" x14ac:dyDescent="0.35">
      <c r="A23">
        <v>2024</v>
      </c>
      <c r="B23">
        <v>10</v>
      </c>
      <c r="C23" t="s">
        <v>73</v>
      </c>
      <c r="D23" t="s">
        <v>319</v>
      </c>
      <c r="E23" t="s">
        <v>280</v>
      </c>
      <c r="F23">
        <v>18072</v>
      </c>
      <c r="G23">
        <v>305305</v>
      </c>
      <c r="H23">
        <v>298252</v>
      </c>
      <c r="I23">
        <v>204842</v>
      </c>
      <c r="J23">
        <v>677824</v>
      </c>
      <c r="K23">
        <v>265986</v>
      </c>
      <c r="L23">
        <v>330052</v>
      </c>
    </row>
    <row r="24" spans="1:12" x14ac:dyDescent="0.35">
      <c r="A24">
        <v>2024</v>
      </c>
      <c r="B24">
        <v>10</v>
      </c>
      <c r="C24" t="s">
        <v>73</v>
      </c>
      <c r="D24" t="s">
        <v>319</v>
      </c>
      <c r="E24" t="s">
        <v>282</v>
      </c>
      <c r="F24">
        <v>14247</v>
      </c>
      <c r="G24">
        <v>340789</v>
      </c>
      <c r="H24">
        <v>321442</v>
      </c>
      <c r="I24">
        <v>204842</v>
      </c>
      <c r="J24">
        <v>695879</v>
      </c>
      <c r="K24">
        <v>288252</v>
      </c>
      <c r="L24">
        <v>374719</v>
      </c>
    </row>
    <row r="25" spans="1:12" x14ac:dyDescent="0.35">
      <c r="A25">
        <v>2024</v>
      </c>
      <c r="B25">
        <v>11</v>
      </c>
      <c r="C25" t="s">
        <v>74</v>
      </c>
      <c r="D25" t="s">
        <v>319</v>
      </c>
      <c r="E25" t="s">
        <v>280</v>
      </c>
      <c r="F25">
        <v>18075</v>
      </c>
      <c r="G25">
        <v>305388</v>
      </c>
      <c r="H25">
        <v>298252</v>
      </c>
      <c r="I25">
        <v>204842</v>
      </c>
      <c r="J25">
        <v>677824</v>
      </c>
      <c r="K25">
        <v>265986</v>
      </c>
      <c r="L25">
        <v>330052</v>
      </c>
    </row>
    <row r="26" spans="1:12" x14ac:dyDescent="0.35">
      <c r="A26">
        <v>2024</v>
      </c>
      <c r="B26">
        <v>11</v>
      </c>
      <c r="C26" t="s">
        <v>74</v>
      </c>
      <c r="D26" t="s">
        <v>319</v>
      </c>
      <c r="E26" t="s">
        <v>282</v>
      </c>
      <c r="F26">
        <v>14259</v>
      </c>
      <c r="G26">
        <v>340903</v>
      </c>
      <c r="H26">
        <v>321442</v>
      </c>
      <c r="I26">
        <v>204842</v>
      </c>
      <c r="J26">
        <v>695879</v>
      </c>
      <c r="K26">
        <v>288252</v>
      </c>
      <c r="L26">
        <v>374719</v>
      </c>
    </row>
    <row r="27" spans="1:12" x14ac:dyDescent="0.35">
      <c r="A27">
        <v>2024</v>
      </c>
      <c r="B27">
        <v>12</v>
      </c>
      <c r="C27" t="s">
        <v>75</v>
      </c>
      <c r="D27" t="s">
        <v>319</v>
      </c>
      <c r="E27" t="s">
        <v>280</v>
      </c>
      <c r="F27">
        <v>18109</v>
      </c>
      <c r="G27">
        <v>305298</v>
      </c>
      <c r="H27">
        <v>298252</v>
      </c>
      <c r="I27">
        <v>204842</v>
      </c>
      <c r="J27">
        <v>677824</v>
      </c>
      <c r="K27">
        <v>265986</v>
      </c>
      <c r="L27">
        <v>330052</v>
      </c>
    </row>
    <row r="28" spans="1:12" x14ac:dyDescent="0.35">
      <c r="A28">
        <v>2024</v>
      </c>
      <c r="B28">
        <v>12</v>
      </c>
      <c r="C28" t="s">
        <v>75</v>
      </c>
      <c r="D28" t="s">
        <v>319</v>
      </c>
      <c r="E28" t="s">
        <v>282</v>
      </c>
      <c r="F28">
        <v>14277</v>
      </c>
      <c r="G28">
        <v>340790</v>
      </c>
      <c r="H28">
        <v>321442</v>
      </c>
      <c r="I28">
        <v>204842</v>
      </c>
      <c r="J28">
        <v>695879</v>
      </c>
      <c r="K28">
        <v>288252</v>
      </c>
      <c r="L28">
        <v>374719</v>
      </c>
    </row>
    <row r="29" spans="1:12" x14ac:dyDescent="0.35">
      <c r="A29">
        <v>2025</v>
      </c>
      <c r="B29">
        <v>1</v>
      </c>
      <c r="C29" t="s">
        <v>42</v>
      </c>
      <c r="D29" t="s">
        <v>319</v>
      </c>
      <c r="E29" t="s">
        <v>280</v>
      </c>
      <c r="F29">
        <v>18014</v>
      </c>
      <c r="G29">
        <v>305106</v>
      </c>
      <c r="H29">
        <v>295752</v>
      </c>
      <c r="I29">
        <v>204842</v>
      </c>
      <c r="J29">
        <v>677824</v>
      </c>
      <c r="K29">
        <v>265986</v>
      </c>
      <c r="L29">
        <v>330052</v>
      </c>
    </row>
    <row r="30" spans="1:12" x14ac:dyDescent="0.35">
      <c r="A30">
        <v>2025</v>
      </c>
      <c r="B30">
        <v>1</v>
      </c>
      <c r="C30" t="s">
        <v>42</v>
      </c>
      <c r="D30" t="s">
        <v>319</v>
      </c>
      <c r="E30" t="s">
        <v>282</v>
      </c>
      <c r="F30">
        <v>14008</v>
      </c>
      <c r="G30">
        <v>338333</v>
      </c>
      <c r="H30">
        <v>320519</v>
      </c>
      <c r="I30">
        <v>204842</v>
      </c>
      <c r="J30">
        <v>699710</v>
      </c>
      <c r="K30">
        <v>285986</v>
      </c>
      <c r="L30">
        <v>365976</v>
      </c>
    </row>
    <row r="31" spans="1:12" x14ac:dyDescent="0.35">
      <c r="A31">
        <v>2025</v>
      </c>
      <c r="B31">
        <v>2</v>
      </c>
      <c r="C31" t="s">
        <v>63</v>
      </c>
      <c r="D31" t="s">
        <v>319</v>
      </c>
      <c r="E31" t="s">
        <v>280</v>
      </c>
      <c r="F31">
        <v>18309</v>
      </c>
      <c r="G31">
        <v>306915</v>
      </c>
      <c r="H31">
        <v>295519</v>
      </c>
      <c r="I31">
        <v>204842</v>
      </c>
      <c r="J31">
        <v>682263</v>
      </c>
      <c r="K31">
        <v>265986</v>
      </c>
      <c r="L31">
        <v>340655</v>
      </c>
    </row>
    <row r="32" spans="1:12" x14ac:dyDescent="0.35">
      <c r="A32">
        <v>2025</v>
      </c>
      <c r="B32">
        <v>2</v>
      </c>
      <c r="C32" t="s">
        <v>63</v>
      </c>
      <c r="D32" t="s">
        <v>319</v>
      </c>
      <c r="E32" t="s">
        <v>282</v>
      </c>
      <c r="F32">
        <v>14159</v>
      </c>
      <c r="G32">
        <v>340372</v>
      </c>
      <c r="H32">
        <v>323019</v>
      </c>
      <c r="I32">
        <v>204842</v>
      </c>
      <c r="J32">
        <v>695879</v>
      </c>
      <c r="K32">
        <v>285752</v>
      </c>
      <c r="L32">
        <v>371584</v>
      </c>
    </row>
    <row r="33" spans="1:12" x14ac:dyDescent="0.35">
      <c r="A33">
        <v>2025</v>
      </c>
      <c r="B33">
        <v>3</v>
      </c>
      <c r="C33" t="s">
        <v>66</v>
      </c>
      <c r="D33" t="s">
        <v>319</v>
      </c>
      <c r="E33" t="s">
        <v>280</v>
      </c>
      <c r="F33">
        <v>18684</v>
      </c>
      <c r="G33">
        <v>306055</v>
      </c>
      <c r="H33">
        <v>295519</v>
      </c>
      <c r="I33">
        <v>204260</v>
      </c>
      <c r="J33">
        <v>677824</v>
      </c>
      <c r="K33">
        <v>265064</v>
      </c>
      <c r="L33">
        <v>335052</v>
      </c>
    </row>
    <row r="34" spans="1:12" x14ac:dyDescent="0.35">
      <c r="A34">
        <v>2025</v>
      </c>
      <c r="B34">
        <v>3</v>
      </c>
      <c r="C34" t="s">
        <v>66</v>
      </c>
      <c r="D34" t="s">
        <v>319</v>
      </c>
      <c r="E34" t="s">
        <v>282</v>
      </c>
      <c r="F34">
        <v>14391</v>
      </c>
      <c r="G34">
        <v>339598</v>
      </c>
      <c r="H34">
        <v>326133</v>
      </c>
      <c r="I34">
        <v>204596</v>
      </c>
      <c r="J34">
        <v>695879</v>
      </c>
      <c r="K34">
        <v>285752</v>
      </c>
      <c r="L34">
        <v>367552</v>
      </c>
    </row>
    <row r="35" spans="1:12" x14ac:dyDescent="0.35">
      <c r="A35">
        <v>2025</v>
      </c>
      <c r="B35">
        <v>4</v>
      </c>
      <c r="C35" t="s">
        <v>67</v>
      </c>
      <c r="D35" t="s">
        <v>319</v>
      </c>
      <c r="E35" t="s">
        <v>280</v>
      </c>
      <c r="F35">
        <v>18309</v>
      </c>
      <c r="G35">
        <v>306927</v>
      </c>
      <c r="H35">
        <v>295519</v>
      </c>
      <c r="I35">
        <v>204842</v>
      </c>
      <c r="J35">
        <v>682263</v>
      </c>
      <c r="K35">
        <v>265986</v>
      </c>
      <c r="L35">
        <v>340655</v>
      </c>
    </row>
    <row r="36" spans="1:12" x14ac:dyDescent="0.35">
      <c r="A36">
        <v>2025</v>
      </c>
      <c r="B36">
        <v>4</v>
      </c>
      <c r="C36" t="s">
        <v>67</v>
      </c>
      <c r="D36" t="s">
        <v>319</v>
      </c>
      <c r="E36" t="s">
        <v>282</v>
      </c>
      <c r="F36">
        <v>14155</v>
      </c>
      <c r="G36">
        <v>340392</v>
      </c>
      <c r="H36">
        <v>323019</v>
      </c>
      <c r="I36">
        <v>204842</v>
      </c>
      <c r="J36">
        <v>695879</v>
      </c>
      <c r="K36">
        <v>285752</v>
      </c>
      <c r="L36">
        <v>371584</v>
      </c>
    </row>
    <row r="37" spans="1:12" x14ac:dyDescent="0.35">
      <c r="A37">
        <v>2025</v>
      </c>
      <c r="B37">
        <v>5</v>
      </c>
      <c r="C37" t="s">
        <v>68</v>
      </c>
      <c r="D37" t="s">
        <v>319</v>
      </c>
      <c r="E37" t="s">
        <v>280</v>
      </c>
      <c r="F37">
        <v>19511</v>
      </c>
      <c r="G37">
        <v>304143</v>
      </c>
      <c r="H37">
        <v>290986</v>
      </c>
      <c r="I37">
        <v>204237</v>
      </c>
      <c r="J37">
        <v>677824</v>
      </c>
      <c r="K37">
        <v>262564</v>
      </c>
      <c r="L37">
        <v>335052</v>
      </c>
    </row>
    <row r="38" spans="1:12" x14ac:dyDescent="0.35">
      <c r="A38">
        <v>2025</v>
      </c>
      <c r="B38">
        <v>5</v>
      </c>
      <c r="C38" t="s">
        <v>68</v>
      </c>
      <c r="D38" t="s">
        <v>319</v>
      </c>
      <c r="E38" t="s">
        <v>282</v>
      </c>
      <c r="F38">
        <v>14753</v>
      </c>
      <c r="G38">
        <v>338285</v>
      </c>
      <c r="H38">
        <v>323942</v>
      </c>
      <c r="I38">
        <v>204237</v>
      </c>
      <c r="J38">
        <v>695879</v>
      </c>
      <c r="K38">
        <v>280986</v>
      </c>
      <c r="L38">
        <v>368474</v>
      </c>
    </row>
    <row r="39" spans="1:12" x14ac:dyDescent="0.35">
      <c r="A39">
        <v>2025</v>
      </c>
      <c r="B39">
        <v>6</v>
      </c>
      <c r="C39" t="s">
        <v>69</v>
      </c>
      <c r="D39" t="s">
        <v>319</v>
      </c>
      <c r="E39" t="s">
        <v>280</v>
      </c>
      <c r="F39">
        <v>20672</v>
      </c>
      <c r="G39">
        <v>303564</v>
      </c>
      <c r="H39">
        <v>292690</v>
      </c>
      <c r="I39">
        <v>204237</v>
      </c>
      <c r="J39">
        <v>677824</v>
      </c>
      <c r="K39">
        <v>265986</v>
      </c>
      <c r="L39">
        <v>335052</v>
      </c>
    </row>
    <row r="40" spans="1:12" x14ac:dyDescent="0.35">
      <c r="A40">
        <v>2025</v>
      </c>
      <c r="B40">
        <v>6</v>
      </c>
      <c r="C40" t="s">
        <v>69</v>
      </c>
      <c r="D40" t="s">
        <v>319</v>
      </c>
      <c r="E40" t="s">
        <v>282</v>
      </c>
      <c r="F40">
        <v>15352</v>
      </c>
      <c r="G40">
        <v>337121</v>
      </c>
      <c r="H40">
        <v>321442</v>
      </c>
      <c r="I40">
        <v>204237</v>
      </c>
      <c r="J40">
        <v>695879</v>
      </c>
      <c r="K40">
        <v>280752</v>
      </c>
      <c r="L40">
        <v>365974</v>
      </c>
    </row>
    <row r="41" spans="1:12" x14ac:dyDescent="0.35">
      <c r="A41">
        <v>2025</v>
      </c>
      <c r="B41">
        <v>7</v>
      </c>
      <c r="C41" t="s">
        <v>70</v>
      </c>
      <c r="D41" t="s">
        <v>319</v>
      </c>
      <c r="E41" t="s">
        <v>280</v>
      </c>
      <c r="F41">
        <v>20953</v>
      </c>
      <c r="G41">
        <v>303236</v>
      </c>
      <c r="H41">
        <v>293252</v>
      </c>
      <c r="I41">
        <v>204237</v>
      </c>
      <c r="J41">
        <v>677824</v>
      </c>
      <c r="K41">
        <v>265986</v>
      </c>
      <c r="L41">
        <v>335052</v>
      </c>
    </row>
    <row r="42" spans="1:12" x14ac:dyDescent="0.35">
      <c r="A42">
        <v>2025</v>
      </c>
      <c r="B42">
        <v>7</v>
      </c>
      <c r="C42" t="s">
        <v>70</v>
      </c>
      <c r="D42" t="s">
        <v>319</v>
      </c>
      <c r="E42" t="s">
        <v>282</v>
      </c>
      <c r="F42">
        <v>15552</v>
      </c>
      <c r="G42">
        <v>337068</v>
      </c>
      <c r="H42">
        <v>321442</v>
      </c>
      <c r="I42">
        <v>204237</v>
      </c>
      <c r="J42">
        <v>695879</v>
      </c>
      <c r="K42">
        <v>280752</v>
      </c>
      <c r="L42">
        <v>365974</v>
      </c>
    </row>
    <row r="43" spans="1:12" x14ac:dyDescent="0.35">
      <c r="A43">
        <v>2025</v>
      </c>
      <c r="B43">
        <v>8</v>
      </c>
      <c r="C43" t="s">
        <v>71</v>
      </c>
      <c r="D43" t="s">
        <v>319</v>
      </c>
      <c r="E43" t="s">
        <v>280</v>
      </c>
      <c r="F43">
        <v>21012</v>
      </c>
      <c r="G43">
        <v>304208</v>
      </c>
      <c r="H43">
        <v>295519</v>
      </c>
      <c r="I43">
        <v>204237</v>
      </c>
      <c r="J43">
        <v>677824</v>
      </c>
      <c r="K43">
        <v>265986</v>
      </c>
      <c r="L43">
        <v>335052</v>
      </c>
    </row>
    <row r="44" spans="1:12" x14ac:dyDescent="0.35">
      <c r="A44">
        <v>2025</v>
      </c>
      <c r="B44">
        <v>8</v>
      </c>
      <c r="C44" t="s">
        <v>71</v>
      </c>
      <c r="D44" t="s">
        <v>319</v>
      </c>
      <c r="E44" t="s">
        <v>282</v>
      </c>
      <c r="F44">
        <v>15570</v>
      </c>
      <c r="G44">
        <v>338116</v>
      </c>
      <c r="H44">
        <v>321442</v>
      </c>
      <c r="I44">
        <v>204237</v>
      </c>
      <c r="J44">
        <v>695879</v>
      </c>
      <c r="K44">
        <v>284324</v>
      </c>
      <c r="L44">
        <v>365974</v>
      </c>
    </row>
    <row r="45" spans="1:12" x14ac:dyDescent="0.35">
      <c r="A45">
        <v>2025</v>
      </c>
      <c r="B45">
        <v>9</v>
      </c>
      <c r="C45" t="s">
        <v>72</v>
      </c>
      <c r="D45" t="s">
        <v>319</v>
      </c>
      <c r="E45" t="s">
        <v>280</v>
      </c>
      <c r="F45">
        <v>21053</v>
      </c>
      <c r="G45">
        <v>303860</v>
      </c>
      <c r="H45">
        <v>295519</v>
      </c>
      <c r="I45">
        <v>204237</v>
      </c>
      <c r="J45">
        <v>677824</v>
      </c>
      <c r="K45">
        <v>265986</v>
      </c>
      <c r="L45">
        <v>335052</v>
      </c>
    </row>
    <row r="46" spans="1:12" x14ac:dyDescent="0.35">
      <c r="A46">
        <v>2025</v>
      </c>
      <c r="B46">
        <v>9</v>
      </c>
      <c r="C46" t="s">
        <v>72</v>
      </c>
      <c r="D46" t="s">
        <v>319</v>
      </c>
      <c r="E46" t="s">
        <v>282</v>
      </c>
      <c r="F46">
        <v>15627</v>
      </c>
      <c r="G46">
        <v>337855</v>
      </c>
      <c r="H46">
        <v>320520</v>
      </c>
      <c r="I46">
        <v>204237</v>
      </c>
      <c r="J46">
        <v>696851</v>
      </c>
      <c r="K46">
        <v>280986</v>
      </c>
      <c r="L46">
        <v>366448</v>
      </c>
    </row>
    <row r="47" spans="1:12" x14ac:dyDescent="0.35">
      <c r="A47">
        <v>2025</v>
      </c>
      <c r="B47">
        <v>10</v>
      </c>
      <c r="C47" t="s">
        <v>73</v>
      </c>
      <c r="D47" t="s">
        <v>319</v>
      </c>
      <c r="E47" t="s">
        <v>280</v>
      </c>
      <c r="F47">
        <v>21128</v>
      </c>
      <c r="G47">
        <v>303766</v>
      </c>
      <c r="H47">
        <v>293486</v>
      </c>
      <c r="I47">
        <v>204237</v>
      </c>
      <c r="J47">
        <v>677824</v>
      </c>
      <c r="K47">
        <v>265986</v>
      </c>
      <c r="L47">
        <v>335052</v>
      </c>
    </row>
    <row r="48" spans="1:12" x14ac:dyDescent="0.35">
      <c r="A48">
        <v>2025</v>
      </c>
      <c r="B48">
        <v>10</v>
      </c>
      <c r="C48" t="s">
        <v>73</v>
      </c>
      <c r="D48" t="s">
        <v>319</v>
      </c>
      <c r="E48" t="s">
        <v>282</v>
      </c>
      <c r="F48">
        <v>15649</v>
      </c>
      <c r="G48">
        <v>338024</v>
      </c>
      <c r="H48">
        <v>320520</v>
      </c>
      <c r="I48">
        <v>204237</v>
      </c>
      <c r="J48">
        <v>707591</v>
      </c>
      <c r="K48">
        <v>280986</v>
      </c>
      <c r="L48">
        <v>368474</v>
      </c>
    </row>
    <row r="49" spans="1:12" x14ac:dyDescent="0.35">
      <c r="A49">
        <v>2025</v>
      </c>
      <c r="B49">
        <v>11</v>
      </c>
      <c r="C49" t="s">
        <v>74</v>
      </c>
      <c r="D49" t="s">
        <v>319</v>
      </c>
      <c r="E49" t="s">
        <v>280</v>
      </c>
      <c r="F49">
        <v>21296</v>
      </c>
      <c r="G49">
        <v>303535</v>
      </c>
      <c r="H49">
        <v>293252</v>
      </c>
      <c r="I49">
        <v>204237</v>
      </c>
      <c r="J49">
        <v>677824</v>
      </c>
      <c r="K49">
        <v>265064</v>
      </c>
      <c r="L49">
        <v>335052</v>
      </c>
    </row>
    <row r="50" spans="1:12" x14ac:dyDescent="0.35">
      <c r="A50">
        <v>2025</v>
      </c>
      <c r="B50">
        <v>11</v>
      </c>
      <c r="C50" t="s">
        <v>74</v>
      </c>
      <c r="D50" t="s">
        <v>319</v>
      </c>
      <c r="E50" t="s">
        <v>282</v>
      </c>
      <c r="F50">
        <v>15697</v>
      </c>
      <c r="G50">
        <v>338034</v>
      </c>
      <c r="H50">
        <v>320519</v>
      </c>
      <c r="I50">
        <v>204237</v>
      </c>
      <c r="J50">
        <v>696851</v>
      </c>
      <c r="K50">
        <v>280986</v>
      </c>
      <c r="L50">
        <v>368474</v>
      </c>
    </row>
    <row r="51" spans="1:12" x14ac:dyDescent="0.35">
      <c r="A51">
        <v>2025</v>
      </c>
      <c r="B51">
        <v>12</v>
      </c>
      <c r="C51" t="s">
        <v>75</v>
      </c>
      <c r="D51" t="s">
        <v>319</v>
      </c>
      <c r="E51" t="s">
        <v>280</v>
      </c>
      <c r="F51">
        <v>21276</v>
      </c>
      <c r="G51">
        <v>304021</v>
      </c>
      <c r="H51">
        <v>293252</v>
      </c>
      <c r="I51">
        <v>204237</v>
      </c>
      <c r="J51">
        <v>677824</v>
      </c>
      <c r="K51">
        <v>265851</v>
      </c>
      <c r="L51">
        <v>335052</v>
      </c>
    </row>
    <row r="52" spans="1:12" x14ac:dyDescent="0.35">
      <c r="A52">
        <v>2025</v>
      </c>
      <c r="B52">
        <v>12</v>
      </c>
      <c r="C52" t="s">
        <v>75</v>
      </c>
      <c r="D52" t="s">
        <v>319</v>
      </c>
      <c r="E52" t="s">
        <v>282</v>
      </c>
      <c r="F52">
        <v>15680</v>
      </c>
      <c r="G52">
        <v>338199</v>
      </c>
      <c r="H52">
        <v>320519</v>
      </c>
      <c r="I52">
        <v>204237</v>
      </c>
      <c r="J52">
        <v>696851</v>
      </c>
      <c r="K52">
        <v>280986</v>
      </c>
      <c r="L52">
        <v>368474</v>
      </c>
    </row>
  </sheetData>
  <mergeCells count="1">
    <mergeCell ref="A1:L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1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55" customWidth="1"/>
    <col min="2" max="4" width="22" customWidth="1"/>
  </cols>
  <sheetData>
    <row r="1" spans="1:4" ht="28" customHeight="1" x14ac:dyDescent="0.35">
      <c r="A1" s="8" t="s">
        <v>342</v>
      </c>
      <c r="B1" s="4"/>
      <c r="C1" s="4"/>
      <c r="D1" s="4"/>
    </row>
    <row r="2" spans="1:4" ht="15.5" x14ac:dyDescent="0.35">
      <c r="A2" s="2" t="str">
        <f>HYPERLINK("#SOMMAIRE!A1","← Retour au sommaire")</f>
        <v>← Retour au sommaire</v>
      </c>
    </row>
    <row r="4" spans="1:4" ht="29" x14ac:dyDescent="0.35">
      <c r="A4" s="1" t="s">
        <v>342</v>
      </c>
      <c r="B4" s="1" t="s">
        <v>343</v>
      </c>
      <c r="C4" s="1" t="s">
        <v>344</v>
      </c>
      <c r="D4" s="1" t="s">
        <v>345</v>
      </c>
    </row>
    <row r="5" spans="1:4" x14ac:dyDescent="0.35">
      <c r="A5" t="s">
        <v>346</v>
      </c>
      <c r="B5" t="s">
        <v>347</v>
      </c>
      <c r="C5" t="s">
        <v>348</v>
      </c>
      <c r="D5" t="s">
        <v>349</v>
      </c>
    </row>
    <row r="6" spans="1:4" x14ac:dyDescent="0.35">
      <c r="A6" t="s">
        <v>350</v>
      </c>
      <c r="B6" t="s">
        <v>351</v>
      </c>
      <c r="C6" t="s">
        <v>352</v>
      </c>
      <c r="D6" t="s">
        <v>353</v>
      </c>
    </row>
    <row r="7" spans="1:4" x14ac:dyDescent="0.35">
      <c r="A7" t="s">
        <v>354</v>
      </c>
    </row>
    <row r="8" spans="1:4" x14ac:dyDescent="0.35">
      <c r="A8" t="s">
        <v>355</v>
      </c>
      <c r="B8" t="s">
        <v>356</v>
      </c>
      <c r="C8" t="s">
        <v>357</v>
      </c>
      <c r="D8" t="s">
        <v>358</v>
      </c>
    </row>
    <row r="9" spans="1:4" x14ac:dyDescent="0.35">
      <c r="A9" t="s">
        <v>359</v>
      </c>
      <c r="B9" t="s">
        <v>360</v>
      </c>
      <c r="C9" t="s">
        <v>361</v>
      </c>
      <c r="D9" t="s">
        <v>362</v>
      </c>
    </row>
    <row r="10" spans="1:4" x14ac:dyDescent="0.35">
      <c r="A10" t="s">
        <v>363</v>
      </c>
      <c r="B10" t="s">
        <v>364</v>
      </c>
      <c r="C10" t="s">
        <v>365</v>
      </c>
      <c r="D10" t="s">
        <v>353</v>
      </c>
    </row>
    <row r="11" spans="1:4" x14ac:dyDescent="0.35">
      <c r="A11" t="s">
        <v>366</v>
      </c>
    </row>
    <row r="12" spans="1:4" x14ac:dyDescent="0.35">
      <c r="A12" t="s">
        <v>367</v>
      </c>
      <c r="B12" t="s">
        <v>368</v>
      </c>
      <c r="C12" t="s">
        <v>369</v>
      </c>
      <c r="D12" t="s">
        <v>370</v>
      </c>
    </row>
    <row r="13" spans="1:4" x14ac:dyDescent="0.35">
      <c r="A13" t="s">
        <v>371</v>
      </c>
      <c r="B13" t="s">
        <v>372</v>
      </c>
      <c r="C13" t="s">
        <v>373</v>
      </c>
      <c r="D13" t="s">
        <v>374</v>
      </c>
    </row>
    <row r="14" spans="1:4" x14ac:dyDescent="0.35">
      <c r="A14" t="s">
        <v>375</v>
      </c>
    </row>
    <row r="15" spans="1:4" x14ac:dyDescent="0.35">
      <c r="A15" t="s">
        <v>376</v>
      </c>
    </row>
    <row r="16" spans="1:4" x14ac:dyDescent="0.35">
      <c r="A16" t="s">
        <v>377</v>
      </c>
      <c r="B16" t="s">
        <v>351</v>
      </c>
      <c r="C16" t="s">
        <v>378</v>
      </c>
      <c r="D16" t="s">
        <v>379</v>
      </c>
    </row>
    <row r="17" spans="1:4" x14ac:dyDescent="0.35">
      <c r="A17" t="s">
        <v>380</v>
      </c>
    </row>
    <row r="18" spans="1:4" x14ac:dyDescent="0.35">
      <c r="A18" t="s">
        <v>381</v>
      </c>
      <c r="B18" t="s">
        <v>382</v>
      </c>
      <c r="C18" t="s">
        <v>383</v>
      </c>
      <c r="D18" t="s">
        <v>384</v>
      </c>
    </row>
    <row r="19" spans="1:4" x14ac:dyDescent="0.35">
      <c r="A19" t="s">
        <v>385</v>
      </c>
      <c r="B19" t="s">
        <v>386</v>
      </c>
      <c r="C19" t="s">
        <v>387</v>
      </c>
      <c r="D19" t="s">
        <v>388</v>
      </c>
    </row>
    <row r="20" spans="1:4" x14ac:dyDescent="0.35">
      <c r="A20" t="s">
        <v>389</v>
      </c>
      <c r="B20" t="s">
        <v>390</v>
      </c>
      <c r="C20" t="s">
        <v>391</v>
      </c>
      <c r="D20" t="s">
        <v>392</v>
      </c>
    </row>
    <row r="21" spans="1:4" x14ac:dyDescent="0.35">
      <c r="A21" t="s">
        <v>393</v>
      </c>
      <c r="B21" t="s">
        <v>394</v>
      </c>
      <c r="C21" t="s">
        <v>395</v>
      </c>
      <c r="D21" t="s">
        <v>396</v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1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55" customWidth="1"/>
    <col min="2" max="4" width="22" customWidth="1"/>
  </cols>
  <sheetData>
    <row r="1" spans="1:4" ht="28" customHeight="1" x14ac:dyDescent="0.35">
      <c r="A1" s="8" t="s">
        <v>397</v>
      </c>
      <c r="B1" s="4"/>
      <c r="C1" s="4"/>
      <c r="D1" s="4"/>
    </row>
    <row r="2" spans="1:4" ht="15.5" x14ac:dyDescent="0.35">
      <c r="A2" s="2" t="str">
        <f>HYPERLINK("#SOMMAIRE!A1","← Retour au sommaire")</f>
        <v>← Retour au sommaire</v>
      </c>
    </row>
    <row r="4" spans="1:4" ht="29" x14ac:dyDescent="0.35">
      <c r="A4" s="1" t="s">
        <v>397</v>
      </c>
      <c r="B4" s="1" t="s">
        <v>343</v>
      </c>
      <c r="C4" s="1" t="s">
        <v>344</v>
      </c>
      <c r="D4" s="1" t="s">
        <v>345</v>
      </c>
    </row>
    <row r="5" spans="1:4" x14ac:dyDescent="0.35">
      <c r="A5" t="s">
        <v>346</v>
      </c>
      <c r="B5" t="s">
        <v>347</v>
      </c>
      <c r="C5" t="s">
        <v>348</v>
      </c>
      <c r="D5" t="s">
        <v>349</v>
      </c>
    </row>
    <row r="6" spans="1:4" x14ac:dyDescent="0.35">
      <c r="A6" t="s">
        <v>350</v>
      </c>
      <c r="B6" t="s">
        <v>398</v>
      </c>
      <c r="C6" t="s">
        <v>399</v>
      </c>
      <c r="D6" t="s">
        <v>400</v>
      </c>
    </row>
    <row r="7" spans="1:4" x14ac:dyDescent="0.35">
      <c r="A7" t="s">
        <v>354</v>
      </c>
    </row>
    <row r="8" spans="1:4" x14ac:dyDescent="0.35">
      <c r="A8" t="s">
        <v>355</v>
      </c>
      <c r="B8" t="s">
        <v>356</v>
      </c>
      <c r="C8" t="s">
        <v>401</v>
      </c>
      <c r="D8" t="s">
        <v>402</v>
      </c>
    </row>
    <row r="9" spans="1:4" x14ac:dyDescent="0.35">
      <c r="A9" t="s">
        <v>359</v>
      </c>
      <c r="B9" t="s">
        <v>360</v>
      </c>
      <c r="C9" t="s">
        <v>403</v>
      </c>
      <c r="D9" t="s">
        <v>404</v>
      </c>
    </row>
    <row r="10" spans="1:4" x14ac:dyDescent="0.35">
      <c r="A10" t="s">
        <v>363</v>
      </c>
      <c r="B10" t="s">
        <v>364</v>
      </c>
      <c r="C10" t="s">
        <v>405</v>
      </c>
      <c r="D10" t="s">
        <v>406</v>
      </c>
    </row>
    <row r="11" spans="1:4" x14ac:dyDescent="0.35">
      <c r="A11" t="s">
        <v>366</v>
      </c>
    </row>
    <row r="12" spans="1:4" x14ac:dyDescent="0.35">
      <c r="A12" t="s">
        <v>367</v>
      </c>
      <c r="B12" t="s">
        <v>368</v>
      </c>
      <c r="C12" t="s">
        <v>407</v>
      </c>
      <c r="D12" t="s">
        <v>408</v>
      </c>
    </row>
    <row r="13" spans="1:4" x14ac:dyDescent="0.35">
      <c r="A13" t="s">
        <v>371</v>
      </c>
      <c r="B13" t="s">
        <v>372</v>
      </c>
      <c r="C13" t="s">
        <v>409</v>
      </c>
      <c r="D13" t="s">
        <v>410</v>
      </c>
    </row>
    <row r="14" spans="1:4" x14ac:dyDescent="0.35">
      <c r="A14" t="s">
        <v>375</v>
      </c>
    </row>
    <row r="15" spans="1:4" x14ac:dyDescent="0.35">
      <c r="A15" t="s">
        <v>376</v>
      </c>
    </row>
    <row r="16" spans="1:4" x14ac:dyDescent="0.35">
      <c r="A16" t="s">
        <v>377</v>
      </c>
      <c r="B16" t="s">
        <v>398</v>
      </c>
      <c r="C16" t="s">
        <v>411</v>
      </c>
      <c r="D16" t="s">
        <v>412</v>
      </c>
    </row>
    <row r="17" spans="1:4" x14ac:dyDescent="0.35">
      <c r="A17" t="s">
        <v>380</v>
      </c>
    </row>
    <row r="18" spans="1:4" x14ac:dyDescent="0.35">
      <c r="A18" t="s">
        <v>381</v>
      </c>
      <c r="B18" t="s">
        <v>382</v>
      </c>
      <c r="C18" t="s">
        <v>413</v>
      </c>
      <c r="D18" t="s">
        <v>400</v>
      </c>
    </row>
    <row r="19" spans="1:4" x14ac:dyDescent="0.35">
      <c r="A19" t="s">
        <v>385</v>
      </c>
      <c r="B19" t="s">
        <v>414</v>
      </c>
      <c r="C19" t="s">
        <v>415</v>
      </c>
      <c r="D19" t="s">
        <v>416</v>
      </c>
    </row>
    <row r="20" spans="1:4" x14ac:dyDescent="0.35">
      <c r="A20" t="s">
        <v>389</v>
      </c>
      <c r="B20" t="s">
        <v>417</v>
      </c>
      <c r="C20" t="s">
        <v>418</v>
      </c>
      <c r="D20" t="s">
        <v>419</v>
      </c>
    </row>
    <row r="21" spans="1:4" x14ac:dyDescent="0.35">
      <c r="A21" t="s">
        <v>393</v>
      </c>
      <c r="B21" t="s">
        <v>394</v>
      </c>
      <c r="C21" t="s">
        <v>420</v>
      </c>
      <c r="D21" t="s">
        <v>421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70</vt:i4>
      </vt:variant>
    </vt:vector>
  </HeadingPairs>
  <TitlesOfParts>
    <vt:vector size="70" baseType="lpstr">
      <vt:lpstr>SOMMAIRE</vt:lpstr>
      <vt:lpstr>CITP_GG1</vt:lpstr>
      <vt:lpstr>CITP_GG2</vt:lpstr>
      <vt:lpstr>CITP_GG3</vt:lpstr>
      <vt:lpstr>CITP_GG4</vt:lpstr>
      <vt:lpstr>CITP_GG5</vt:lpstr>
      <vt:lpstr>CITP_GG6</vt:lpstr>
      <vt:lpstr>CITP_GG7</vt:lpstr>
      <vt:lpstr>CITP_GG9</vt:lpstr>
      <vt:lpstr>GRADE_A3</vt:lpstr>
      <vt:lpstr>GRADE_A4</vt:lpstr>
      <vt:lpstr>GRADE_A5</vt:lpstr>
      <vt:lpstr>GRADE_A6</vt:lpstr>
      <vt:lpstr>GRADE_A7</vt:lpstr>
      <vt:lpstr>GRADE_B1</vt:lpstr>
      <vt:lpstr>GRADE_B3</vt:lpstr>
      <vt:lpstr>GRADE_C1</vt:lpstr>
      <vt:lpstr>GRADE_C2</vt:lpstr>
      <vt:lpstr>GRADE_C3</vt:lpstr>
      <vt:lpstr>GRADE_D1</vt:lpstr>
      <vt:lpstr>GRADE_D2</vt:lpstr>
      <vt:lpstr>SEXE_Femme</vt:lpstr>
      <vt:lpstr>SEXE_Homme</vt:lpstr>
      <vt:lpstr>MULTI_A3</vt:lpstr>
      <vt:lpstr>MULTI_A4</vt:lpstr>
      <vt:lpstr>MULTI_A5</vt:lpstr>
      <vt:lpstr>MULTI_A6</vt:lpstr>
      <vt:lpstr>MULTI_A7</vt:lpstr>
      <vt:lpstr>MULTI_B1</vt:lpstr>
      <vt:lpstr>MULTI_B3</vt:lpstr>
      <vt:lpstr>MULTI_C1</vt:lpstr>
      <vt:lpstr>MULTI_C2</vt:lpstr>
      <vt:lpstr>MULTI_C3</vt:lpstr>
      <vt:lpstr>MULTI_D1</vt:lpstr>
      <vt:lpstr>MULTI_D2</vt:lpstr>
      <vt:lpstr>BAREME_Bar_me_G_n_ral</vt:lpstr>
      <vt:lpstr>BAREME_CORPS_DIPL</vt:lpstr>
      <vt:lpstr>BAREME_CORPS_PREF</vt:lpstr>
      <vt:lpstr>BAREME_Cadre_Sup_Sant_</vt:lpstr>
      <vt:lpstr>BAREME_ENS_SEC___PRIM</vt:lpstr>
      <vt:lpstr>BAREME_ENS_SUP</vt:lpstr>
      <vt:lpstr>BAREME_GREFFE</vt:lpstr>
      <vt:lpstr>BAREME_Informaticien</vt:lpstr>
      <vt:lpstr>BAREME_MAGISTRAT_</vt:lpstr>
      <vt:lpstr>BAREME_SECRETAIRE_DIRECTION</vt:lpstr>
      <vt:lpstr>BAREME_Tech_Sant_</vt:lpstr>
      <vt:lpstr>BAREME_G_Bar_me_G_n_ral</vt:lpstr>
      <vt:lpstr>BAREME_G_CORPS_DIPL</vt:lpstr>
      <vt:lpstr>BAREME_G_CORPS_PREF</vt:lpstr>
      <vt:lpstr>BAREME_G_Cadre_Sup_Sant_</vt:lpstr>
      <vt:lpstr>BAREME_G_ENS_SEC___PRIM</vt:lpstr>
      <vt:lpstr>BAREME_G_ENS_SUP</vt:lpstr>
      <vt:lpstr>BAREME_G_GREFFE</vt:lpstr>
      <vt:lpstr>BAREME_G_Informaticien</vt:lpstr>
      <vt:lpstr>BAREME_G_MAGISTRAT_</vt:lpstr>
      <vt:lpstr>BAREME_G_SECRETAIRE_DIRECTION</vt:lpstr>
      <vt:lpstr>BAREME_G_Tech_Sant_</vt:lpstr>
      <vt:lpstr>BAREME_S_Bar_me_G_n_ral</vt:lpstr>
      <vt:lpstr>BAREME_S_CORPS_DIPL</vt:lpstr>
      <vt:lpstr>BAREME_S_CORPS_PREF</vt:lpstr>
      <vt:lpstr>BAREME_S_Cadre_Sup_Sant_</vt:lpstr>
      <vt:lpstr>BAREME_S_ENS_SEC___PRIM</vt:lpstr>
      <vt:lpstr>BAREME_S_ENS_SUP</vt:lpstr>
      <vt:lpstr>BAREME_S_GREFFE</vt:lpstr>
      <vt:lpstr>BAREME_S_Informaticien</vt:lpstr>
      <vt:lpstr>BAREME_S_MAGISTRAT_</vt:lpstr>
      <vt:lpstr>BAREME_S_SECRETAIRE_DIRECTION</vt:lpstr>
      <vt:lpstr>BAREME_S_Tech_Sant_</vt:lpstr>
      <vt:lpstr>MODELE_ANSTAT_2024</vt:lpstr>
      <vt:lpstr>MODELE_ANSTAT_2025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Aminata ZONGO</cp:lastModifiedBy>
  <dcterms:created xsi:type="dcterms:W3CDTF">2026-04-20T09:32:15Z</dcterms:created>
  <dcterms:modified xsi:type="dcterms:W3CDTF">2026-04-20T09:35:57Z</dcterms:modified>
</cp:coreProperties>
</file>