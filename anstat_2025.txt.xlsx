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ou\Documents\DOSSIER_2025_2026\"/>
    </mc:Choice>
  </mc:AlternateContent>
  <xr:revisionPtr revIDLastSave="0" documentId="13_ncr:1_{CA3ECA7D-3E4F-40F9-8331-259D3923057B}" xr6:coauthVersionLast="47" xr6:coauthVersionMax="47" xr10:uidLastSave="{00000000-0000-0000-0000-000000000000}"/>
  <bookViews>
    <workbookView xWindow="-120" yWindow="-120" windowWidth="24240" windowHeight="13020" xr2:uid="{0219A58F-93FB-4194-AA9D-5268D6B18FB2}"/>
  </bookViews>
  <sheets>
    <sheet name="SALAIRE BRUT" sheetId="2" r:id="rId1"/>
    <sheet name="EXEMPLE _STATISTIQUE" sheetId="1" r:id="rId2"/>
  </sheets>
  <definedNames>
    <definedName name="_xlnm._FilterDatabase" localSheetId="0" hidden="1">'SALAIRE BRUT'!$A$1:$R$755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2" l="1"/>
  <c r="P755" i="2"/>
  <c r="F755" i="2"/>
  <c r="G755" i="2" s="1"/>
  <c r="L755" i="2" s="1"/>
  <c r="Q755" i="2" s="1"/>
  <c r="P754" i="2"/>
  <c r="F754" i="2"/>
  <c r="P753" i="2"/>
  <c r="F753" i="2"/>
  <c r="P752" i="2"/>
  <c r="F752" i="2"/>
  <c r="G752" i="2" s="1"/>
  <c r="L752" i="2" s="1"/>
  <c r="P751" i="2"/>
  <c r="F751" i="2"/>
  <c r="P750" i="2"/>
  <c r="F750" i="2"/>
  <c r="G750" i="2" s="1"/>
  <c r="L750" i="2" s="1"/>
  <c r="P749" i="2"/>
  <c r="G749" i="2"/>
  <c r="F749" i="2"/>
  <c r="P748" i="2"/>
  <c r="G748" i="2"/>
  <c r="L748" i="2" s="1"/>
  <c r="F748" i="2"/>
  <c r="P747" i="2"/>
  <c r="F747" i="2"/>
  <c r="P746" i="2"/>
  <c r="F746" i="2"/>
  <c r="P745" i="2"/>
  <c r="G745" i="2"/>
  <c r="F745" i="2"/>
  <c r="P744" i="2"/>
  <c r="F744" i="2"/>
  <c r="G744" i="2" s="1"/>
  <c r="L744" i="2" s="1"/>
  <c r="P743" i="2"/>
  <c r="F743" i="2"/>
  <c r="P742" i="2"/>
  <c r="F742" i="2"/>
  <c r="G742" i="2" s="1"/>
  <c r="P741" i="2"/>
  <c r="F741" i="2"/>
  <c r="P740" i="2"/>
  <c r="F740" i="2"/>
  <c r="P739" i="2"/>
  <c r="F739" i="2"/>
  <c r="P738" i="2"/>
  <c r="F738" i="2"/>
  <c r="G738" i="2" s="1"/>
  <c r="L738" i="2" s="1"/>
  <c r="P737" i="2"/>
  <c r="G737" i="2"/>
  <c r="F737" i="2"/>
  <c r="P736" i="2"/>
  <c r="F736" i="2"/>
  <c r="P735" i="2"/>
  <c r="F735" i="2"/>
  <c r="P734" i="2"/>
  <c r="G734" i="2"/>
  <c r="F734" i="2"/>
  <c r="P733" i="2"/>
  <c r="G733" i="2"/>
  <c r="F733" i="2"/>
  <c r="P732" i="2"/>
  <c r="F732" i="2"/>
  <c r="G732" i="2" s="1"/>
  <c r="L732" i="2" s="1"/>
  <c r="P731" i="2"/>
  <c r="F731" i="2"/>
  <c r="G731" i="2" s="1"/>
  <c r="L731" i="2" s="1"/>
  <c r="Q731" i="2" s="1"/>
  <c r="P730" i="2"/>
  <c r="F730" i="2"/>
  <c r="P729" i="2"/>
  <c r="F729" i="2"/>
  <c r="G729" i="2" s="1"/>
  <c r="L729" i="2" s="1"/>
  <c r="P728" i="2"/>
  <c r="F728" i="2"/>
  <c r="G728" i="2" s="1"/>
  <c r="L728" i="2" s="1"/>
  <c r="P727" i="2"/>
  <c r="F727" i="2"/>
  <c r="P726" i="2"/>
  <c r="F726" i="2"/>
  <c r="G726" i="2" s="1"/>
  <c r="L726" i="2" s="1"/>
  <c r="P725" i="2"/>
  <c r="F725" i="2"/>
  <c r="P724" i="2"/>
  <c r="G724" i="2"/>
  <c r="L724" i="2" s="1"/>
  <c r="F724" i="2"/>
  <c r="P723" i="2"/>
  <c r="F723" i="2"/>
  <c r="P722" i="2"/>
  <c r="F722" i="2"/>
  <c r="G722" i="2" s="1"/>
  <c r="P721" i="2"/>
  <c r="F721" i="2"/>
  <c r="P720" i="2"/>
  <c r="G720" i="2"/>
  <c r="L720" i="2" s="1"/>
  <c r="F720" i="2"/>
  <c r="P719" i="2"/>
  <c r="G719" i="2"/>
  <c r="F719" i="2"/>
  <c r="P718" i="2"/>
  <c r="F718" i="2"/>
  <c r="P717" i="2"/>
  <c r="F717" i="2"/>
  <c r="G717" i="2" s="1"/>
  <c r="L717" i="2" s="1"/>
  <c r="Q717" i="2" s="1"/>
  <c r="P716" i="2"/>
  <c r="F716" i="2"/>
  <c r="G716" i="2" s="1"/>
  <c r="P715" i="2"/>
  <c r="F715" i="2"/>
  <c r="P714" i="2"/>
  <c r="F714" i="2"/>
  <c r="G714" i="2" s="1"/>
  <c r="L714" i="2" s="1"/>
  <c r="P713" i="2"/>
  <c r="F713" i="2"/>
  <c r="P712" i="2"/>
  <c r="F712" i="2"/>
  <c r="P711" i="2"/>
  <c r="F711" i="2"/>
  <c r="P710" i="2"/>
  <c r="F710" i="2"/>
  <c r="G710" i="2" s="1"/>
  <c r="P709" i="2"/>
  <c r="F709" i="2"/>
  <c r="G709" i="2" s="1"/>
  <c r="P708" i="2"/>
  <c r="G708" i="2"/>
  <c r="F708" i="2"/>
  <c r="P707" i="2"/>
  <c r="F707" i="2"/>
  <c r="G707" i="2" s="1"/>
  <c r="P706" i="2"/>
  <c r="F706" i="2"/>
  <c r="G706" i="2" s="1"/>
  <c r="P705" i="2"/>
  <c r="F705" i="2"/>
  <c r="G705" i="2" s="1"/>
  <c r="P704" i="2"/>
  <c r="F704" i="2"/>
  <c r="G704" i="2" s="1"/>
  <c r="P703" i="2"/>
  <c r="F703" i="2"/>
  <c r="P702" i="2"/>
  <c r="F702" i="2"/>
  <c r="G702" i="2" s="1"/>
  <c r="L702" i="2" s="1"/>
  <c r="P701" i="2"/>
  <c r="L701" i="2"/>
  <c r="G701" i="2"/>
  <c r="F701" i="2"/>
  <c r="P700" i="2"/>
  <c r="F700" i="2"/>
  <c r="G700" i="2" s="1"/>
  <c r="P699" i="2"/>
  <c r="F699" i="2"/>
  <c r="P698" i="2"/>
  <c r="F698" i="2"/>
  <c r="P697" i="2"/>
  <c r="G697" i="2"/>
  <c r="F697" i="2"/>
  <c r="P696" i="2"/>
  <c r="F696" i="2"/>
  <c r="G696" i="2" s="1"/>
  <c r="L696" i="2" s="1"/>
  <c r="P695" i="2"/>
  <c r="F695" i="2"/>
  <c r="P694" i="2"/>
  <c r="F694" i="2"/>
  <c r="P693" i="2"/>
  <c r="F693" i="2"/>
  <c r="P692" i="2"/>
  <c r="F692" i="2"/>
  <c r="P691" i="2"/>
  <c r="F691" i="2"/>
  <c r="P690" i="2"/>
  <c r="F690" i="2"/>
  <c r="G690" i="2" s="1"/>
  <c r="L690" i="2" s="1"/>
  <c r="P689" i="2"/>
  <c r="F689" i="2"/>
  <c r="P688" i="2"/>
  <c r="F688" i="2"/>
  <c r="P687" i="2"/>
  <c r="F687" i="2"/>
  <c r="P686" i="2"/>
  <c r="F686" i="2"/>
  <c r="G686" i="2" s="1"/>
  <c r="P685" i="2"/>
  <c r="F685" i="2"/>
  <c r="P684" i="2"/>
  <c r="F684" i="2"/>
  <c r="G684" i="2" s="1"/>
  <c r="L684" i="2" s="1"/>
  <c r="P683" i="2"/>
  <c r="F683" i="2"/>
  <c r="P682" i="2"/>
  <c r="F682" i="2"/>
  <c r="P681" i="2"/>
  <c r="F681" i="2"/>
  <c r="P680" i="2"/>
  <c r="F680" i="2"/>
  <c r="P679" i="2"/>
  <c r="F679" i="2"/>
  <c r="P678" i="2"/>
  <c r="F678" i="2"/>
  <c r="G678" i="2" s="1"/>
  <c r="L678" i="2" s="1"/>
  <c r="P677" i="2"/>
  <c r="F677" i="2"/>
  <c r="G677" i="2" s="1"/>
  <c r="L677" i="2" s="1"/>
  <c r="P676" i="2"/>
  <c r="F676" i="2"/>
  <c r="P675" i="2"/>
  <c r="F675" i="2"/>
  <c r="P674" i="2"/>
  <c r="F674" i="2"/>
  <c r="P673" i="2"/>
  <c r="F673" i="2"/>
  <c r="G673" i="2" s="1"/>
  <c r="P672" i="2"/>
  <c r="F672" i="2"/>
  <c r="G672" i="2" s="1"/>
  <c r="L672" i="2" s="1"/>
  <c r="P671" i="2"/>
  <c r="F671" i="2"/>
  <c r="G671" i="2" s="1"/>
  <c r="L671" i="2" s="1"/>
  <c r="P670" i="2"/>
  <c r="F670" i="2"/>
  <c r="G670" i="2" s="1"/>
  <c r="P669" i="2"/>
  <c r="F669" i="2"/>
  <c r="G669" i="2" s="1"/>
  <c r="P668" i="2"/>
  <c r="F668" i="2"/>
  <c r="G668" i="2" s="1"/>
  <c r="L668" i="2" s="1"/>
  <c r="P667" i="2"/>
  <c r="F667" i="2"/>
  <c r="P666" i="2"/>
  <c r="F666" i="2"/>
  <c r="G666" i="2" s="1"/>
  <c r="L666" i="2" s="1"/>
  <c r="Q666" i="2" s="1"/>
  <c r="P665" i="2"/>
  <c r="F665" i="2"/>
  <c r="G665" i="2" s="1"/>
  <c r="P664" i="2"/>
  <c r="F664" i="2"/>
  <c r="G664" i="2" s="1"/>
  <c r="L664" i="2" s="1"/>
  <c r="P663" i="2"/>
  <c r="F663" i="2"/>
  <c r="P662" i="2"/>
  <c r="G662" i="2"/>
  <c r="F662" i="2"/>
  <c r="P661" i="2"/>
  <c r="F661" i="2"/>
  <c r="G661" i="2" s="1"/>
  <c r="P660" i="2"/>
  <c r="F660" i="2"/>
  <c r="G660" i="2" s="1"/>
  <c r="L660" i="2" s="1"/>
  <c r="P659" i="2"/>
  <c r="G659" i="2"/>
  <c r="F659" i="2"/>
  <c r="P658" i="2"/>
  <c r="F658" i="2"/>
  <c r="P657" i="2"/>
  <c r="F657" i="2"/>
  <c r="P656" i="2"/>
  <c r="F656" i="2"/>
  <c r="G656" i="2" s="1"/>
  <c r="L656" i="2" s="1"/>
  <c r="Q656" i="2" s="1"/>
  <c r="P655" i="2"/>
  <c r="F655" i="2"/>
  <c r="P654" i="2"/>
  <c r="F654" i="2"/>
  <c r="G654" i="2" s="1"/>
  <c r="L654" i="2" s="1"/>
  <c r="P653" i="2"/>
  <c r="F653" i="2"/>
  <c r="G653" i="2" s="1"/>
  <c r="L653" i="2" s="1"/>
  <c r="P652" i="2"/>
  <c r="F652" i="2"/>
  <c r="G652" i="2" s="1"/>
  <c r="L652" i="2" s="1"/>
  <c r="P651" i="2"/>
  <c r="F651" i="2"/>
  <c r="P650" i="2"/>
  <c r="F650" i="2"/>
  <c r="G650" i="2" s="1"/>
  <c r="P649" i="2"/>
  <c r="G649" i="2"/>
  <c r="F649" i="2"/>
  <c r="P648" i="2"/>
  <c r="F648" i="2"/>
  <c r="G648" i="2" s="1"/>
  <c r="L648" i="2" s="1"/>
  <c r="P647" i="2"/>
  <c r="F647" i="2"/>
  <c r="P646" i="2"/>
  <c r="G646" i="2"/>
  <c r="F646" i="2"/>
  <c r="P645" i="2"/>
  <c r="G645" i="2"/>
  <c r="L645" i="2" s="1"/>
  <c r="F645" i="2"/>
  <c r="P644" i="2"/>
  <c r="F644" i="2"/>
  <c r="P643" i="2"/>
  <c r="F643" i="2"/>
  <c r="O643" i="2" s="1"/>
  <c r="P642" i="2"/>
  <c r="G642" i="2"/>
  <c r="L642" i="2" s="1"/>
  <c r="F642" i="2"/>
  <c r="O642" i="2" s="1"/>
  <c r="P641" i="2"/>
  <c r="G641" i="2"/>
  <c r="F641" i="2"/>
  <c r="O641" i="2" s="1"/>
  <c r="P640" i="2"/>
  <c r="F640" i="2"/>
  <c r="O640" i="2" s="1"/>
  <c r="P639" i="2"/>
  <c r="F639" i="2"/>
  <c r="O639" i="2" s="1"/>
  <c r="P638" i="2"/>
  <c r="F638" i="2"/>
  <c r="O638" i="2" s="1"/>
  <c r="P637" i="2"/>
  <c r="F637" i="2"/>
  <c r="O637" i="2" s="1"/>
  <c r="P636" i="2"/>
  <c r="F636" i="2"/>
  <c r="O636" i="2" s="1"/>
  <c r="P635" i="2"/>
  <c r="F635" i="2"/>
  <c r="O635" i="2" s="1"/>
  <c r="P634" i="2"/>
  <c r="O634" i="2"/>
  <c r="F634" i="2"/>
  <c r="G634" i="2" s="1"/>
  <c r="L634" i="2" s="1"/>
  <c r="P633" i="2"/>
  <c r="F633" i="2"/>
  <c r="O633" i="2" s="1"/>
  <c r="P632" i="2"/>
  <c r="F632" i="2"/>
  <c r="O632" i="2" s="1"/>
  <c r="P631" i="2"/>
  <c r="F631" i="2"/>
  <c r="P630" i="2"/>
  <c r="F630" i="2"/>
  <c r="G630" i="2" s="1"/>
  <c r="L630" i="2" s="1"/>
  <c r="P629" i="2"/>
  <c r="F629" i="2"/>
  <c r="P628" i="2"/>
  <c r="F628" i="2"/>
  <c r="P627" i="2"/>
  <c r="F627" i="2"/>
  <c r="P626" i="2"/>
  <c r="F626" i="2"/>
  <c r="G626" i="2" s="1"/>
  <c r="P625" i="2"/>
  <c r="F625" i="2"/>
  <c r="P624" i="2"/>
  <c r="F624" i="2"/>
  <c r="G624" i="2" s="1"/>
  <c r="L624" i="2" s="1"/>
  <c r="P623" i="2"/>
  <c r="F623" i="2"/>
  <c r="G623" i="2" s="1"/>
  <c r="L623" i="2" s="1"/>
  <c r="P622" i="2"/>
  <c r="F622" i="2"/>
  <c r="G622" i="2" s="1"/>
  <c r="P621" i="2"/>
  <c r="F621" i="2"/>
  <c r="G621" i="2" s="1"/>
  <c r="L621" i="2" s="1"/>
  <c r="Q621" i="2" s="1"/>
  <c r="P620" i="2"/>
  <c r="G620" i="2"/>
  <c r="L620" i="2" s="1"/>
  <c r="F620" i="2"/>
  <c r="P619" i="2"/>
  <c r="F619" i="2"/>
  <c r="P618" i="2"/>
  <c r="F618" i="2"/>
  <c r="G618" i="2" s="1"/>
  <c r="L618" i="2" s="1"/>
  <c r="P617" i="2"/>
  <c r="F617" i="2"/>
  <c r="P616" i="2"/>
  <c r="F616" i="2"/>
  <c r="G616" i="2" s="1"/>
  <c r="L616" i="2" s="1"/>
  <c r="P615" i="2"/>
  <c r="F615" i="2"/>
  <c r="P614" i="2"/>
  <c r="F614" i="2"/>
  <c r="P613" i="2"/>
  <c r="F613" i="2"/>
  <c r="P612" i="2"/>
  <c r="F612" i="2"/>
  <c r="G612" i="2" s="1"/>
  <c r="L612" i="2" s="1"/>
  <c r="P611" i="2"/>
  <c r="F611" i="2"/>
  <c r="P610" i="2"/>
  <c r="F610" i="2"/>
  <c r="P609" i="2"/>
  <c r="F609" i="2"/>
  <c r="G609" i="2" s="1"/>
  <c r="L609" i="2" s="1"/>
  <c r="P608" i="2"/>
  <c r="F608" i="2"/>
  <c r="G608" i="2" s="1"/>
  <c r="L608" i="2" s="1"/>
  <c r="P607" i="2"/>
  <c r="F607" i="2"/>
  <c r="P606" i="2"/>
  <c r="F606" i="2"/>
  <c r="G606" i="2" s="1"/>
  <c r="L606" i="2" s="1"/>
  <c r="P605" i="2"/>
  <c r="F605" i="2"/>
  <c r="P604" i="2"/>
  <c r="F604" i="2"/>
  <c r="G604" i="2" s="1"/>
  <c r="L604" i="2" s="1"/>
  <c r="Q604" i="2" s="1"/>
  <c r="P603" i="2"/>
  <c r="F603" i="2"/>
  <c r="P602" i="2"/>
  <c r="F602" i="2"/>
  <c r="P601" i="2"/>
  <c r="F601" i="2"/>
  <c r="P600" i="2"/>
  <c r="F600" i="2"/>
  <c r="P599" i="2"/>
  <c r="F599" i="2"/>
  <c r="P598" i="2"/>
  <c r="F598" i="2"/>
  <c r="P597" i="2"/>
  <c r="F597" i="2"/>
  <c r="P596" i="2"/>
  <c r="G596" i="2"/>
  <c r="L596" i="2" s="1"/>
  <c r="Q596" i="2" s="1"/>
  <c r="F596" i="2"/>
  <c r="P595" i="2"/>
  <c r="F595" i="2"/>
  <c r="P594" i="2"/>
  <c r="F594" i="2"/>
  <c r="G594" i="2" s="1"/>
  <c r="L594" i="2" s="1"/>
  <c r="P593" i="2"/>
  <c r="F593" i="2"/>
  <c r="P592" i="2"/>
  <c r="F592" i="2"/>
  <c r="G592" i="2" s="1"/>
  <c r="L592" i="2" s="1"/>
  <c r="P591" i="2"/>
  <c r="F591" i="2"/>
  <c r="P590" i="2"/>
  <c r="F590" i="2"/>
  <c r="P589" i="2"/>
  <c r="F589" i="2"/>
  <c r="P588" i="2"/>
  <c r="F588" i="2"/>
  <c r="P587" i="2"/>
  <c r="F587" i="2"/>
  <c r="P586" i="2"/>
  <c r="F586" i="2"/>
  <c r="G586" i="2" s="1"/>
  <c r="P585" i="2"/>
  <c r="F585" i="2"/>
  <c r="P584" i="2"/>
  <c r="F584" i="2"/>
  <c r="G584" i="2" s="1"/>
  <c r="L584" i="2" s="1"/>
  <c r="P583" i="2"/>
  <c r="F583" i="2"/>
  <c r="P582" i="2"/>
  <c r="F582" i="2"/>
  <c r="G582" i="2" s="1"/>
  <c r="L582" i="2" s="1"/>
  <c r="P581" i="2"/>
  <c r="F581" i="2"/>
  <c r="P580" i="2"/>
  <c r="K580" i="2"/>
  <c r="F580" i="2"/>
  <c r="P579" i="2"/>
  <c r="K579" i="2"/>
  <c r="F579" i="2"/>
  <c r="G579" i="2" s="1"/>
  <c r="P578" i="2"/>
  <c r="K578" i="2"/>
  <c r="F578" i="2"/>
  <c r="G578" i="2" s="1"/>
  <c r="L578" i="2" s="1"/>
  <c r="Q578" i="2" s="1"/>
  <c r="P577" i="2"/>
  <c r="K577" i="2"/>
  <c r="F577" i="2"/>
  <c r="G577" i="2" s="1"/>
  <c r="P576" i="2"/>
  <c r="K576" i="2"/>
  <c r="F576" i="2"/>
  <c r="G576" i="2" s="1"/>
  <c r="P575" i="2"/>
  <c r="K575" i="2"/>
  <c r="F575" i="2"/>
  <c r="G575" i="2" s="1"/>
  <c r="P574" i="2"/>
  <c r="K574" i="2"/>
  <c r="F574" i="2"/>
  <c r="G574" i="2" s="1"/>
  <c r="P573" i="2"/>
  <c r="K573" i="2"/>
  <c r="F573" i="2"/>
  <c r="G573" i="2" s="1"/>
  <c r="P572" i="2"/>
  <c r="K572" i="2"/>
  <c r="F572" i="2"/>
  <c r="P571" i="2"/>
  <c r="K571" i="2"/>
  <c r="F571" i="2"/>
  <c r="G571" i="2" s="1"/>
  <c r="P570" i="2"/>
  <c r="K570" i="2"/>
  <c r="F570" i="2"/>
  <c r="G570" i="2" s="1"/>
  <c r="P569" i="2"/>
  <c r="K569" i="2"/>
  <c r="G569" i="2"/>
  <c r="F569" i="2"/>
  <c r="P568" i="2"/>
  <c r="F568" i="2"/>
  <c r="G568" i="2" s="1"/>
  <c r="P567" i="2"/>
  <c r="F567" i="2"/>
  <c r="P566" i="2"/>
  <c r="F566" i="2"/>
  <c r="G566" i="2" s="1"/>
  <c r="P565" i="2"/>
  <c r="F565" i="2"/>
  <c r="P564" i="2"/>
  <c r="F564" i="2"/>
  <c r="G564" i="2" s="1"/>
  <c r="L564" i="2" s="1"/>
  <c r="P563" i="2"/>
  <c r="F563" i="2"/>
  <c r="G563" i="2" s="1"/>
  <c r="L563" i="2" s="1"/>
  <c r="P562" i="2"/>
  <c r="F562" i="2"/>
  <c r="G562" i="2" s="1"/>
  <c r="P561" i="2"/>
  <c r="F561" i="2"/>
  <c r="G561" i="2" s="1"/>
  <c r="P560" i="2"/>
  <c r="F560" i="2"/>
  <c r="G560" i="2" s="1"/>
  <c r="L560" i="2" s="1"/>
  <c r="Q560" i="2" s="1"/>
  <c r="P559" i="2"/>
  <c r="F559" i="2"/>
  <c r="P558" i="2"/>
  <c r="Q558" i="2" s="1"/>
  <c r="F558" i="2"/>
  <c r="G558" i="2" s="1"/>
  <c r="L558" i="2" s="1"/>
  <c r="P557" i="2"/>
  <c r="F557" i="2"/>
  <c r="P556" i="2"/>
  <c r="F556" i="2"/>
  <c r="G556" i="2" s="1"/>
  <c r="P555" i="2"/>
  <c r="F555" i="2"/>
  <c r="P554" i="2"/>
  <c r="F554" i="2"/>
  <c r="P553" i="2"/>
  <c r="F553" i="2"/>
  <c r="P552" i="2"/>
  <c r="F552" i="2"/>
  <c r="G552" i="2" s="1"/>
  <c r="L552" i="2" s="1"/>
  <c r="P551" i="2"/>
  <c r="G551" i="2"/>
  <c r="L551" i="2" s="1"/>
  <c r="F551" i="2"/>
  <c r="P550" i="2"/>
  <c r="G550" i="2"/>
  <c r="F550" i="2"/>
  <c r="P549" i="2"/>
  <c r="F549" i="2"/>
  <c r="G549" i="2" s="1"/>
  <c r="L549" i="2" s="1"/>
  <c r="P548" i="2"/>
  <c r="G548" i="2"/>
  <c r="L548" i="2" s="1"/>
  <c r="F548" i="2"/>
  <c r="P547" i="2"/>
  <c r="F547" i="2"/>
  <c r="P546" i="2"/>
  <c r="F546" i="2"/>
  <c r="G546" i="2" s="1"/>
  <c r="L546" i="2" s="1"/>
  <c r="P545" i="2"/>
  <c r="F545" i="2"/>
  <c r="P544" i="2"/>
  <c r="F544" i="2"/>
  <c r="G544" i="2" s="1"/>
  <c r="L544" i="2" s="1"/>
  <c r="P543" i="2"/>
  <c r="F543" i="2"/>
  <c r="P542" i="2"/>
  <c r="F542" i="2"/>
  <c r="G542" i="2" s="1"/>
  <c r="P541" i="2"/>
  <c r="F541" i="2"/>
  <c r="P540" i="2"/>
  <c r="F540" i="2"/>
  <c r="P539" i="2"/>
  <c r="F539" i="2"/>
  <c r="G539" i="2" s="1"/>
  <c r="L539" i="2" s="1"/>
  <c r="P538" i="2"/>
  <c r="G538" i="2"/>
  <c r="F538" i="2"/>
  <c r="P537" i="2"/>
  <c r="F537" i="2"/>
  <c r="G537" i="2" s="1"/>
  <c r="P536" i="2"/>
  <c r="F536" i="2"/>
  <c r="G536" i="2" s="1"/>
  <c r="L536" i="2" s="1"/>
  <c r="P535" i="2"/>
  <c r="F535" i="2"/>
  <c r="P534" i="2"/>
  <c r="F534" i="2"/>
  <c r="G534" i="2" s="1"/>
  <c r="L534" i="2" s="1"/>
  <c r="P533" i="2"/>
  <c r="F533" i="2"/>
  <c r="G533" i="2" s="1"/>
  <c r="P532" i="2"/>
  <c r="F532" i="2"/>
  <c r="P531" i="2"/>
  <c r="F531" i="2"/>
  <c r="P530" i="2"/>
  <c r="F530" i="2"/>
  <c r="G530" i="2" s="1"/>
  <c r="P529" i="2"/>
  <c r="F529" i="2"/>
  <c r="P528" i="2"/>
  <c r="F528" i="2"/>
  <c r="P527" i="2"/>
  <c r="F527" i="2"/>
  <c r="P526" i="2"/>
  <c r="F526" i="2"/>
  <c r="P525" i="2"/>
  <c r="F525" i="2"/>
  <c r="G525" i="2" s="1"/>
  <c r="L525" i="2" s="1"/>
  <c r="P524" i="2"/>
  <c r="G524" i="2"/>
  <c r="L524" i="2" s="1"/>
  <c r="F524" i="2"/>
  <c r="P523" i="2"/>
  <c r="F523" i="2"/>
  <c r="P522" i="2"/>
  <c r="F522" i="2"/>
  <c r="G522" i="2" s="1"/>
  <c r="L522" i="2" s="1"/>
  <c r="P521" i="2"/>
  <c r="F521" i="2"/>
  <c r="P520" i="2"/>
  <c r="G520" i="2"/>
  <c r="F520" i="2"/>
  <c r="P519" i="2"/>
  <c r="F519" i="2"/>
  <c r="P518" i="2"/>
  <c r="F518" i="2"/>
  <c r="P517" i="2"/>
  <c r="F517" i="2"/>
  <c r="P516" i="2"/>
  <c r="F516" i="2"/>
  <c r="G516" i="2" s="1"/>
  <c r="L516" i="2" s="1"/>
  <c r="Q516" i="2" s="1"/>
  <c r="P515" i="2"/>
  <c r="F515" i="2"/>
  <c r="P514" i="2"/>
  <c r="F514" i="2"/>
  <c r="P513" i="2"/>
  <c r="G513" i="2"/>
  <c r="L513" i="2" s="1"/>
  <c r="Q513" i="2" s="1"/>
  <c r="F513" i="2"/>
  <c r="P512" i="2"/>
  <c r="F512" i="2"/>
  <c r="G512" i="2" s="1"/>
  <c r="L512" i="2" s="1"/>
  <c r="P511" i="2"/>
  <c r="F511" i="2"/>
  <c r="P510" i="2"/>
  <c r="F510" i="2"/>
  <c r="G510" i="2" s="1"/>
  <c r="L510" i="2" s="1"/>
  <c r="P509" i="2"/>
  <c r="F509" i="2"/>
  <c r="P508" i="2"/>
  <c r="F508" i="2"/>
  <c r="P507" i="2"/>
  <c r="F507" i="2"/>
  <c r="P506" i="2"/>
  <c r="F506" i="2"/>
  <c r="G506" i="2" s="1"/>
  <c r="P505" i="2"/>
  <c r="F505" i="2"/>
  <c r="P504" i="2"/>
  <c r="F504" i="2"/>
  <c r="G504" i="2" s="1"/>
  <c r="L504" i="2" s="1"/>
  <c r="P503" i="2"/>
  <c r="G503" i="2"/>
  <c r="F503" i="2"/>
  <c r="P502" i="2"/>
  <c r="F502" i="2"/>
  <c r="G502" i="2" s="1"/>
  <c r="P501" i="2"/>
  <c r="F501" i="2"/>
  <c r="P500" i="2"/>
  <c r="F500" i="2"/>
  <c r="G500" i="2" s="1"/>
  <c r="L500" i="2" s="1"/>
  <c r="Q500" i="2" s="1"/>
  <c r="P499" i="2"/>
  <c r="F499" i="2"/>
  <c r="P498" i="2"/>
  <c r="F498" i="2"/>
  <c r="G498" i="2" s="1"/>
  <c r="L498" i="2" s="1"/>
  <c r="P497" i="2"/>
  <c r="F497" i="2"/>
  <c r="G497" i="2" s="1"/>
  <c r="L497" i="2" s="1"/>
  <c r="P496" i="2"/>
  <c r="F496" i="2"/>
  <c r="G496" i="2" s="1"/>
  <c r="L496" i="2" s="1"/>
  <c r="Q496" i="2" s="1"/>
  <c r="P495" i="2"/>
  <c r="F495" i="2"/>
  <c r="G495" i="2" s="1"/>
  <c r="P494" i="2"/>
  <c r="F494" i="2"/>
  <c r="P493" i="2"/>
  <c r="F493" i="2"/>
  <c r="P492" i="2"/>
  <c r="F492" i="2"/>
  <c r="G492" i="2" s="1"/>
  <c r="L492" i="2" s="1"/>
  <c r="P491" i="2"/>
  <c r="F491" i="2"/>
  <c r="G491" i="2" s="1"/>
  <c r="L491" i="2" s="1"/>
  <c r="P490" i="2"/>
  <c r="F490" i="2"/>
  <c r="P489" i="2"/>
  <c r="F489" i="2"/>
  <c r="P488" i="2"/>
  <c r="F488" i="2"/>
  <c r="G488" i="2" s="1"/>
  <c r="L488" i="2" s="1"/>
  <c r="P487" i="2"/>
  <c r="F487" i="2"/>
  <c r="P486" i="2"/>
  <c r="F486" i="2"/>
  <c r="G486" i="2" s="1"/>
  <c r="P485" i="2"/>
  <c r="F485" i="2"/>
  <c r="G485" i="2" s="1"/>
  <c r="L485" i="2" s="1"/>
  <c r="P484" i="2"/>
  <c r="F484" i="2"/>
  <c r="P483" i="2"/>
  <c r="F483" i="2"/>
  <c r="G483" i="2" s="1"/>
  <c r="P482" i="2"/>
  <c r="F482" i="2"/>
  <c r="P481" i="2"/>
  <c r="F481" i="2"/>
  <c r="P480" i="2"/>
  <c r="F480" i="2"/>
  <c r="G480" i="2" s="1"/>
  <c r="P479" i="2"/>
  <c r="F479" i="2"/>
  <c r="P478" i="2"/>
  <c r="F478" i="2"/>
  <c r="G478" i="2" s="1"/>
  <c r="P477" i="2"/>
  <c r="F477" i="2"/>
  <c r="G477" i="2" s="1"/>
  <c r="P476" i="2"/>
  <c r="F476" i="2"/>
  <c r="G476" i="2" s="1"/>
  <c r="L476" i="2" s="1"/>
  <c r="P475" i="2"/>
  <c r="F475" i="2"/>
  <c r="P474" i="2"/>
  <c r="F474" i="2"/>
  <c r="G474" i="2" s="1"/>
  <c r="L474" i="2" s="1"/>
  <c r="P473" i="2"/>
  <c r="F473" i="2"/>
  <c r="G473" i="2" s="1"/>
  <c r="L473" i="2" s="1"/>
  <c r="Q473" i="2" s="1"/>
  <c r="P472" i="2"/>
  <c r="F472" i="2"/>
  <c r="P471" i="2"/>
  <c r="F471" i="2"/>
  <c r="P470" i="2"/>
  <c r="F470" i="2"/>
  <c r="P469" i="2"/>
  <c r="F469" i="2"/>
  <c r="G469" i="2" s="1"/>
  <c r="P468" i="2"/>
  <c r="L468" i="2"/>
  <c r="F468" i="2"/>
  <c r="G468" i="2" s="1"/>
  <c r="P467" i="2"/>
  <c r="F467" i="2"/>
  <c r="G467" i="2" s="1"/>
  <c r="L467" i="2" s="1"/>
  <c r="Q467" i="2" s="1"/>
  <c r="P466" i="2"/>
  <c r="F466" i="2"/>
  <c r="G466" i="2" s="1"/>
  <c r="P465" i="2"/>
  <c r="F465" i="2"/>
  <c r="P464" i="2"/>
  <c r="F464" i="2"/>
  <c r="G464" i="2" s="1"/>
  <c r="L464" i="2" s="1"/>
  <c r="P463" i="2"/>
  <c r="F463" i="2"/>
  <c r="P462" i="2"/>
  <c r="F462" i="2"/>
  <c r="P461" i="2"/>
  <c r="G461" i="2"/>
  <c r="L461" i="2" s="1"/>
  <c r="F461" i="2"/>
  <c r="P460" i="2"/>
  <c r="G460" i="2"/>
  <c r="F460" i="2"/>
  <c r="P459" i="2"/>
  <c r="F459" i="2"/>
  <c r="G459" i="2" s="1"/>
  <c r="P458" i="2"/>
  <c r="F458" i="2"/>
  <c r="G458" i="2" s="1"/>
  <c r="P457" i="2"/>
  <c r="F457" i="2"/>
  <c r="G457" i="2" s="1"/>
  <c r="P456" i="2"/>
  <c r="L456" i="2"/>
  <c r="F456" i="2"/>
  <c r="G456" i="2" s="1"/>
  <c r="P455" i="2"/>
  <c r="G455" i="2"/>
  <c r="L455" i="2" s="1"/>
  <c r="Q455" i="2" s="1"/>
  <c r="F455" i="2"/>
  <c r="P454" i="2"/>
  <c r="F454" i="2"/>
  <c r="P453" i="2"/>
  <c r="G453" i="2"/>
  <c r="F453" i="2"/>
  <c r="P452" i="2"/>
  <c r="F452" i="2"/>
  <c r="P451" i="2"/>
  <c r="F451" i="2"/>
  <c r="P450" i="2"/>
  <c r="F450" i="2"/>
  <c r="G450" i="2" s="1"/>
  <c r="P449" i="2"/>
  <c r="F449" i="2"/>
  <c r="G449" i="2" s="1"/>
  <c r="L449" i="2" s="1"/>
  <c r="P448" i="2"/>
  <c r="F448" i="2"/>
  <c r="P447" i="2"/>
  <c r="F447" i="2"/>
  <c r="P446" i="2"/>
  <c r="F446" i="2"/>
  <c r="G446" i="2" s="1"/>
  <c r="P445" i="2"/>
  <c r="F445" i="2"/>
  <c r="P444" i="2"/>
  <c r="F444" i="2"/>
  <c r="G444" i="2" s="1"/>
  <c r="L444" i="2" s="1"/>
  <c r="P443" i="2"/>
  <c r="F443" i="2"/>
  <c r="G443" i="2" s="1"/>
  <c r="L443" i="2" s="1"/>
  <c r="Q443" i="2" s="1"/>
  <c r="P442" i="2"/>
  <c r="L442" i="2"/>
  <c r="F442" i="2"/>
  <c r="G442" i="2" s="1"/>
  <c r="P441" i="2"/>
  <c r="F441" i="2"/>
  <c r="G441" i="2" s="1"/>
  <c r="P440" i="2"/>
  <c r="F440" i="2"/>
  <c r="G440" i="2" s="1"/>
  <c r="P439" i="2"/>
  <c r="F439" i="2"/>
  <c r="P438" i="2"/>
  <c r="F438" i="2"/>
  <c r="G438" i="2" s="1"/>
  <c r="P437" i="2"/>
  <c r="F437" i="2"/>
  <c r="G437" i="2" s="1"/>
  <c r="L437" i="2" s="1"/>
  <c r="P436" i="2"/>
  <c r="F436" i="2"/>
  <c r="P435" i="2"/>
  <c r="G435" i="2"/>
  <c r="F435" i="2"/>
  <c r="P434" i="2"/>
  <c r="F434" i="2"/>
  <c r="G434" i="2" s="1"/>
  <c r="P433" i="2"/>
  <c r="F433" i="2"/>
  <c r="G433" i="2" s="1"/>
  <c r="P432" i="2"/>
  <c r="F432" i="2"/>
  <c r="G432" i="2" s="1"/>
  <c r="P431" i="2"/>
  <c r="F431" i="2"/>
  <c r="G431" i="2" s="1"/>
  <c r="L431" i="2" s="1"/>
  <c r="P430" i="2"/>
  <c r="F430" i="2"/>
  <c r="P429" i="2"/>
  <c r="F429" i="2"/>
  <c r="G429" i="2" s="1"/>
  <c r="P428" i="2"/>
  <c r="F428" i="2"/>
  <c r="P427" i="2"/>
  <c r="F427" i="2"/>
  <c r="P426" i="2"/>
  <c r="F426" i="2"/>
  <c r="G426" i="2" s="1"/>
  <c r="P425" i="2"/>
  <c r="F425" i="2"/>
  <c r="P424" i="2"/>
  <c r="F424" i="2"/>
  <c r="P423" i="2"/>
  <c r="F423" i="2"/>
  <c r="P422" i="2"/>
  <c r="F422" i="2"/>
  <c r="G422" i="2" s="1"/>
  <c r="P421" i="2"/>
  <c r="F421" i="2"/>
  <c r="P420" i="2"/>
  <c r="F420" i="2"/>
  <c r="P419" i="2"/>
  <c r="F419" i="2"/>
  <c r="G419" i="2" s="1"/>
  <c r="P418" i="2"/>
  <c r="F418" i="2"/>
  <c r="G418" i="2" s="1"/>
  <c r="P417" i="2"/>
  <c r="F417" i="2"/>
  <c r="G417" i="2" s="1"/>
  <c r="P416" i="2"/>
  <c r="F416" i="2"/>
  <c r="P415" i="2"/>
  <c r="F415" i="2"/>
  <c r="P414" i="2"/>
  <c r="F414" i="2"/>
  <c r="G414" i="2" s="1"/>
  <c r="P413" i="2"/>
  <c r="F413" i="2"/>
  <c r="G413" i="2" s="1"/>
  <c r="P412" i="2"/>
  <c r="F412" i="2"/>
  <c r="P411" i="2"/>
  <c r="F411" i="2"/>
  <c r="G411" i="2" s="1"/>
  <c r="L411" i="2" s="1"/>
  <c r="P410" i="2"/>
  <c r="G410" i="2"/>
  <c r="F410" i="2"/>
  <c r="P409" i="2"/>
  <c r="F409" i="2"/>
  <c r="G409" i="2" s="1"/>
  <c r="P408" i="2"/>
  <c r="F408" i="2"/>
  <c r="G408" i="2" s="1"/>
  <c r="L408" i="2" s="1"/>
  <c r="Q408" i="2" s="1"/>
  <c r="P407" i="2"/>
  <c r="F407" i="2"/>
  <c r="G407" i="2" s="1"/>
  <c r="P406" i="2"/>
  <c r="L406" i="2"/>
  <c r="F406" i="2"/>
  <c r="G406" i="2" s="1"/>
  <c r="P405" i="2"/>
  <c r="F405" i="2"/>
  <c r="G405" i="2" s="1"/>
  <c r="P404" i="2"/>
  <c r="F404" i="2"/>
  <c r="G404" i="2" s="1"/>
  <c r="P403" i="2"/>
  <c r="F403" i="2"/>
  <c r="G403" i="2" s="1"/>
  <c r="P402" i="2"/>
  <c r="F402" i="2"/>
  <c r="G402" i="2" s="1"/>
  <c r="L402" i="2" s="1"/>
  <c r="P401" i="2"/>
  <c r="F401" i="2"/>
  <c r="P400" i="2"/>
  <c r="F400" i="2"/>
  <c r="P399" i="2"/>
  <c r="F399" i="2"/>
  <c r="G399" i="2" s="1"/>
  <c r="L399" i="2" s="1"/>
  <c r="P398" i="2"/>
  <c r="F398" i="2"/>
  <c r="G398" i="2" s="1"/>
  <c r="P397" i="2"/>
  <c r="F397" i="2"/>
  <c r="G397" i="2" s="1"/>
  <c r="P396" i="2"/>
  <c r="F396" i="2"/>
  <c r="G396" i="2" s="1"/>
  <c r="L396" i="2" s="1"/>
  <c r="Q396" i="2" s="1"/>
  <c r="P395" i="2"/>
  <c r="F395" i="2"/>
  <c r="G395" i="2" s="1"/>
  <c r="L395" i="2" s="1"/>
  <c r="P394" i="2"/>
  <c r="F394" i="2"/>
  <c r="G394" i="2" s="1"/>
  <c r="P393" i="2"/>
  <c r="F393" i="2"/>
  <c r="G393" i="2" s="1"/>
  <c r="P392" i="2"/>
  <c r="F392" i="2"/>
  <c r="P391" i="2"/>
  <c r="F391" i="2"/>
  <c r="G391" i="2" s="1"/>
  <c r="P390" i="2"/>
  <c r="F390" i="2"/>
  <c r="G390" i="2" s="1"/>
  <c r="P389" i="2"/>
  <c r="F389" i="2"/>
  <c r="G389" i="2" s="1"/>
  <c r="P388" i="2"/>
  <c r="F388" i="2"/>
  <c r="P387" i="2"/>
  <c r="F387" i="2"/>
  <c r="G387" i="2" s="1"/>
  <c r="L387" i="2" s="1"/>
  <c r="Q387" i="2" s="1"/>
  <c r="P386" i="2"/>
  <c r="F386" i="2"/>
  <c r="G386" i="2" s="1"/>
  <c r="P385" i="2"/>
  <c r="F385" i="2"/>
  <c r="G385" i="2" s="1"/>
  <c r="L385" i="2" s="1"/>
  <c r="Q385" i="2" s="1"/>
  <c r="P384" i="2"/>
  <c r="F384" i="2"/>
  <c r="G384" i="2" s="1"/>
  <c r="L384" i="2" s="1"/>
  <c r="P383" i="2"/>
  <c r="F383" i="2"/>
  <c r="G383" i="2" s="1"/>
  <c r="L383" i="2" s="1"/>
  <c r="Q383" i="2" s="1"/>
  <c r="P382" i="2"/>
  <c r="F382" i="2"/>
  <c r="G382" i="2" s="1"/>
  <c r="P381" i="2"/>
  <c r="F381" i="2"/>
  <c r="G381" i="2" s="1"/>
  <c r="P380" i="2"/>
  <c r="F380" i="2"/>
  <c r="P379" i="2"/>
  <c r="F379" i="2"/>
  <c r="G379" i="2" s="1"/>
  <c r="P378" i="2"/>
  <c r="F378" i="2"/>
  <c r="P377" i="2"/>
  <c r="F377" i="2"/>
  <c r="P376" i="2"/>
  <c r="F376" i="2"/>
  <c r="P375" i="2"/>
  <c r="F375" i="2"/>
  <c r="G375" i="2" s="1"/>
  <c r="L375" i="2" s="1"/>
  <c r="P374" i="2"/>
  <c r="F374" i="2"/>
  <c r="G374" i="2" s="1"/>
  <c r="P373" i="2"/>
  <c r="F373" i="2"/>
  <c r="G373" i="2" s="1"/>
  <c r="P372" i="2"/>
  <c r="F372" i="2"/>
  <c r="P371" i="2"/>
  <c r="F371" i="2"/>
  <c r="P370" i="2"/>
  <c r="F370" i="2"/>
  <c r="G370" i="2" s="1"/>
  <c r="P369" i="2"/>
  <c r="F369" i="2"/>
  <c r="G369" i="2" s="1"/>
  <c r="P368" i="2"/>
  <c r="F368" i="2"/>
  <c r="G368" i="2" s="1"/>
  <c r="P367" i="2"/>
  <c r="F367" i="2"/>
  <c r="G367" i="2" s="1"/>
  <c r="P366" i="2"/>
  <c r="F366" i="2"/>
  <c r="G366" i="2" s="1"/>
  <c r="P365" i="2"/>
  <c r="F365" i="2"/>
  <c r="P364" i="2"/>
  <c r="F364" i="2"/>
  <c r="P363" i="2"/>
  <c r="F363" i="2"/>
  <c r="G363" i="2" s="1"/>
  <c r="L363" i="2" s="1"/>
  <c r="Q363" i="2" s="1"/>
  <c r="P362" i="2"/>
  <c r="F362" i="2"/>
  <c r="P361" i="2"/>
  <c r="F361" i="2"/>
  <c r="P360" i="2"/>
  <c r="F360" i="2"/>
  <c r="G360" i="2" s="1"/>
  <c r="L360" i="2" s="1"/>
  <c r="P359" i="2"/>
  <c r="F359" i="2"/>
  <c r="P358" i="2"/>
  <c r="F358" i="2"/>
  <c r="P357" i="2"/>
  <c r="F357" i="2"/>
  <c r="G357" i="2" s="1"/>
  <c r="P356" i="2"/>
  <c r="F356" i="2"/>
  <c r="P355" i="2"/>
  <c r="F355" i="2"/>
  <c r="P354" i="2"/>
  <c r="F354" i="2"/>
  <c r="G354" i="2" s="1"/>
  <c r="L354" i="2" s="1"/>
  <c r="P353" i="2"/>
  <c r="F353" i="2"/>
  <c r="P352" i="2"/>
  <c r="F352" i="2"/>
  <c r="G352" i="2" s="1"/>
  <c r="P351" i="2"/>
  <c r="F351" i="2"/>
  <c r="G351" i="2" s="1"/>
  <c r="L351" i="2" s="1"/>
  <c r="Q351" i="2" s="1"/>
  <c r="P350" i="2"/>
  <c r="F350" i="2"/>
  <c r="P349" i="2"/>
  <c r="F349" i="2"/>
  <c r="P348" i="2"/>
  <c r="G348" i="2"/>
  <c r="L348" i="2" s="1"/>
  <c r="F348" i="2"/>
  <c r="P347" i="2"/>
  <c r="F347" i="2"/>
  <c r="G347" i="2" s="1"/>
  <c r="L347" i="2" s="1"/>
  <c r="P346" i="2"/>
  <c r="F346" i="2"/>
  <c r="G346" i="2" s="1"/>
  <c r="P345" i="2"/>
  <c r="F345" i="2"/>
  <c r="G345" i="2" s="1"/>
  <c r="P344" i="2"/>
  <c r="F344" i="2"/>
  <c r="P343" i="2"/>
  <c r="F343" i="2"/>
  <c r="G343" i="2" s="1"/>
  <c r="P342" i="2"/>
  <c r="L342" i="2"/>
  <c r="F342" i="2"/>
  <c r="G342" i="2" s="1"/>
  <c r="P341" i="2"/>
  <c r="F341" i="2"/>
  <c r="G341" i="2" s="1"/>
  <c r="P340" i="2"/>
  <c r="F340" i="2"/>
  <c r="P339" i="2"/>
  <c r="F339" i="2"/>
  <c r="P338" i="2"/>
  <c r="F338" i="2"/>
  <c r="G338" i="2" s="1"/>
  <c r="P337" i="2"/>
  <c r="F337" i="2"/>
  <c r="G337" i="2" s="1"/>
  <c r="L337" i="2" s="1"/>
  <c r="P336" i="2"/>
  <c r="F336" i="2"/>
  <c r="G336" i="2" s="1"/>
  <c r="L336" i="2" s="1"/>
  <c r="P335" i="2"/>
  <c r="F335" i="2"/>
  <c r="G335" i="2" s="1"/>
  <c r="L335" i="2" s="1"/>
  <c r="P334" i="2"/>
  <c r="F334" i="2"/>
  <c r="G334" i="2" s="1"/>
  <c r="P333" i="2"/>
  <c r="F333" i="2"/>
  <c r="G333" i="2" s="1"/>
  <c r="P332" i="2"/>
  <c r="F332" i="2"/>
  <c r="P331" i="2"/>
  <c r="F331" i="2"/>
  <c r="G331" i="2" s="1"/>
  <c r="P330" i="2"/>
  <c r="F330" i="2"/>
  <c r="P329" i="2"/>
  <c r="F329" i="2"/>
  <c r="P328" i="2"/>
  <c r="F328" i="2"/>
  <c r="P327" i="2"/>
  <c r="F327" i="2"/>
  <c r="G327" i="2" s="1"/>
  <c r="L327" i="2" s="1"/>
  <c r="P326" i="2"/>
  <c r="F326" i="2"/>
  <c r="P325" i="2"/>
  <c r="F325" i="2"/>
  <c r="G325" i="2" s="1"/>
  <c r="P324" i="2"/>
  <c r="F324" i="2"/>
  <c r="P323" i="2"/>
  <c r="F323" i="2"/>
  <c r="P322" i="2"/>
  <c r="F322" i="2"/>
  <c r="G322" i="2" s="1"/>
  <c r="P321" i="2"/>
  <c r="F321" i="2"/>
  <c r="G321" i="2" s="1"/>
  <c r="P320" i="2"/>
  <c r="F320" i="2"/>
  <c r="G320" i="2" s="1"/>
  <c r="P319" i="2"/>
  <c r="F319" i="2"/>
  <c r="G319" i="2" s="1"/>
  <c r="P318" i="2"/>
  <c r="F318" i="2"/>
  <c r="G318" i="2" s="1"/>
  <c r="P317" i="2"/>
  <c r="F317" i="2"/>
  <c r="P316" i="2"/>
  <c r="F316" i="2"/>
  <c r="P315" i="2"/>
  <c r="G315" i="2"/>
  <c r="L315" i="2" s="1"/>
  <c r="F315" i="2"/>
  <c r="P314" i="2"/>
  <c r="F314" i="2"/>
  <c r="P313" i="2"/>
  <c r="F313" i="2"/>
  <c r="P312" i="2"/>
  <c r="F312" i="2"/>
  <c r="G312" i="2" s="1"/>
  <c r="L312" i="2" s="1"/>
  <c r="P311" i="2"/>
  <c r="F311" i="2"/>
  <c r="P310" i="2"/>
  <c r="F310" i="2"/>
  <c r="P309" i="2"/>
  <c r="F309" i="2"/>
  <c r="G309" i="2" s="1"/>
  <c r="P308" i="2"/>
  <c r="F308" i="2"/>
  <c r="P307" i="2"/>
  <c r="F307" i="2"/>
  <c r="P306" i="2"/>
  <c r="G306" i="2"/>
  <c r="L306" i="2" s="1"/>
  <c r="F306" i="2"/>
  <c r="P305" i="2"/>
  <c r="F305" i="2"/>
  <c r="P304" i="2"/>
  <c r="F304" i="2"/>
  <c r="G304" i="2" s="1"/>
  <c r="P303" i="2"/>
  <c r="F303" i="2"/>
  <c r="G303" i="2" s="1"/>
  <c r="L303" i="2" s="1"/>
  <c r="Q303" i="2" s="1"/>
  <c r="P302" i="2"/>
  <c r="G302" i="2"/>
  <c r="F302" i="2"/>
  <c r="P301" i="2"/>
  <c r="F301" i="2"/>
  <c r="G301" i="2" s="1"/>
  <c r="P300" i="2"/>
  <c r="F300" i="2"/>
  <c r="G300" i="2" s="1"/>
  <c r="L300" i="2" s="1"/>
  <c r="Q300" i="2" s="1"/>
  <c r="P299" i="2"/>
  <c r="F299" i="2"/>
  <c r="G299" i="2" s="1"/>
  <c r="L299" i="2" s="1"/>
  <c r="P298" i="2"/>
  <c r="F298" i="2"/>
  <c r="P297" i="2"/>
  <c r="F297" i="2"/>
  <c r="G297" i="2" s="1"/>
  <c r="P296" i="2"/>
  <c r="F296" i="2"/>
  <c r="G296" i="2" s="1"/>
  <c r="P295" i="2"/>
  <c r="F295" i="2"/>
  <c r="P294" i="2"/>
  <c r="F294" i="2"/>
  <c r="G294" i="2" s="1"/>
  <c r="L294" i="2" s="1"/>
  <c r="P293" i="2"/>
  <c r="F293" i="2"/>
  <c r="G293" i="2" s="1"/>
  <c r="P292" i="2"/>
  <c r="F292" i="2"/>
  <c r="P291" i="2"/>
  <c r="F291" i="2"/>
  <c r="G291" i="2" s="1"/>
  <c r="L291" i="2" s="1"/>
  <c r="P290" i="2"/>
  <c r="G290" i="2"/>
  <c r="F290" i="2"/>
  <c r="P289" i="2"/>
  <c r="F289" i="2"/>
  <c r="G289" i="2" s="1"/>
  <c r="L289" i="2" s="1"/>
  <c r="P288" i="2"/>
  <c r="G288" i="2"/>
  <c r="L288" i="2" s="1"/>
  <c r="F288" i="2"/>
  <c r="P287" i="2"/>
  <c r="F287" i="2"/>
  <c r="G287" i="2" s="1"/>
  <c r="P286" i="2"/>
  <c r="F286" i="2"/>
  <c r="G286" i="2" s="1"/>
  <c r="P285" i="2"/>
  <c r="F285" i="2"/>
  <c r="G285" i="2" s="1"/>
  <c r="P284" i="2"/>
  <c r="F284" i="2"/>
  <c r="P283" i="2"/>
  <c r="F283" i="2"/>
  <c r="G283" i="2" s="1"/>
  <c r="P282" i="2"/>
  <c r="F282" i="2"/>
  <c r="G282" i="2" s="1"/>
  <c r="P281" i="2"/>
  <c r="F281" i="2"/>
  <c r="P280" i="2"/>
  <c r="F280" i="2"/>
  <c r="P279" i="2"/>
  <c r="G279" i="2"/>
  <c r="L279" i="2" s="1"/>
  <c r="F279" i="2"/>
  <c r="P278" i="2"/>
  <c r="F278" i="2"/>
  <c r="P277" i="2"/>
  <c r="F277" i="2"/>
  <c r="G277" i="2" s="1"/>
  <c r="P276" i="2"/>
  <c r="F276" i="2"/>
  <c r="P275" i="2"/>
  <c r="F275" i="2"/>
  <c r="G275" i="2" s="1"/>
  <c r="P274" i="2"/>
  <c r="F274" i="2"/>
  <c r="P273" i="2"/>
  <c r="L273" i="2"/>
  <c r="F273" i="2"/>
  <c r="G273" i="2" s="1"/>
  <c r="P272" i="2"/>
  <c r="F272" i="2"/>
  <c r="P271" i="2"/>
  <c r="F271" i="2"/>
  <c r="P270" i="2"/>
  <c r="F270" i="2"/>
  <c r="G270" i="2" s="1"/>
  <c r="P269" i="2"/>
  <c r="F269" i="2"/>
  <c r="P268" i="2"/>
  <c r="F268" i="2"/>
  <c r="P267" i="2"/>
  <c r="F267" i="2"/>
  <c r="G267" i="2" s="1"/>
  <c r="L267" i="2" s="1"/>
  <c r="P266" i="2"/>
  <c r="G266" i="2"/>
  <c r="F266" i="2"/>
  <c r="P265" i="2"/>
  <c r="F265" i="2"/>
  <c r="G265" i="2" s="1"/>
  <c r="P264" i="2"/>
  <c r="F264" i="2"/>
  <c r="G264" i="2" s="1"/>
  <c r="L264" i="2" s="1"/>
  <c r="P263" i="2"/>
  <c r="F263" i="2"/>
  <c r="P262" i="2"/>
  <c r="F262" i="2"/>
  <c r="P261" i="2"/>
  <c r="F261" i="2"/>
  <c r="G261" i="2" s="1"/>
  <c r="P260" i="2"/>
  <c r="F260" i="2"/>
  <c r="P259" i="2"/>
  <c r="F259" i="2"/>
  <c r="P258" i="2"/>
  <c r="F258" i="2"/>
  <c r="G258" i="2" s="1"/>
  <c r="L258" i="2" s="1"/>
  <c r="P257" i="2"/>
  <c r="F257" i="2"/>
  <c r="P256" i="2"/>
  <c r="F256" i="2"/>
  <c r="G256" i="2" s="1"/>
  <c r="P255" i="2"/>
  <c r="F255" i="2"/>
  <c r="G255" i="2" s="1"/>
  <c r="L255" i="2" s="1"/>
  <c r="P254" i="2"/>
  <c r="F254" i="2"/>
  <c r="G254" i="2" s="1"/>
  <c r="P253" i="2"/>
  <c r="F253" i="2"/>
  <c r="G253" i="2" s="1"/>
  <c r="P252" i="2"/>
  <c r="G252" i="2"/>
  <c r="L252" i="2" s="1"/>
  <c r="F252" i="2"/>
  <c r="P251" i="2"/>
  <c r="F251" i="2"/>
  <c r="P250" i="2"/>
  <c r="F250" i="2"/>
  <c r="P249" i="2"/>
  <c r="F249" i="2"/>
  <c r="G249" i="2" s="1"/>
  <c r="P248" i="2"/>
  <c r="F248" i="2"/>
  <c r="G248" i="2" s="1"/>
  <c r="P247" i="2"/>
  <c r="F247" i="2"/>
  <c r="P246" i="2"/>
  <c r="F246" i="2"/>
  <c r="G246" i="2" s="1"/>
  <c r="P245" i="2"/>
  <c r="F245" i="2"/>
  <c r="G245" i="2" s="1"/>
  <c r="P244" i="2"/>
  <c r="F244" i="2"/>
  <c r="P243" i="2"/>
  <c r="F243" i="2"/>
  <c r="P242" i="2"/>
  <c r="F242" i="2"/>
  <c r="G242" i="2" s="1"/>
  <c r="P241" i="2"/>
  <c r="F241" i="2"/>
  <c r="G241" i="2" s="1"/>
  <c r="L241" i="2" s="1"/>
  <c r="P240" i="2"/>
  <c r="F240" i="2"/>
  <c r="G240" i="2" s="1"/>
  <c r="L240" i="2" s="1"/>
  <c r="P239" i="2"/>
  <c r="L239" i="2"/>
  <c r="F239" i="2"/>
  <c r="G239" i="2" s="1"/>
  <c r="P238" i="2"/>
  <c r="F238" i="2"/>
  <c r="G238" i="2" s="1"/>
  <c r="P237" i="2"/>
  <c r="F237" i="2"/>
  <c r="G237" i="2" s="1"/>
  <c r="P236" i="2"/>
  <c r="F236" i="2"/>
  <c r="P235" i="2"/>
  <c r="F235" i="2"/>
  <c r="G235" i="2" s="1"/>
  <c r="P234" i="2"/>
  <c r="F234" i="2"/>
  <c r="G234" i="2" s="1"/>
  <c r="L234" i="2" s="1"/>
  <c r="P233" i="2"/>
  <c r="F233" i="2"/>
  <c r="P232" i="2"/>
  <c r="F232" i="2"/>
  <c r="P231" i="2"/>
  <c r="F231" i="2"/>
  <c r="G231" i="2" s="1"/>
  <c r="L231" i="2" s="1"/>
  <c r="Q231" i="2" s="1"/>
  <c r="P230" i="2"/>
  <c r="F230" i="2"/>
  <c r="P229" i="2"/>
  <c r="L229" i="2"/>
  <c r="F229" i="2"/>
  <c r="G229" i="2" s="1"/>
  <c r="P228" i="2"/>
  <c r="F228" i="2"/>
  <c r="G228" i="2" s="1"/>
  <c r="P227" i="2"/>
  <c r="F227" i="2"/>
  <c r="G227" i="2" s="1"/>
  <c r="P226" i="2"/>
  <c r="F226" i="2"/>
  <c r="G226" i="2" s="1"/>
  <c r="P225" i="2"/>
  <c r="F225" i="2"/>
  <c r="G225" i="2" s="1"/>
  <c r="P224" i="2"/>
  <c r="F224" i="2"/>
  <c r="P223" i="2"/>
  <c r="L223" i="2"/>
  <c r="F223" i="2"/>
  <c r="G223" i="2" s="1"/>
  <c r="P222" i="2"/>
  <c r="F222" i="2"/>
  <c r="G222" i="2" s="1"/>
  <c r="P221" i="2"/>
  <c r="F221" i="2"/>
  <c r="P220" i="2"/>
  <c r="F220" i="2"/>
  <c r="P219" i="2"/>
  <c r="G219" i="2"/>
  <c r="L219" i="2" s="1"/>
  <c r="F219" i="2"/>
  <c r="P218" i="2"/>
  <c r="G218" i="2"/>
  <c r="F218" i="2"/>
  <c r="P217" i="2"/>
  <c r="F217" i="2"/>
  <c r="P216" i="2"/>
  <c r="F216" i="2"/>
  <c r="G216" i="2" s="1"/>
  <c r="L216" i="2" s="1"/>
  <c r="P215" i="2"/>
  <c r="F215" i="2"/>
  <c r="G215" i="2" s="1"/>
  <c r="P214" i="2"/>
  <c r="F214" i="2"/>
  <c r="P213" i="2"/>
  <c r="F213" i="2"/>
  <c r="G213" i="2" s="1"/>
  <c r="P212" i="2"/>
  <c r="F212" i="2"/>
  <c r="P211" i="2"/>
  <c r="F211" i="2"/>
  <c r="P210" i="2"/>
  <c r="F210" i="2"/>
  <c r="G210" i="2" s="1"/>
  <c r="L210" i="2" s="1"/>
  <c r="P209" i="2"/>
  <c r="F209" i="2"/>
  <c r="G209" i="2" s="1"/>
  <c r="P208" i="2"/>
  <c r="F208" i="2"/>
  <c r="G208" i="2" s="1"/>
  <c r="P207" i="2"/>
  <c r="F207" i="2"/>
  <c r="G207" i="2" s="1"/>
  <c r="L207" i="2" s="1"/>
  <c r="P206" i="2"/>
  <c r="F206" i="2"/>
  <c r="G206" i="2" s="1"/>
  <c r="P205" i="2"/>
  <c r="F205" i="2"/>
  <c r="G205" i="2" s="1"/>
  <c r="P204" i="2"/>
  <c r="F204" i="2"/>
  <c r="G204" i="2" s="1"/>
  <c r="L204" i="2" s="1"/>
  <c r="P203" i="2"/>
  <c r="F203" i="2"/>
  <c r="P202" i="2"/>
  <c r="L202" i="2"/>
  <c r="F202" i="2"/>
  <c r="G202" i="2" s="1"/>
  <c r="P201" i="2"/>
  <c r="F201" i="2"/>
  <c r="G201" i="2" s="1"/>
  <c r="P200" i="2"/>
  <c r="F200" i="2"/>
  <c r="G200" i="2" s="1"/>
  <c r="P199" i="2"/>
  <c r="F199" i="2"/>
  <c r="G199" i="2" s="1"/>
  <c r="P198" i="2"/>
  <c r="F198" i="2"/>
  <c r="P197" i="2"/>
  <c r="G197" i="2"/>
  <c r="F197" i="2"/>
  <c r="P196" i="2"/>
  <c r="F196" i="2"/>
  <c r="G196" i="2" s="1"/>
  <c r="P195" i="2"/>
  <c r="F195" i="2"/>
  <c r="P194" i="2"/>
  <c r="F194" i="2"/>
  <c r="G194" i="2" s="1"/>
  <c r="P193" i="2"/>
  <c r="F193" i="2"/>
  <c r="G193" i="2" s="1"/>
  <c r="P192" i="2"/>
  <c r="F192" i="2"/>
  <c r="G192" i="2" s="1"/>
  <c r="L192" i="2" s="1"/>
  <c r="P191" i="2"/>
  <c r="F191" i="2"/>
  <c r="P190" i="2"/>
  <c r="F190" i="2"/>
  <c r="P189" i="2"/>
  <c r="F189" i="2"/>
  <c r="G189" i="2" s="1"/>
  <c r="P188" i="2"/>
  <c r="F188" i="2"/>
  <c r="P187" i="2"/>
  <c r="F187" i="2"/>
  <c r="G187" i="2" s="1"/>
  <c r="P186" i="2"/>
  <c r="F186" i="2"/>
  <c r="G186" i="2" s="1"/>
  <c r="P185" i="2"/>
  <c r="F185" i="2"/>
  <c r="P184" i="2"/>
  <c r="F184" i="2"/>
  <c r="G184" i="2" s="1"/>
  <c r="P183" i="2"/>
  <c r="F183" i="2"/>
  <c r="P182" i="2"/>
  <c r="F182" i="2"/>
  <c r="P181" i="2"/>
  <c r="F181" i="2"/>
  <c r="G181" i="2" s="1"/>
  <c r="P180" i="2"/>
  <c r="L180" i="2"/>
  <c r="F180" i="2"/>
  <c r="G180" i="2" s="1"/>
  <c r="P179" i="2"/>
  <c r="F179" i="2"/>
  <c r="G179" i="2" s="1"/>
  <c r="L179" i="2" s="1"/>
  <c r="P178" i="2"/>
  <c r="F178" i="2"/>
  <c r="P177" i="2"/>
  <c r="F177" i="2"/>
  <c r="P176" i="2"/>
  <c r="F176" i="2"/>
  <c r="G176" i="2" s="1"/>
  <c r="P175" i="2"/>
  <c r="F175" i="2"/>
  <c r="P174" i="2"/>
  <c r="F174" i="2"/>
  <c r="G174" i="2" s="1"/>
  <c r="L174" i="2" s="1"/>
  <c r="P173" i="2"/>
  <c r="G173" i="2"/>
  <c r="L173" i="2" s="1"/>
  <c r="F173" i="2"/>
  <c r="P172" i="2"/>
  <c r="F172" i="2"/>
  <c r="P171" i="2"/>
  <c r="F171" i="2"/>
  <c r="G171" i="2" s="1"/>
  <c r="P170" i="2"/>
  <c r="F170" i="2"/>
  <c r="P169" i="2"/>
  <c r="F169" i="2"/>
  <c r="G169" i="2" s="1"/>
  <c r="P168" i="2"/>
  <c r="F168" i="2"/>
  <c r="G168" i="2" s="1"/>
  <c r="P167" i="2"/>
  <c r="F167" i="2"/>
  <c r="P166" i="2"/>
  <c r="F166" i="2"/>
  <c r="G166" i="2" s="1"/>
  <c r="P165" i="2"/>
  <c r="F165" i="2"/>
  <c r="P164" i="2"/>
  <c r="F164" i="2"/>
  <c r="G164" i="2" s="1"/>
  <c r="P163" i="2"/>
  <c r="F163" i="2"/>
  <c r="G163" i="2" s="1"/>
  <c r="P162" i="2"/>
  <c r="F162" i="2"/>
  <c r="G162" i="2" s="1"/>
  <c r="L162" i="2" s="1"/>
  <c r="P161" i="2"/>
  <c r="F161" i="2"/>
  <c r="G161" i="2" s="1"/>
  <c r="L161" i="2" s="1"/>
  <c r="P160" i="2"/>
  <c r="F160" i="2"/>
  <c r="P159" i="2"/>
  <c r="F159" i="2"/>
  <c r="G159" i="2" s="1"/>
  <c r="P158" i="2"/>
  <c r="F158" i="2"/>
  <c r="G158" i="2" s="1"/>
  <c r="P157" i="2"/>
  <c r="F157" i="2"/>
  <c r="G157" i="2" s="1"/>
  <c r="P156" i="2"/>
  <c r="F156" i="2"/>
  <c r="G156" i="2" s="1"/>
  <c r="L156" i="2" s="1"/>
  <c r="P155" i="2"/>
  <c r="F155" i="2"/>
  <c r="G155" i="2" s="1"/>
  <c r="P154" i="2"/>
  <c r="F154" i="2"/>
  <c r="P153" i="2"/>
  <c r="F153" i="2"/>
  <c r="P152" i="2"/>
  <c r="G152" i="2"/>
  <c r="F152" i="2"/>
  <c r="P151" i="2"/>
  <c r="F151" i="2"/>
  <c r="P150" i="2"/>
  <c r="F150" i="2"/>
  <c r="P149" i="2"/>
  <c r="F149" i="2"/>
  <c r="P148" i="2"/>
  <c r="F148" i="2"/>
  <c r="G148" i="2" s="1"/>
  <c r="L148" i="2" s="1"/>
  <c r="P147" i="2"/>
  <c r="F147" i="2"/>
  <c r="G147" i="2" s="1"/>
  <c r="P146" i="2"/>
  <c r="F146" i="2"/>
  <c r="P145" i="2"/>
  <c r="F145" i="2"/>
  <c r="G145" i="2" s="1"/>
  <c r="P144" i="2"/>
  <c r="F144" i="2"/>
  <c r="G144" i="2" s="1"/>
  <c r="P143" i="2"/>
  <c r="F143" i="2"/>
  <c r="P142" i="2"/>
  <c r="F142" i="2"/>
  <c r="P141" i="2"/>
  <c r="F141" i="2"/>
  <c r="G141" i="2" s="1"/>
  <c r="P140" i="2"/>
  <c r="F140" i="2"/>
  <c r="G140" i="2" s="1"/>
  <c r="P139" i="2"/>
  <c r="F139" i="2"/>
  <c r="P138" i="2"/>
  <c r="F138" i="2"/>
  <c r="G138" i="2" s="1"/>
  <c r="L138" i="2" s="1"/>
  <c r="P137" i="2"/>
  <c r="F137" i="2"/>
  <c r="G137" i="2" s="1"/>
  <c r="L137" i="2" s="1"/>
  <c r="P136" i="2"/>
  <c r="F136" i="2"/>
  <c r="P135" i="2"/>
  <c r="F135" i="2"/>
  <c r="G135" i="2" s="1"/>
  <c r="P134" i="2"/>
  <c r="F134" i="2"/>
  <c r="G134" i="2" s="1"/>
  <c r="L134" i="2" s="1"/>
  <c r="P133" i="2"/>
  <c r="F133" i="2"/>
  <c r="G133" i="2" s="1"/>
  <c r="P132" i="2"/>
  <c r="F132" i="2"/>
  <c r="G132" i="2" s="1"/>
  <c r="P131" i="2"/>
  <c r="F131" i="2"/>
  <c r="G131" i="2" s="1"/>
  <c r="L131" i="2" s="1"/>
  <c r="P130" i="2"/>
  <c r="F130" i="2"/>
  <c r="P129" i="2"/>
  <c r="F129" i="2"/>
  <c r="G129" i="2" s="1"/>
  <c r="L129" i="2" s="1"/>
  <c r="Q129" i="2" s="1"/>
  <c r="P128" i="2"/>
  <c r="F128" i="2"/>
  <c r="G128" i="2" s="1"/>
  <c r="P127" i="2"/>
  <c r="F127" i="2"/>
  <c r="P126" i="2"/>
  <c r="F126" i="2"/>
  <c r="P125" i="2"/>
  <c r="G125" i="2"/>
  <c r="L125" i="2" s="1"/>
  <c r="Q125" i="2" s="1"/>
  <c r="F125" i="2"/>
  <c r="P124" i="2"/>
  <c r="F124" i="2"/>
  <c r="P123" i="2"/>
  <c r="F123" i="2"/>
  <c r="G123" i="2" s="1"/>
  <c r="P122" i="2"/>
  <c r="F122" i="2"/>
  <c r="P121" i="2"/>
  <c r="L121" i="2"/>
  <c r="F121" i="2"/>
  <c r="G121" i="2" s="1"/>
  <c r="P120" i="2"/>
  <c r="F120" i="2"/>
  <c r="G120" i="2" s="1"/>
  <c r="P119" i="2"/>
  <c r="F119" i="2"/>
  <c r="P118" i="2"/>
  <c r="F118" i="2"/>
  <c r="G118" i="2" s="1"/>
  <c r="P117" i="2"/>
  <c r="F117" i="2"/>
  <c r="P116" i="2"/>
  <c r="F116" i="2"/>
  <c r="G116" i="2" s="1"/>
  <c r="P115" i="2"/>
  <c r="F115" i="2"/>
  <c r="G115" i="2" s="1"/>
  <c r="P114" i="2"/>
  <c r="F114" i="2"/>
  <c r="G114" i="2" s="1"/>
  <c r="L114" i="2" s="1"/>
  <c r="P113" i="2"/>
  <c r="F113" i="2"/>
  <c r="G113" i="2" s="1"/>
  <c r="L113" i="2" s="1"/>
  <c r="P112" i="2"/>
  <c r="F112" i="2"/>
  <c r="P111" i="2"/>
  <c r="F111" i="2"/>
  <c r="G111" i="2" s="1"/>
  <c r="P110" i="2"/>
  <c r="F110" i="2"/>
  <c r="P109" i="2"/>
  <c r="F109" i="2"/>
  <c r="G109" i="2" s="1"/>
  <c r="P108" i="2"/>
  <c r="F108" i="2"/>
  <c r="G108" i="2" s="1"/>
  <c r="P107" i="2"/>
  <c r="F107" i="2"/>
  <c r="G107" i="2" s="1"/>
  <c r="P106" i="2"/>
  <c r="F106" i="2"/>
  <c r="P105" i="2"/>
  <c r="F105" i="2"/>
  <c r="G105" i="2" s="1"/>
  <c r="P104" i="2"/>
  <c r="F104" i="2"/>
  <c r="P103" i="2"/>
  <c r="F103" i="2"/>
  <c r="P102" i="2"/>
  <c r="F102" i="2"/>
  <c r="G102" i="2" s="1"/>
  <c r="L102" i="2" s="1"/>
  <c r="P101" i="2"/>
  <c r="F101" i="2"/>
  <c r="G101" i="2" s="1"/>
  <c r="L101" i="2" s="1"/>
  <c r="Q101" i="2" s="1"/>
  <c r="P100" i="2"/>
  <c r="F100" i="2"/>
  <c r="G100" i="2" s="1"/>
  <c r="L100" i="2" s="1"/>
  <c r="P99" i="2"/>
  <c r="F99" i="2"/>
  <c r="G99" i="2" s="1"/>
  <c r="P98" i="2"/>
  <c r="F98" i="2"/>
  <c r="P97" i="2"/>
  <c r="F97" i="2"/>
  <c r="G97" i="2" s="1"/>
  <c r="P96" i="2"/>
  <c r="F96" i="2"/>
  <c r="P95" i="2"/>
  <c r="F95" i="2"/>
  <c r="G95" i="2" s="1"/>
  <c r="L95" i="2" s="1"/>
  <c r="Q95" i="2" s="1"/>
  <c r="P94" i="2"/>
  <c r="F94" i="2"/>
  <c r="P93" i="2"/>
  <c r="F93" i="2"/>
  <c r="P92" i="2"/>
  <c r="F92" i="2"/>
  <c r="P91" i="2"/>
  <c r="F91" i="2"/>
  <c r="P90" i="2"/>
  <c r="F90" i="2"/>
  <c r="G90" i="2" s="1"/>
  <c r="L90" i="2" s="1"/>
  <c r="P89" i="2"/>
  <c r="F89" i="2"/>
  <c r="P88" i="2"/>
  <c r="F88" i="2"/>
  <c r="P87" i="2"/>
  <c r="F87" i="2"/>
  <c r="G87" i="2" s="1"/>
  <c r="P86" i="2"/>
  <c r="F86" i="2"/>
  <c r="P85" i="2"/>
  <c r="F85" i="2"/>
  <c r="G85" i="2" s="1"/>
  <c r="P84" i="2"/>
  <c r="F84" i="2"/>
  <c r="P83" i="2"/>
  <c r="F83" i="2"/>
  <c r="P82" i="2"/>
  <c r="G82" i="2"/>
  <c r="F82" i="2"/>
  <c r="P81" i="2"/>
  <c r="F81" i="2"/>
  <c r="P80" i="2"/>
  <c r="F80" i="2"/>
  <c r="G80" i="2" s="1"/>
  <c r="L80" i="2" s="1"/>
  <c r="Q80" i="2" s="1"/>
  <c r="P79" i="2"/>
  <c r="F79" i="2"/>
  <c r="P78" i="2"/>
  <c r="F78" i="2"/>
  <c r="P77" i="2"/>
  <c r="G77" i="2"/>
  <c r="F77" i="2"/>
  <c r="P76" i="2"/>
  <c r="F76" i="2"/>
  <c r="P75" i="2"/>
  <c r="F75" i="2"/>
  <c r="G75" i="2" s="1"/>
  <c r="L75" i="2" s="1"/>
  <c r="P74" i="2"/>
  <c r="F74" i="2"/>
  <c r="P73" i="2"/>
  <c r="F73" i="2"/>
  <c r="P72" i="2"/>
  <c r="F72" i="2"/>
  <c r="P71" i="2"/>
  <c r="F71" i="2"/>
  <c r="P70" i="2"/>
  <c r="F70" i="2"/>
  <c r="P69" i="2"/>
  <c r="F69" i="2"/>
  <c r="P68" i="2"/>
  <c r="F68" i="2"/>
  <c r="P67" i="2"/>
  <c r="F67" i="2"/>
  <c r="G67" i="2" s="1"/>
  <c r="P66" i="2"/>
  <c r="F66" i="2"/>
  <c r="P65" i="2"/>
  <c r="F65" i="2"/>
  <c r="P64" i="2"/>
  <c r="F64" i="2"/>
  <c r="P63" i="2"/>
  <c r="F63" i="2"/>
  <c r="G63" i="2" s="1"/>
  <c r="L63" i="2" s="1"/>
  <c r="P62" i="2"/>
  <c r="F62" i="2"/>
  <c r="P61" i="2"/>
  <c r="F61" i="2"/>
  <c r="P60" i="2"/>
  <c r="F60" i="2"/>
  <c r="P59" i="2"/>
  <c r="F59" i="2"/>
  <c r="P58" i="2"/>
  <c r="F58" i="2"/>
  <c r="G58" i="2" s="1"/>
  <c r="P57" i="2"/>
  <c r="F57" i="2"/>
  <c r="P56" i="2"/>
  <c r="F56" i="2"/>
  <c r="G56" i="2" s="1"/>
  <c r="L56" i="2" s="1"/>
  <c r="P55" i="2"/>
  <c r="F55" i="2"/>
  <c r="G55" i="2" s="1"/>
  <c r="P54" i="2"/>
  <c r="F54" i="2"/>
  <c r="P53" i="2"/>
  <c r="G53" i="2"/>
  <c r="L53" i="2" s="1"/>
  <c r="F53" i="2"/>
  <c r="P52" i="2"/>
  <c r="F52" i="2"/>
  <c r="P51" i="2"/>
  <c r="F51" i="2"/>
  <c r="G51" i="2" s="1"/>
  <c r="L51" i="2" s="1"/>
  <c r="P50" i="2"/>
  <c r="F50" i="2"/>
  <c r="P49" i="2"/>
  <c r="F49" i="2"/>
  <c r="P48" i="2"/>
  <c r="F48" i="2"/>
  <c r="P47" i="2"/>
  <c r="F47" i="2"/>
  <c r="P46" i="2"/>
  <c r="F46" i="2"/>
  <c r="P45" i="2"/>
  <c r="F45" i="2"/>
  <c r="G45" i="2" s="1"/>
  <c r="P44" i="2"/>
  <c r="F44" i="2"/>
  <c r="G44" i="2" s="1"/>
  <c r="L44" i="2" s="1"/>
  <c r="P43" i="2"/>
  <c r="F43" i="2"/>
  <c r="P42" i="2"/>
  <c r="F42" i="2"/>
  <c r="P41" i="2"/>
  <c r="F41" i="2"/>
  <c r="G41" i="2" s="1"/>
  <c r="L41" i="2" s="1"/>
  <c r="P40" i="2"/>
  <c r="F40" i="2"/>
  <c r="G40" i="2" s="1"/>
  <c r="P39" i="2"/>
  <c r="F39" i="2"/>
  <c r="G39" i="2" s="1"/>
  <c r="L39" i="2" s="1"/>
  <c r="P38" i="2"/>
  <c r="F38" i="2"/>
  <c r="P37" i="2"/>
  <c r="F37" i="2"/>
  <c r="P36" i="2"/>
  <c r="F36" i="2"/>
  <c r="P35" i="2"/>
  <c r="F35" i="2"/>
  <c r="P34" i="2"/>
  <c r="F34" i="2"/>
  <c r="P33" i="2"/>
  <c r="F33" i="2"/>
  <c r="G33" i="2" s="1"/>
  <c r="P32" i="2"/>
  <c r="F32" i="2"/>
  <c r="G32" i="2" s="1"/>
  <c r="L32" i="2" s="1"/>
  <c r="Q32" i="2" s="1"/>
  <c r="P31" i="2"/>
  <c r="F31" i="2"/>
  <c r="P30" i="2"/>
  <c r="F30" i="2"/>
  <c r="G30" i="2" s="1"/>
  <c r="P29" i="2"/>
  <c r="F29" i="2"/>
  <c r="G29" i="2" s="1"/>
  <c r="L29" i="2" s="1"/>
  <c r="P28" i="2"/>
  <c r="F28" i="2"/>
  <c r="P27" i="2"/>
  <c r="F27" i="2"/>
  <c r="G27" i="2" s="1"/>
  <c r="L27" i="2" s="1"/>
  <c r="P26" i="2"/>
  <c r="F26" i="2"/>
  <c r="P25" i="2"/>
  <c r="F25" i="2"/>
  <c r="P24" i="2"/>
  <c r="F24" i="2"/>
  <c r="P23" i="2"/>
  <c r="F23" i="2"/>
  <c r="P22" i="2"/>
  <c r="F22" i="2"/>
  <c r="G22" i="2" s="1"/>
  <c r="P21" i="2"/>
  <c r="F21" i="2"/>
  <c r="P20" i="2"/>
  <c r="F20" i="2"/>
  <c r="G20" i="2" s="1"/>
  <c r="L20" i="2" s="1"/>
  <c r="P19" i="2"/>
  <c r="F19" i="2"/>
  <c r="G19" i="2" s="1"/>
  <c r="P18" i="2"/>
  <c r="F18" i="2"/>
  <c r="P17" i="2"/>
  <c r="F17" i="2"/>
  <c r="G17" i="2" s="1"/>
  <c r="P16" i="2"/>
  <c r="F16" i="2"/>
  <c r="P15" i="2"/>
  <c r="F15" i="2"/>
  <c r="G15" i="2" s="1"/>
  <c r="L15" i="2" s="1"/>
  <c r="P14" i="2"/>
  <c r="F14" i="2"/>
  <c r="P13" i="2"/>
  <c r="F13" i="2"/>
  <c r="P12" i="2"/>
  <c r="F12" i="2"/>
  <c r="P11" i="2"/>
  <c r="F11" i="2"/>
  <c r="P10" i="2"/>
  <c r="G10" i="2"/>
  <c r="F10" i="2"/>
  <c r="P9" i="2"/>
  <c r="F9" i="2"/>
  <c r="G9" i="2" s="1"/>
  <c r="P8" i="2"/>
  <c r="F8" i="2"/>
  <c r="G8" i="2" s="1"/>
  <c r="L8" i="2" s="1"/>
  <c r="Q8" i="2" s="1"/>
  <c r="P7" i="2"/>
  <c r="F7" i="2"/>
  <c r="G7" i="2" s="1"/>
  <c r="P6" i="2"/>
  <c r="F6" i="2"/>
  <c r="P5" i="2"/>
  <c r="F5" i="2"/>
  <c r="G5" i="2" s="1"/>
  <c r="L5" i="2" s="1"/>
  <c r="Q5" i="2" s="1"/>
  <c r="P4" i="2"/>
  <c r="F4" i="2"/>
  <c r="G4" i="2" s="1"/>
  <c r="P3" i="2"/>
  <c r="F3" i="2"/>
  <c r="G3" i="2" s="1"/>
  <c r="L3" i="2" s="1"/>
  <c r="P2" i="2"/>
  <c r="F2" i="2"/>
  <c r="Q15" i="2" l="1"/>
  <c r="G600" i="2"/>
  <c r="L600" i="2" s="1"/>
  <c r="Q600" i="2" s="1"/>
  <c r="G638" i="2"/>
  <c r="L638" i="2" s="1"/>
  <c r="Q638" i="2" s="1"/>
  <c r="Q726" i="2"/>
  <c r="Q90" i="2"/>
  <c r="Q204" i="2"/>
  <c r="Q210" i="2"/>
  <c r="Q384" i="2"/>
  <c r="L571" i="2"/>
  <c r="Q732" i="2"/>
  <c r="Q102" i="2"/>
  <c r="Q148" i="2"/>
  <c r="Q327" i="2"/>
  <c r="Q456" i="2"/>
  <c r="Q461" i="2"/>
  <c r="Q551" i="2"/>
  <c r="Q606" i="2"/>
  <c r="Q612" i="2"/>
  <c r="Q618" i="2"/>
  <c r="Q623" i="2"/>
  <c r="Q652" i="2"/>
  <c r="L261" i="2"/>
  <c r="Q261" i="2" s="1"/>
  <c r="L283" i="2"/>
  <c r="Q283" i="2" s="1"/>
  <c r="L390" i="2"/>
  <c r="Q390" i="2" s="1"/>
  <c r="L644" i="2"/>
  <c r="Q644" i="2" s="1"/>
  <c r="L200" i="2"/>
  <c r="L40" i="2"/>
  <c r="Q63" i="2"/>
  <c r="Q75" i="2"/>
  <c r="Q138" i="2"/>
  <c r="Q289" i="2"/>
  <c r="Q485" i="2"/>
  <c r="Q491" i="2"/>
  <c r="Q497" i="2"/>
  <c r="G635" i="2"/>
  <c r="L635" i="2" s="1"/>
  <c r="Q635" i="2" s="1"/>
  <c r="G644" i="2"/>
  <c r="Q121" i="2"/>
  <c r="Q161" i="2"/>
  <c r="Q239" i="2"/>
  <c r="Q273" i="2"/>
  <c r="Q431" i="2"/>
  <c r="Q468" i="2"/>
  <c r="Q548" i="2"/>
  <c r="Q41" i="2"/>
  <c r="Q173" i="2"/>
  <c r="Q306" i="2"/>
  <c r="Q312" i="2"/>
  <c r="Q347" i="2"/>
  <c r="Q442" i="2"/>
  <c r="Q564" i="2"/>
  <c r="Q162" i="2"/>
  <c r="Q336" i="2"/>
  <c r="Q464" i="2"/>
  <c r="Q549" i="2"/>
  <c r="L577" i="2"/>
  <c r="Q577" i="2" s="1"/>
  <c r="Q609" i="2"/>
  <c r="Q660" i="2"/>
  <c r="Q53" i="2"/>
  <c r="Q174" i="2"/>
  <c r="Q252" i="2"/>
  <c r="Q258" i="2"/>
  <c r="Q449" i="2"/>
  <c r="Q100" i="2"/>
  <c r="Q241" i="2"/>
  <c r="Q291" i="2"/>
  <c r="Q348" i="2"/>
  <c r="Q354" i="2"/>
  <c r="Q360" i="2"/>
  <c r="Q399" i="2"/>
  <c r="L438" i="2"/>
  <c r="Q438" i="2" s="1"/>
  <c r="Q476" i="2"/>
  <c r="L570" i="2"/>
  <c r="Q570" i="2" s="1"/>
  <c r="L574" i="2"/>
  <c r="G639" i="2"/>
  <c r="L382" i="2"/>
  <c r="Q382" i="2" s="1"/>
  <c r="L495" i="2"/>
  <c r="Q495" i="2" s="1"/>
  <c r="G647" i="2"/>
  <c r="L647" i="2" s="1"/>
  <c r="Q647" i="2" s="1"/>
  <c r="L665" i="2"/>
  <c r="Q665" i="2" s="1"/>
  <c r="L225" i="2"/>
  <c r="Q225" i="2" s="1"/>
  <c r="L4" i="2"/>
  <c r="Q4" i="2" s="1"/>
  <c r="Q20" i="2"/>
  <c r="Q113" i="2"/>
  <c r="Q156" i="2"/>
  <c r="Q200" i="2"/>
  <c r="Q216" i="2"/>
  <c r="Q264" i="2"/>
  <c r="Q279" i="2"/>
  <c r="Q437" i="2"/>
  <c r="Q512" i="2"/>
  <c r="L533" i="2"/>
  <c r="Q533" i="2" s="1"/>
  <c r="G557" i="2"/>
  <c r="L557" i="2" s="1"/>
  <c r="Q557" i="2" s="1"/>
  <c r="G587" i="2"/>
  <c r="L587" i="2" s="1"/>
  <c r="Q587" i="2" s="1"/>
  <c r="G597" i="2"/>
  <c r="L597" i="2" s="1"/>
  <c r="Q597" i="2" s="1"/>
  <c r="G636" i="2"/>
  <c r="G712" i="2"/>
  <c r="L712" i="2" s="1"/>
  <c r="Q712" i="2" s="1"/>
  <c r="L737" i="2"/>
  <c r="Q737" i="2" s="1"/>
  <c r="L707" i="2"/>
  <c r="Q707" i="2" s="1"/>
  <c r="Q571" i="2"/>
  <c r="L636" i="2"/>
  <c r="Q636" i="2" s="1"/>
  <c r="Q671" i="2"/>
  <c r="L708" i="2"/>
  <c r="Q708" i="2" s="1"/>
  <c r="G52" i="2"/>
  <c r="L52" i="2" s="1"/>
  <c r="Q52" i="2" s="1"/>
  <c r="G643" i="2"/>
  <c r="G76" i="2"/>
  <c r="L76" i="2" s="1"/>
  <c r="Q76" i="2" s="1"/>
  <c r="L97" i="2"/>
  <c r="Q97" i="2" s="1"/>
  <c r="Q114" i="2"/>
  <c r="Q179" i="2"/>
  <c r="L296" i="2"/>
  <c r="Q296" i="2" s="1"/>
  <c r="L334" i="2"/>
  <c r="Q334" i="2" s="1"/>
  <c r="Q474" i="2"/>
  <c r="L568" i="2"/>
  <c r="Q568" i="2" s="1"/>
  <c r="L575" i="2"/>
  <c r="Q575" i="2" s="1"/>
  <c r="G593" i="2"/>
  <c r="L593" i="2" s="1"/>
  <c r="Q593" i="2" s="1"/>
  <c r="G633" i="2"/>
  <c r="L704" i="2"/>
  <c r="Q704" i="2" s="1"/>
  <c r="Q752" i="2"/>
  <c r="L324" i="2"/>
  <c r="Q324" i="2" s="1"/>
  <c r="Q648" i="2"/>
  <c r="Q677" i="2"/>
  <c r="L700" i="2"/>
  <c r="Q700" i="2" s="1"/>
  <c r="Q728" i="2"/>
  <c r="Q738" i="2"/>
  <c r="G521" i="2"/>
  <c r="L521" i="2" s="1"/>
  <c r="Q521" i="2" s="1"/>
  <c r="Q39" i="2"/>
  <c r="Q44" i="2"/>
  <c r="L77" i="2"/>
  <c r="Q77" i="2" s="1"/>
  <c r="Q137" i="2"/>
  <c r="L147" i="2"/>
  <c r="Q147" i="2" s="1"/>
  <c r="Q207" i="2"/>
  <c r="L228" i="2"/>
  <c r="Q228" i="2" s="1"/>
  <c r="Q255" i="2"/>
  <c r="G276" i="2"/>
  <c r="L276" i="2" s="1"/>
  <c r="Q276" i="2" s="1"/>
  <c r="G324" i="2"/>
  <c r="Q335" i="2"/>
  <c r="Q395" i="2"/>
  <c r="Q492" i="2"/>
  <c r="L503" i="2"/>
  <c r="Q503" i="2" s="1"/>
  <c r="Q534" i="2"/>
  <c r="Q714" i="2"/>
  <c r="L719" i="2"/>
  <c r="Q719" i="2" s="1"/>
  <c r="Q744" i="2"/>
  <c r="Q192" i="2"/>
  <c r="Q202" i="2"/>
  <c r="Q223" i="2"/>
  <c r="Q406" i="2"/>
  <c r="Q411" i="2"/>
  <c r="Q444" i="2"/>
  <c r="L460" i="2"/>
  <c r="Q460" i="2" s="1"/>
  <c r="Q498" i="2"/>
  <c r="Q524" i="2"/>
  <c r="L576" i="2"/>
  <c r="L579" i="2"/>
  <c r="Q579" i="2" s="1"/>
  <c r="Q584" i="2"/>
  <c r="Q634" i="2"/>
  <c r="Q645" i="2"/>
  <c r="Q653" i="2"/>
  <c r="Q668" i="2"/>
  <c r="Q678" i="2"/>
  <c r="Q684" i="2"/>
  <c r="L705" i="2"/>
  <c r="Q705" i="2" s="1"/>
  <c r="Q729" i="2"/>
  <c r="L749" i="2"/>
  <c r="Q749" i="2" s="1"/>
  <c r="L537" i="2"/>
  <c r="Q537" i="2" s="1"/>
  <c r="G177" i="2"/>
  <c r="L177" i="2" s="1"/>
  <c r="Q177" i="2" s="1"/>
  <c r="L520" i="2"/>
  <c r="Q520" i="2" s="1"/>
  <c r="L569" i="2"/>
  <c r="Q569" i="2" s="1"/>
  <c r="Q624" i="2"/>
  <c r="Q642" i="2"/>
  <c r="L659" i="2"/>
  <c r="Q659" i="2" s="1"/>
  <c r="Q696" i="2"/>
  <c r="L441" i="2"/>
  <c r="Q441" i="2" s="1"/>
  <c r="G532" i="2"/>
  <c r="L532" i="2" s="1"/>
  <c r="Q532" i="2" s="1"/>
  <c r="Q29" i="2"/>
  <c r="Q56" i="2"/>
  <c r="L99" i="2"/>
  <c r="Q99" i="2" s="1"/>
  <c r="Q234" i="2"/>
  <c r="Q267" i="2"/>
  <c r="L277" i="2"/>
  <c r="Q277" i="2" s="1"/>
  <c r="L325" i="2"/>
  <c r="Q325" i="2" s="1"/>
  <c r="Q488" i="2"/>
  <c r="Q525" i="2"/>
  <c r="Q536" i="2"/>
  <c r="L573" i="2"/>
  <c r="Q573" i="2" s="1"/>
  <c r="Q630" i="2"/>
  <c r="Q664" i="2"/>
  <c r="L669" i="2"/>
  <c r="Q669" i="2" s="1"/>
  <c r="Q40" i="2"/>
  <c r="Q229" i="2"/>
  <c r="Q240" i="2"/>
  <c r="Q288" i="2"/>
  <c r="Q299" i="2"/>
  <c r="Q315" i="2"/>
  <c r="Q337" i="2"/>
  <c r="Q342" i="2"/>
  <c r="Q375" i="2"/>
  <c r="Q510" i="2"/>
  <c r="Q546" i="2"/>
  <c r="L556" i="2"/>
  <c r="Q556" i="2" s="1"/>
  <c r="L561" i="2"/>
  <c r="Q561" i="2" s="1"/>
  <c r="Q620" i="2"/>
  <c r="Q701" i="2"/>
  <c r="L716" i="2"/>
  <c r="Q716" i="2" s="1"/>
  <c r="Q720" i="2"/>
  <c r="L16" i="2"/>
  <c r="Q16" i="2" s="1"/>
  <c r="L126" i="2"/>
  <c r="Q126" i="2" s="1"/>
  <c r="Q3" i="2"/>
  <c r="G16" i="2"/>
  <c r="Q51" i="2"/>
  <c r="G64" i="2"/>
  <c r="L64" i="2" s="1"/>
  <c r="Q64" i="2" s="1"/>
  <c r="L107" i="2"/>
  <c r="Q107" i="2" s="1"/>
  <c r="L111" i="2"/>
  <c r="Q111" i="2" s="1"/>
  <c r="L133" i="2"/>
  <c r="Q133" i="2" s="1"/>
  <c r="G150" i="2"/>
  <c r="L150" i="2" s="1"/>
  <c r="Q150" i="2" s="1"/>
  <c r="G172" i="2"/>
  <c r="L172" i="2" s="1"/>
  <c r="Q172" i="2" s="1"/>
  <c r="G190" i="2"/>
  <c r="L190" i="2" s="1"/>
  <c r="Q190" i="2" s="1"/>
  <c r="L235" i="2"/>
  <c r="Q235" i="2" s="1"/>
  <c r="G243" i="2"/>
  <c r="L243" i="2" s="1"/>
  <c r="Q243" i="2" s="1"/>
  <c r="L266" i="2"/>
  <c r="Q266" i="2" s="1"/>
  <c r="L275" i="2"/>
  <c r="Q275" i="2" s="1"/>
  <c r="L379" i="2"/>
  <c r="Q379" i="2" s="1"/>
  <c r="L397" i="2"/>
  <c r="Q397" i="2" s="1"/>
  <c r="L409" i="2"/>
  <c r="Q409" i="2" s="1"/>
  <c r="L453" i="2"/>
  <c r="Q453" i="2" s="1"/>
  <c r="L486" i="2"/>
  <c r="Q486" i="2" s="1"/>
  <c r="G508" i="2"/>
  <c r="L508" i="2" s="1"/>
  <c r="Q508" i="2" s="1"/>
  <c r="G528" i="2"/>
  <c r="L528" i="2" s="1"/>
  <c r="Q528" i="2" s="1"/>
  <c r="Q539" i="2"/>
  <c r="Q563" i="2"/>
  <c r="Q582" i="2"/>
  <c r="G658" i="2"/>
  <c r="L658" i="2" s="1"/>
  <c r="Q658" i="2" s="1"/>
  <c r="L673" i="2"/>
  <c r="Q673" i="2" s="1"/>
  <c r="G688" i="2"/>
  <c r="L688" i="2" s="1"/>
  <c r="Q688" i="2" s="1"/>
  <c r="G692" i="2"/>
  <c r="L692" i="2" s="1"/>
  <c r="Q692" i="2" s="1"/>
  <c r="G695" i="2"/>
  <c r="L695" i="2" s="1"/>
  <c r="Q695" i="2" s="1"/>
  <c r="G713" i="2"/>
  <c r="L713" i="2" s="1"/>
  <c r="Q713" i="2" s="1"/>
  <c r="L742" i="2"/>
  <c r="Q742" i="2" s="1"/>
  <c r="G753" i="2"/>
  <c r="L753" i="2" s="1"/>
  <c r="Q753" i="2" s="1"/>
  <c r="L440" i="2"/>
  <c r="Q440" i="2" s="1"/>
  <c r="L586" i="2"/>
  <c r="Q586" i="2" s="1"/>
  <c r="L590" i="2"/>
  <c r="Q590" i="2" s="1"/>
  <c r="L301" i="2"/>
  <c r="Q301" i="2" s="1"/>
  <c r="G46" i="2"/>
  <c r="L46" i="2" s="1"/>
  <c r="Q46" i="2" s="1"/>
  <c r="G68" i="2"/>
  <c r="L68" i="2" s="1"/>
  <c r="Q68" i="2" s="1"/>
  <c r="Q134" i="2"/>
  <c r="L155" i="2"/>
  <c r="Q155" i="2" s="1"/>
  <c r="L159" i="2"/>
  <c r="Q159" i="2" s="1"/>
  <c r="L181" i="2"/>
  <c r="Q181" i="2" s="1"/>
  <c r="L215" i="2"/>
  <c r="Q215" i="2" s="1"/>
  <c r="L248" i="2"/>
  <c r="Q248" i="2" s="1"/>
  <c r="L302" i="2"/>
  <c r="Q302" i="2" s="1"/>
  <c r="L398" i="2"/>
  <c r="Q398" i="2" s="1"/>
  <c r="L410" i="2"/>
  <c r="Q410" i="2" s="1"/>
  <c r="L414" i="2"/>
  <c r="Q414" i="2" s="1"/>
  <c r="L419" i="2"/>
  <c r="Q419" i="2" s="1"/>
  <c r="G423" i="2"/>
  <c r="L423" i="2" s="1"/>
  <c r="Q423" i="2" s="1"/>
  <c r="L432" i="2"/>
  <c r="Q504" i="2"/>
  <c r="G540" i="2"/>
  <c r="L540" i="2" s="1"/>
  <c r="Q540" i="2" s="1"/>
  <c r="Q552" i="2"/>
  <c r="G590" i="2"/>
  <c r="Q594" i="2"/>
  <c r="G598" i="2"/>
  <c r="L598" i="2" s="1"/>
  <c r="Q598" i="2" s="1"/>
  <c r="G601" i="2"/>
  <c r="L601" i="2" s="1"/>
  <c r="Q601" i="2" s="1"/>
  <c r="G605" i="2"/>
  <c r="L605" i="2" s="1"/>
  <c r="Q605" i="2" s="1"/>
  <c r="L670" i="2"/>
  <c r="Q670" i="2" s="1"/>
  <c r="G681" i="2"/>
  <c r="L681" i="2" s="1"/>
  <c r="Q681" i="2" s="1"/>
  <c r="G746" i="2"/>
  <c r="L746" i="2" s="1"/>
  <c r="Q746" i="2" s="1"/>
  <c r="Q750" i="2"/>
  <c r="L7" i="2"/>
  <c r="Q7" i="2" s="1"/>
  <c r="L55" i="2"/>
  <c r="Q55" i="2" s="1"/>
  <c r="L674" i="2"/>
  <c r="Q674" i="2" s="1"/>
  <c r="L34" i="2"/>
  <c r="Q34" i="2" s="1"/>
  <c r="G65" i="2"/>
  <c r="L65" i="2" s="1"/>
  <c r="Q65" i="2" s="1"/>
  <c r="G73" i="2"/>
  <c r="L73" i="2" s="1"/>
  <c r="Q73" i="2" s="1"/>
  <c r="G81" i="2"/>
  <c r="L81" i="2" s="1"/>
  <c r="Q81" i="2" s="1"/>
  <c r="G86" i="2"/>
  <c r="L86" i="2" s="1"/>
  <c r="Q86" i="2" s="1"/>
  <c r="G96" i="2"/>
  <c r="L96" i="2" s="1"/>
  <c r="Q96" i="2" s="1"/>
  <c r="L108" i="2"/>
  <c r="Q108" i="2" s="1"/>
  <c r="G126" i="2"/>
  <c r="L187" i="2"/>
  <c r="Q187" i="2" s="1"/>
  <c r="G191" i="2"/>
  <c r="L191" i="2" s="1"/>
  <c r="Q191" i="2" s="1"/>
  <c r="L199" i="2"/>
  <c r="Q199" i="2" s="1"/>
  <c r="G203" i="2"/>
  <c r="L203" i="2" s="1"/>
  <c r="Q203" i="2" s="1"/>
  <c r="Q219" i="2"/>
  <c r="G224" i="2"/>
  <c r="L224" i="2" s="1"/>
  <c r="Q224" i="2" s="1"/>
  <c r="G272" i="2"/>
  <c r="L272" i="2" s="1"/>
  <c r="Q272" i="2" s="1"/>
  <c r="L321" i="2"/>
  <c r="Q321" i="2" s="1"/>
  <c r="G339" i="2"/>
  <c r="L339" i="2" s="1"/>
  <c r="Q339" i="2" s="1"/>
  <c r="L357" i="2"/>
  <c r="Q357" i="2" s="1"/>
  <c r="G362" i="2"/>
  <c r="L362" i="2" s="1"/>
  <c r="Q362" i="2" s="1"/>
  <c r="L407" i="2"/>
  <c r="Q407" i="2" s="1"/>
  <c r="L450" i="2"/>
  <c r="Q450" i="2" s="1"/>
  <c r="G454" i="2"/>
  <c r="L454" i="2" s="1"/>
  <c r="Q454" i="2" s="1"/>
  <c r="L483" i="2"/>
  <c r="Q483" i="2" s="1"/>
  <c r="G501" i="2"/>
  <c r="L501" i="2" s="1"/>
  <c r="Q501" i="2" s="1"/>
  <c r="G509" i="2"/>
  <c r="L509" i="2" s="1"/>
  <c r="Q509" i="2" s="1"/>
  <c r="G572" i="2"/>
  <c r="L572" i="2" s="1"/>
  <c r="Q572" i="2" s="1"/>
  <c r="G580" i="2"/>
  <c r="L580" i="2" s="1"/>
  <c r="Q580" i="2" s="1"/>
  <c r="G628" i="2"/>
  <c r="L628" i="2" s="1"/>
  <c r="Q628" i="2" s="1"/>
  <c r="G632" i="2"/>
  <c r="L632" i="2" s="1"/>
  <c r="Q632" i="2" s="1"/>
  <c r="G637" i="2"/>
  <c r="L637" i="2" s="1"/>
  <c r="Q637" i="2" s="1"/>
  <c r="G640" i="2"/>
  <c r="L640" i="2" s="1"/>
  <c r="Q640" i="2" s="1"/>
  <c r="G674" i="2"/>
  <c r="G685" i="2"/>
  <c r="L685" i="2" s="1"/>
  <c r="Q685" i="2" s="1"/>
  <c r="G689" i="2"/>
  <c r="L689" i="2" s="1"/>
  <c r="Q689" i="2" s="1"/>
  <c r="G736" i="2"/>
  <c r="L736" i="2" s="1"/>
  <c r="Q736" i="2" s="1"/>
  <c r="G740" i="2"/>
  <c r="L740" i="2" s="1"/>
  <c r="Q740" i="2" s="1"/>
  <c r="G743" i="2"/>
  <c r="L743" i="2" s="1"/>
  <c r="Q743" i="2" s="1"/>
  <c r="G754" i="2"/>
  <c r="L754" i="2" s="1"/>
  <c r="Q754" i="2" s="1"/>
  <c r="L709" i="2"/>
  <c r="Q709" i="2" s="1"/>
  <c r="L33" i="2"/>
  <c r="Q33" i="2" s="1"/>
  <c r="L17" i="2"/>
  <c r="Q17" i="2" s="1"/>
  <c r="G21" i="2"/>
  <c r="L21" i="2" s="1"/>
  <c r="Q21" i="2" s="1"/>
  <c r="G34" i="2"/>
  <c r="G43" i="2"/>
  <c r="L43" i="2" s="1"/>
  <c r="Q43" i="2" s="1"/>
  <c r="G104" i="2"/>
  <c r="L104" i="2" s="1"/>
  <c r="Q104" i="2" s="1"/>
  <c r="L135" i="2"/>
  <c r="Q135" i="2" s="1"/>
  <c r="L169" i="2"/>
  <c r="Q169" i="2" s="1"/>
  <c r="L237" i="2"/>
  <c r="Q237" i="2" s="1"/>
  <c r="G372" i="2"/>
  <c r="L372" i="2" s="1"/>
  <c r="Q372" i="2" s="1"/>
  <c r="G420" i="2"/>
  <c r="L420" i="2" s="1"/>
  <c r="Q420" i="2" s="1"/>
  <c r="G428" i="2"/>
  <c r="L428" i="2" s="1"/>
  <c r="Q428" i="2" s="1"/>
  <c r="G479" i="2"/>
  <c r="L479" i="2" s="1"/>
  <c r="Q479" i="2" s="1"/>
  <c r="G526" i="2"/>
  <c r="L526" i="2" s="1"/>
  <c r="Q526" i="2" s="1"/>
  <c r="G545" i="2"/>
  <c r="L545" i="2" s="1"/>
  <c r="Q545" i="2" s="1"/>
  <c r="G599" i="2"/>
  <c r="L599" i="2" s="1"/>
  <c r="Q599" i="2" s="1"/>
  <c r="G602" i="2"/>
  <c r="L602" i="2" s="1"/>
  <c r="Q602" i="2" s="1"/>
  <c r="G610" i="2"/>
  <c r="L610" i="2" s="1"/>
  <c r="Q610" i="2" s="1"/>
  <c r="G613" i="2"/>
  <c r="L613" i="2" s="1"/>
  <c r="Q613" i="2" s="1"/>
  <c r="G617" i="2"/>
  <c r="L617" i="2" s="1"/>
  <c r="Q617" i="2" s="1"/>
  <c r="G693" i="2"/>
  <c r="L693" i="2" s="1"/>
  <c r="Q693" i="2" s="1"/>
  <c r="G718" i="2"/>
  <c r="L718" i="2" s="1"/>
  <c r="Q718" i="2" s="1"/>
  <c r="G721" i="2"/>
  <c r="L721" i="2" s="1"/>
  <c r="Q721" i="2" s="1"/>
  <c r="G725" i="2"/>
  <c r="L725" i="2" s="1"/>
  <c r="Q725" i="2" s="1"/>
  <c r="Q27" i="2"/>
  <c r="G69" i="2"/>
  <c r="L69" i="2" s="1"/>
  <c r="Q69" i="2" s="1"/>
  <c r="L82" i="2"/>
  <c r="Q82" i="2" s="1"/>
  <c r="L87" i="2"/>
  <c r="Q87" i="2" s="1"/>
  <c r="Q131" i="2"/>
  <c r="L140" i="2"/>
  <c r="Q140" i="2" s="1"/>
  <c r="L144" i="2"/>
  <c r="Q144" i="2" s="1"/>
  <c r="L152" i="2"/>
  <c r="Q152" i="2" s="1"/>
  <c r="L254" i="2"/>
  <c r="Q254" i="2" s="1"/>
  <c r="L286" i="2"/>
  <c r="Q286" i="2" s="1"/>
  <c r="Q294" i="2"/>
  <c r="G326" i="2"/>
  <c r="L326" i="2" s="1"/>
  <c r="Q326" i="2" s="1"/>
  <c r="L331" i="2"/>
  <c r="Q331" i="2" s="1"/>
  <c r="G349" i="2"/>
  <c r="L349" i="2" s="1"/>
  <c r="Q349" i="2" s="1"/>
  <c r="G424" i="2"/>
  <c r="L424" i="2" s="1"/>
  <c r="Q424" i="2" s="1"/>
  <c r="G514" i="2"/>
  <c r="L514" i="2" s="1"/>
  <c r="Q514" i="2" s="1"/>
  <c r="Q522" i="2"/>
  <c r="L538" i="2"/>
  <c r="Q538" i="2" s="1"/>
  <c r="L550" i="2"/>
  <c r="Q550" i="2" s="1"/>
  <c r="L562" i="2"/>
  <c r="Q562" i="2" s="1"/>
  <c r="L646" i="2"/>
  <c r="Q646" i="2" s="1"/>
  <c r="L649" i="2"/>
  <c r="Q649" i="2" s="1"/>
  <c r="G682" i="2"/>
  <c r="L682" i="2" s="1"/>
  <c r="Q682" i="2" s="1"/>
  <c r="L697" i="2"/>
  <c r="Q697" i="2" s="1"/>
  <c r="L205" i="2"/>
  <c r="Q205" i="2" s="1"/>
  <c r="L413" i="2"/>
  <c r="Q413" i="2" s="1"/>
  <c r="L57" i="2"/>
  <c r="Q57" i="2" s="1"/>
  <c r="Q690" i="2"/>
  <c r="L722" i="2"/>
  <c r="Q722" i="2" s="1"/>
  <c r="L733" i="2"/>
  <c r="Q733" i="2" s="1"/>
  <c r="G149" i="2"/>
  <c r="L149" i="2" s="1"/>
  <c r="Q149" i="2" s="1"/>
  <c r="L238" i="2"/>
  <c r="Q238" i="2" s="1"/>
  <c r="G527" i="2"/>
  <c r="L527" i="2" s="1"/>
  <c r="Q527" i="2" s="1"/>
  <c r="G585" i="2"/>
  <c r="L585" i="2" s="1"/>
  <c r="Q585" i="2" s="1"/>
  <c r="G588" i="2"/>
  <c r="L588" i="2" s="1"/>
  <c r="Q588" i="2" s="1"/>
  <c r="G611" i="2"/>
  <c r="L611" i="2" s="1"/>
  <c r="Q611" i="2" s="1"/>
  <c r="G614" i="2"/>
  <c r="L614" i="2" s="1"/>
  <c r="Q614" i="2" s="1"/>
  <c r="G625" i="2"/>
  <c r="L625" i="2" s="1"/>
  <c r="Q625" i="2" s="1"/>
  <c r="G629" i="2"/>
  <c r="L629" i="2" s="1"/>
  <c r="Q629" i="2" s="1"/>
  <c r="G657" i="2"/>
  <c r="L657" i="2" s="1"/>
  <c r="Q657" i="2" s="1"/>
  <c r="L706" i="2"/>
  <c r="Q706" i="2" s="1"/>
  <c r="L22" i="2"/>
  <c r="Q22" i="2" s="1"/>
  <c r="G57" i="2"/>
  <c r="G28" i="2"/>
  <c r="L28" i="2" s="1"/>
  <c r="Q28" i="2" s="1"/>
  <c r="G70" i="2"/>
  <c r="L70" i="2" s="1"/>
  <c r="Q70" i="2" s="1"/>
  <c r="G110" i="2"/>
  <c r="L110" i="2" s="1"/>
  <c r="Q110" i="2" s="1"/>
  <c r="L132" i="2"/>
  <c r="Q132" i="2" s="1"/>
  <c r="L145" i="2"/>
  <c r="Q145" i="2" s="1"/>
  <c r="L189" i="2"/>
  <c r="Q189" i="2" s="1"/>
  <c r="L246" i="2"/>
  <c r="Q246" i="2" s="1"/>
  <c r="G251" i="2"/>
  <c r="L251" i="2" s="1"/>
  <c r="Q251" i="2" s="1"/>
  <c r="L287" i="2"/>
  <c r="Q287" i="2" s="1"/>
  <c r="G350" i="2"/>
  <c r="L350" i="2" s="1"/>
  <c r="Q350" i="2" s="1"/>
  <c r="L373" i="2"/>
  <c r="Q373" i="2" s="1"/>
  <c r="G412" i="2"/>
  <c r="L412" i="2" s="1"/>
  <c r="Q412" i="2" s="1"/>
  <c r="G425" i="2"/>
  <c r="L425" i="2" s="1"/>
  <c r="Q425" i="2" s="1"/>
  <c r="G472" i="2"/>
  <c r="L472" i="2" s="1"/>
  <c r="Q472" i="2" s="1"/>
  <c r="L480" i="2"/>
  <c r="Q480" i="2" s="1"/>
  <c r="G515" i="2"/>
  <c r="L515" i="2" s="1"/>
  <c r="Q515" i="2" s="1"/>
  <c r="G581" i="2"/>
  <c r="L581" i="2" s="1"/>
  <c r="Q581" i="2" s="1"/>
  <c r="L622" i="2"/>
  <c r="Q622" i="2" s="1"/>
  <c r="L650" i="2"/>
  <c r="Q650" i="2" s="1"/>
  <c r="L661" i="2"/>
  <c r="Q661" i="2" s="1"/>
  <c r="G676" i="2"/>
  <c r="L676" i="2" s="1"/>
  <c r="Q676" i="2" s="1"/>
  <c r="G680" i="2"/>
  <c r="L680" i="2" s="1"/>
  <c r="Q680" i="2" s="1"/>
  <c r="G683" i="2"/>
  <c r="L683" i="2" s="1"/>
  <c r="Q683" i="2" s="1"/>
  <c r="G694" i="2"/>
  <c r="L694" i="2" s="1"/>
  <c r="Q694" i="2" s="1"/>
  <c r="G741" i="2"/>
  <c r="L741" i="2" s="1"/>
  <c r="Q741" i="2" s="1"/>
  <c r="L374" i="2"/>
  <c r="Q374" i="2" s="1"/>
  <c r="L426" i="2"/>
  <c r="Q426" i="2" s="1"/>
  <c r="L9" i="2"/>
  <c r="Q9" i="2" s="1"/>
  <c r="L105" i="2"/>
  <c r="Q105" i="2" s="1"/>
  <c r="G31" i="2"/>
  <c r="L31" i="2" s="1"/>
  <c r="Q31" i="2" s="1"/>
  <c r="L10" i="2"/>
  <c r="Q10" i="2" s="1"/>
  <c r="L19" i="2"/>
  <c r="Q19" i="2" s="1"/>
  <c r="L45" i="2"/>
  <c r="Q45" i="2" s="1"/>
  <c r="L58" i="2"/>
  <c r="Q58" i="2" s="1"/>
  <c r="L67" i="2"/>
  <c r="Q67" i="2" s="1"/>
  <c r="G79" i="2"/>
  <c r="L79" i="2" s="1"/>
  <c r="Q79" i="2" s="1"/>
  <c r="G124" i="2"/>
  <c r="L124" i="2" s="1"/>
  <c r="Q124" i="2" s="1"/>
  <c r="L141" i="2"/>
  <c r="Q141" i="2" s="1"/>
  <c r="G153" i="2"/>
  <c r="L153" i="2" s="1"/>
  <c r="Q153" i="2" s="1"/>
  <c r="L158" i="2"/>
  <c r="Q158" i="2" s="1"/>
  <c r="L197" i="2"/>
  <c r="Q197" i="2" s="1"/>
  <c r="L213" i="2"/>
  <c r="Q213" i="2" s="1"/>
  <c r="L218" i="2"/>
  <c r="Q218" i="2" s="1"/>
  <c r="L226" i="2"/>
  <c r="Q226" i="2" s="1"/>
  <c r="G230" i="2"/>
  <c r="L230" i="2" s="1"/>
  <c r="Q230" i="2" s="1"/>
  <c r="L270" i="2"/>
  <c r="Q270" i="2" s="1"/>
  <c r="G278" i="2"/>
  <c r="L278" i="2" s="1"/>
  <c r="Q278" i="2" s="1"/>
  <c r="L309" i="2"/>
  <c r="Q309" i="2" s="1"/>
  <c r="G314" i="2"/>
  <c r="L314" i="2" s="1"/>
  <c r="Q314" i="2" s="1"/>
  <c r="L369" i="2"/>
  <c r="Q369" i="2" s="1"/>
  <c r="G400" i="2"/>
  <c r="L400" i="2" s="1"/>
  <c r="Q400" i="2" s="1"/>
  <c r="G452" i="2"/>
  <c r="L452" i="2" s="1"/>
  <c r="Q452" i="2" s="1"/>
  <c r="L477" i="2"/>
  <c r="Q477" i="2" s="1"/>
  <c r="Q608" i="2"/>
  <c r="Q654" i="2"/>
  <c r="Q672" i="2"/>
  <c r="G698" i="2"/>
  <c r="L698" i="2" s="1"/>
  <c r="Q698" i="2" s="1"/>
  <c r="Q702" i="2"/>
  <c r="G730" i="2"/>
  <c r="L730" i="2" s="1"/>
  <c r="Q730" i="2" s="1"/>
  <c r="L745" i="2"/>
  <c r="Q745" i="2" s="1"/>
  <c r="L49" i="2"/>
  <c r="Q49" i="2" s="1"/>
  <c r="L66" i="2"/>
  <c r="Q66" i="2" s="1"/>
  <c r="G269" i="2"/>
  <c r="L269" i="2" s="1"/>
  <c r="Q269" i="2" s="1"/>
  <c r="G323" i="2"/>
  <c r="L323" i="2" s="1"/>
  <c r="Q323" i="2" s="1"/>
  <c r="G2" i="2"/>
  <c r="Q2" i="2" s="1"/>
  <c r="G14" i="2"/>
  <c r="L14" i="2" s="1"/>
  <c r="Q14" i="2" s="1"/>
  <c r="G26" i="2"/>
  <c r="L26" i="2" s="1"/>
  <c r="Q26" i="2" s="1"/>
  <c r="G38" i="2"/>
  <c r="L38" i="2" s="1"/>
  <c r="Q38" i="2" s="1"/>
  <c r="G50" i="2"/>
  <c r="L50" i="2" s="1"/>
  <c r="Q50" i="2" s="1"/>
  <c r="G62" i="2"/>
  <c r="L62" i="2" s="1"/>
  <c r="Q62" i="2" s="1"/>
  <c r="G74" i="2"/>
  <c r="L74" i="2" s="1"/>
  <c r="Q74" i="2" s="1"/>
  <c r="G91" i="2"/>
  <c r="L91" i="2" s="1"/>
  <c r="Q91" i="2" s="1"/>
  <c r="L193" i="2"/>
  <c r="Q193" i="2" s="1"/>
  <c r="G236" i="2"/>
  <c r="L236" i="2" s="1"/>
  <c r="Q236" i="2" s="1"/>
  <c r="G257" i="2"/>
  <c r="L257" i="2" s="1"/>
  <c r="Q257" i="2" s="1"/>
  <c r="L282" i="2"/>
  <c r="Q282" i="2" s="1"/>
  <c r="L265" i="2"/>
  <c r="Q265" i="2" s="1"/>
  <c r="G232" i="2"/>
  <c r="L232" i="2" s="1"/>
  <c r="Q232" i="2" s="1"/>
  <c r="G274" i="2"/>
  <c r="L274" i="2" s="1"/>
  <c r="Q274" i="2" s="1"/>
  <c r="G482" i="2"/>
  <c r="L482" i="2" s="1"/>
  <c r="Q482" i="2" s="1"/>
  <c r="G12" i="2"/>
  <c r="L12" i="2" s="1"/>
  <c r="Q12" i="2" s="1"/>
  <c r="G24" i="2"/>
  <c r="L24" i="2" s="1"/>
  <c r="Q24" i="2" s="1"/>
  <c r="G36" i="2"/>
  <c r="L36" i="2" s="1"/>
  <c r="Q36" i="2" s="1"/>
  <c r="G48" i="2"/>
  <c r="L48" i="2" s="1"/>
  <c r="Q48" i="2" s="1"/>
  <c r="G60" i="2"/>
  <c r="L60" i="2" s="1"/>
  <c r="Q60" i="2" s="1"/>
  <c r="G72" i="2"/>
  <c r="L72" i="2" s="1"/>
  <c r="Q72" i="2" s="1"/>
  <c r="G84" i="2"/>
  <c r="L84" i="2" s="1"/>
  <c r="Q84" i="2" s="1"/>
  <c r="G89" i="2"/>
  <c r="L89" i="2" s="1"/>
  <c r="Q89" i="2" s="1"/>
  <c r="G94" i="2"/>
  <c r="L94" i="2" s="1"/>
  <c r="Q94" i="2" s="1"/>
  <c r="L116" i="2"/>
  <c r="Q116" i="2" s="1"/>
  <c r="G119" i="2"/>
  <c r="L119" i="2" s="1"/>
  <c r="Q119" i="2" s="1"/>
  <c r="G122" i="2"/>
  <c r="L122" i="2" s="1"/>
  <c r="Q122" i="2" s="1"/>
  <c r="G127" i="2"/>
  <c r="L127" i="2" s="1"/>
  <c r="Q127" i="2" s="1"/>
  <c r="G130" i="2"/>
  <c r="L130" i="2" s="1"/>
  <c r="Q130" i="2" s="1"/>
  <c r="G136" i="2"/>
  <c r="L136" i="2" s="1"/>
  <c r="Q136" i="2" s="1"/>
  <c r="L164" i="2"/>
  <c r="Q164" i="2" s="1"/>
  <c r="G167" i="2"/>
  <c r="L167" i="2" s="1"/>
  <c r="Q167" i="2" s="1"/>
  <c r="G170" i="2"/>
  <c r="L170" i="2" s="1"/>
  <c r="Q170" i="2" s="1"/>
  <c r="G175" i="2"/>
  <c r="L175" i="2" s="1"/>
  <c r="Q175" i="2" s="1"/>
  <c r="G178" i="2"/>
  <c r="L178" i="2" s="1"/>
  <c r="Q178" i="2" s="1"/>
  <c r="G185" i="2"/>
  <c r="L185" i="2" s="1"/>
  <c r="Q185" i="2" s="1"/>
  <c r="G188" i="2"/>
  <c r="L188" i="2" s="1"/>
  <c r="Q188" i="2" s="1"/>
  <c r="G212" i="2"/>
  <c r="L212" i="2" s="1"/>
  <c r="Q212" i="2" s="1"/>
  <c r="L222" i="2"/>
  <c r="Q222" i="2" s="1"/>
  <c r="G298" i="2"/>
  <c r="L298" i="2" s="1"/>
  <c r="Q298" i="2" s="1"/>
  <c r="G328" i="2"/>
  <c r="L328" i="2" s="1"/>
  <c r="Q328" i="2" s="1"/>
  <c r="G376" i="2"/>
  <c r="L376" i="2" s="1"/>
  <c r="Q376" i="2" s="1"/>
  <c r="L206" i="2"/>
  <c r="Q206" i="2" s="1"/>
  <c r="L209" i="2"/>
  <c r="Q209" i="2" s="1"/>
  <c r="G247" i="2"/>
  <c r="L247" i="2" s="1"/>
  <c r="Q247" i="2" s="1"/>
  <c r="G262" i="2"/>
  <c r="L262" i="2" s="1"/>
  <c r="Q262" i="2" s="1"/>
  <c r="G310" i="2"/>
  <c r="L310" i="2" s="1"/>
  <c r="Q310" i="2" s="1"/>
  <c r="L320" i="2"/>
  <c r="Q320" i="2" s="1"/>
  <c r="G358" i="2"/>
  <c r="L358" i="2" s="1"/>
  <c r="Q358" i="2" s="1"/>
  <c r="L368" i="2"/>
  <c r="Q368" i="2" s="1"/>
  <c r="G221" i="2"/>
  <c r="L221" i="2" s="1"/>
  <c r="Q221" i="2" s="1"/>
  <c r="G271" i="2"/>
  <c r="L271" i="2" s="1"/>
  <c r="Q271" i="2" s="1"/>
  <c r="G211" i="2"/>
  <c r="L211" i="2" s="1"/>
  <c r="Q211" i="2" s="1"/>
  <c r="G371" i="2"/>
  <c r="L371" i="2" s="1"/>
  <c r="Q371" i="2" s="1"/>
  <c r="G92" i="2"/>
  <c r="L92" i="2" s="1"/>
  <c r="Q92" i="2" s="1"/>
  <c r="L128" i="2"/>
  <c r="Q128" i="2" s="1"/>
  <c r="G139" i="2"/>
  <c r="L139" i="2" s="1"/>
  <c r="Q139" i="2" s="1"/>
  <c r="G142" i="2"/>
  <c r="L142" i="2" s="1"/>
  <c r="Q142" i="2" s="1"/>
  <c r="L176" i="2"/>
  <c r="Q176" i="2" s="1"/>
  <c r="G182" i="2"/>
  <c r="L182" i="2" s="1"/>
  <c r="Q182" i="2" s="1"/>
  <c r="G415" i="2"/>
  <c r="L415" i="2" s="1"/>
  <c r="Q415" i="2" s="1"/>
  <c r="G250" i="2"/>
  <c r="L250" i="2" s="1"/>
  <c r="Q250" i="2" s="1"/>
  <c r="G259" i="2"/>
  <c r="L259" i="2" s="1"/>
  <c r="Q259" i="2" s="1"/>
  <c r="G284" i="2"/>
  <c r="L284" i="2" s="1"/>
  <c r="Q284" i="2" s="1"/>
  <c r="G25" i="2"/>
  <c r="L25" i="2" s="1"/>
  <c r="Q25" i="2" s="1"/>
  <c r="G61" i="2"/>
  <c r="L61" i="2" s="1"/>
  <c r="Q61" i="2" s="1"/>
  <c r="L85" i="2"/>
  <c r="Q85" i="2" s="1"/>
  <c r="L109" i="2"/>
  <c r="Q109" i="2" s="1"/>
  <c r="G117" i="2"/>
  <c r="L117" i="2" s="1"/>
  <c r="Q117" i="2" s="1"/>
  <c r="L120" i="2"/>
  <c r="Q120" i="2" s="1"/>
  <c r="L123" i="2"/>
  <c r="Q123" i="2" s="1"/>
  <c r="L157" i="2"/>
  <c r="Q157" i="2" s="1"/>
  <c r="G165" i="2"/>
  <c r="L165" i="2" s="1"/>
  <c r="Q165" i="2" s="1"/>
  <c r="L168" i="2"/>
  <c r="Q168" i="2" s="1"/>
  <c r="L171" i="2"/>
  <c r="Q171" i="2" s="1"/>
  <c r="L186" i="2"/>
  <c r="Q186" i="2" s="1"/>
  <c r="L227" i="2"/>
  <c r="Q227" i="2" s="1"/>
  <c r="G295" i="2"/>
  <c r="L295" i="2" s="1"/>
  <c r="Q295" i="2" s="1"/>
  <c r="G307" i="2"/>
  <c r="L307" i="2" s="1"/>
  <c r="Q307" i="2" s="1"/>
  <c r="G355" i="2"/>
  <c r="L355" i="2" s="1"/>
  <c r="Q355" i="2" s="1"/>
  <c r="G13" i="2"/>
  <c r="L13" i="2" s="1"/>
  <c r="Q13" i="2" s="1"/>
  <c r="G37" i="2"/>
  <c r="L37" i="2" s="1"/>
  <c r="Q37" i="2" s="1"/>
  <c r="G49" i="2"/>
  <c r="G18" i="2"/>
  <c r="L18" i="2" s="1"/>
  <c r="Q18" i="2" s="1"/>
  <c r="G66" i="2"/>
  <c r="G78" i="2"/>
  <c r="L78" i="2" s="1"/>
  <c r="Q78" i="2" s="1"/>
  <c r="G98" i="2"/>
  <c r="L98" i="2" s="1"/>
  <c r="Q98" i="2" s="1"/>
  <c r="G103" i="2"/>
  <c r="L103" i="2" s="1"/>
  <c r="Q103" i="2" s="1"/>
  <c r="G106" i="2"/>
  <c r="L106" i="2" s="1"/>
  <c r="Q106" i="2" s="1"/>
  <c r="G112" i="2"/>
  <c r="L112" i="2" s="1"/>
  <c r="Q112" i="2" s="1"/>
  <c r="G143" i="2"/>
  <c r="L143" i="2" s="1"/>
  <c r="Q143" i="2" s="1"/>
  <c r="G146" i="2"/>
  <c r="L146" i="2" s="1"/>
  <c r="Q146" i="2" s="1"/>
  <c r="G151" i="2"/>
  <c r="L151" i="2" s="1"/>
  <c r="Q151" i="2" s="1"/>
  <c r="G154" i="2"/>
  <c r="L154" i="2" s="1"/>
  <c r="Q154" i="2" s="1"/>
  <c r="G160" i="2"/>
  <c r="L160" i="2" s="1"/>
  <c r="Q160" i="2" s="1"/>
  <c r="G183" i="2"/>
  <c r="L183" i="2" s="1"/>
  <c r="Q183" i="2" s="1"/>
  <c r="L201" i="2"/>
  <c r="Q201" i="2" s="1"/>
  <c r="G217" i="2"/>
  <c r="L217" i="2" s="1"/>
  <c r="Q217" i="2" s="1"/>
  <c r="G280" i="2"/>
  <c r="L280" i="2" s="1"/>
  <c r="Q280" i="2" s="1"/>
  <c r="G317" i="2"/>
  <c r="L317" i="2" s="1"/>
  <c r="Q317" i="2" s="1"/>
  <c r="G365" i="2"/>
  <c r="L365" i="2" s="1"/>
  <c r="Q365" i="2" s="1"/>
  <c r="G6" i="2"/>
  <c r="L6" i="2" s="1"/>
  <c r="Q6" i="2" s="1"/>
  <c r="G42" i="2"/>
  <c r="L42" i="2" s="1"/>
  <c r="Q42" i="2" s="1"/>
  <c r="G54" i="2"/>
  <c r="L54" i="2" s="1"/>
  <c r="Q54" i="2" s="1"/>
  <c r="G11" i="2"/>
  <c r="L11" i="2" s="1"/>
  <c r="Q11" i="2" s="1"/>
  <c r="G23" i="2"/>
  <c r="L23" i="2" s="1"/>
  <c r="Q23" i="2" s="1"/>
  <c r="L30" i="2"/>
  <c r="Q30" i="2" s="1"/>
  <c r="G35" i="2"/>
  <c r="L35" i="2" s="1"/>
  <c r="Q35" i="2" s="1"/>
  <c r="G47" i="2"/>
  <c r="L47" i="2" s="1"/>
  <c r="Q47" i="2" s="1"/>
  <c r="G59" i="2"/>
  <c r="L59" i="2" s="1"/>
  <c r="Q59" i="2" s="1"/>
  <c r="G71" i="2"/>
  <c r="L71" i="2" s="1"/>
  <c r="Q71" i="2" s="1"/>
  <c r="G83" i="2"/>
  <c r="L83" i="2" s="1"/>
  <c r="Q83" i="2" s="1"/>
  <c r="G88" i="2"/>
  <c r="L88" i="2" s="1"/>
  <c r="Q88" i="2" s="1"/>
  <c r="G93" i="2"/>
  <c r="L93" i="2" s="1"/>
  <c r="Q93" i="2" s="1"/>
  <c r="G195" i="2"/>
  <c r="L195" i="2" s="1"/>
  <c r="Q195" i="2" s="1"/>
  <c r="G198" i="2"/>
  <c r="L198" i="2" s="1"/>
  <c r="Q198" i="2" s="1"/>
  <c r="G214" i="2"/>
  <c r="L214" i="2" s="1"/>
  <c r="Q214" i="2" s="1"/>
  <c r="G220" i="2"/>
  <c r="L220" i="2" s="1"/>
  <c r="Q220" i="2" s="1"/>
  <c r="L253" i="2"/>
  <c r="Q253" i="2" s="1"/>
  <c r="G260" i="2"/>
  <c r="L260" i="2" s="1"/>
  <c r="Q260" i="2" s="1"/>
  <c r="L285" i="2"/>
  <c r="Q285" i="2" s="1"/>
  <c r="L115" i="2"/>
  <c r="Q115" i="2" s="1"/>
  <c r="L118" i="2"/>
  <c r="Q118" i="2" s="1"/>
  <c r="L163" i="2"/>
  <c r="Q163" i="2" s="1"/>
  <c r="L166" i="2"/>
  <c r="Q166" i="2" s="1"/>
  <c r="Q180" i="2"/>
  <c r="L184" i="2"/>
  <c r="Q184" i="2" s="1"/>
  <c r="L318" i="2"/>
  <c r="Q318" i="2" s="1"/>
  <c r="G344" i="2"/>
  <c r="L344" i="2" s="1"/>
  <c r="Q344" i="2" s="1"/>
  <c r="L366" i="2"/>
  <c r="Q366" i="2" s="1"/>
  <c r="L196" i="2"/>
  <c r="Q196" i="2" s="1"/>
  <c r="Q402" i="2"/>
  <c r="G430" i="2"/>
  <c r="L430" i="2" s="1"/>
  <c r="Q430" i="2" s="1"/>
  <c r="L434" i="2"/>
  <c r="Q434" i="2" s="1"/>
  <c r="G445" i="2"/>
  <c r="L445" i="2" s="1"/>
  <c r="Q445" i="2" s="1"/>
  <c r="L281" i="2"/>
  <c r="Q281" i="2" s="1"/>
  <c r="G332" i="2"/>
  <c r="L332" i="2" s="1"/>
  <c r="Q332" i="2" s="1"/>
  <c r="L343" i="2"/>
  <c r="Q343" i="2" s="1"/>
  <c r="L346" i="2"/>
  <c r="Q346" i="2" s="1"/>
  <c r="G380" i="2"/>
  <c r="L380" i="2" s="1"/>
  <c r="Q380" i="2" s="1"/>
  <c r="L391" i="2"/>
  <c r="Q391" i="2" s="1"/>
  <c r="L394" i="2"/>
  <c r="Q394" i="2" s="1"/>
  <c r="G416" i="2"/>
  <c r="L416" i="2" s="1"/>
  <c r="Q416" i="2" s="1"/>
  <c r="L194" i="2"/>
  <c r="Q194" i="2" s="1"/>
  <c r="G233" i="2"/>
  <c r="L233" i="2" s="1"/>
  <c r="Q233" i="2" s="1"/>
  <c r="G244" i="2"/>
  <c r="L244" i="2" s="1"/>
  <c r="Q244" i="2" s="1"/>
  <c r="G281" i="2"/>
  <c r="G292" i="2"/>
  <c r="L292" i="2" s="1"/>
  <c r="Q292" i="2" s="1"/>
  <c r="G329" i="2"/>
  <c r="L329" i="2" s="1"/>
  <c r="Q329" i="2" s="1"/>
  <c r="G340" i="2"/>
  <c r="L340" i="2" s="1"/>
  <c r="Q340" i="2" s="1"/>
  <c r="G377" i="2"/>
  <c r="L377" i="2" s="1"/>
  <c r="Q377" i="2" s="1"/>
  <c r="G388" i="2"/>
  <c r="L388" i="2" s="1"/>
  <c r="Q388" i="2" s="1"/>
  <c r="L403" i="2"/>
  <c r="Q403" i="2" s="1"/>
  <c r="L435" i="2"/>
  <c r="Q435" i="2" s="1"/>
  <c r="G462" i="2"/>
  <c r="L462" i="2" s="1"/>
  <c r="Q462" i="2" s="1"/>
  <c r="G427" i="2"/>
  <c r="L427" i="2" s="1"/>
  <c r="Q427" i="2" s="1"/>
  <c r="G471" i="2"/>
  <c r="L471" i="2" s="1"/>
  <c r="Q471" i="2" s="1"/>
  <c r="G484" i="2"/>
  <c r="L484" i="2" s="1"/>
  <c r="Q484" i="2" s="1"/>
  <c r="G595" i="2"/>
  <c r="L595" i="2" s="1"/>
  <c r="Q595" i="2" s="1"/>
  <c r="L208" i="2"/>
  <c r="Q208" i="2" s="1"/>
  <c r="L242" i="2"/>
  <c r="Q242" i="2" s="1"/>
  <c r="L245" i="2"/>
  <c r="Q245" i="2" s="1"/>
  <c r="L256" i="2"/>
  <c r="Q256" i="2" s="1"/>
  <c r="L290" i="2"/>
  <c r="Q290" i="2" s="1"/>
  <c r="L293" i="2"/>
  <c r="Q293" i="2" s="1"/>
  <c r="L304" i="2"/>
  <c r="Q304" i="2" s="1"/>
  <c r="L338" i="2"/>
  <c r="Q338" i="2" s="1"/>
  <c r="L341" i="2"/>
  <c r="Q341" i="2" s="1"/>
  <c r="L352" i="2"/>
  <c r="Q352" i="2" s="1"/>
  <c r="L386" i="2"/>
  <c r="Q386" i="2" s="1"/>
  <c r="L389" i="2"/>
  <c r="Q389" i="2" s="1"/>
  <c r="G392" i="2"/>
  <c r="L392" i="2" s="1"/>
  <c r="Q392" i="2" s="1"/>
  <c r="L404" i="2"/>
  <c r="Q404" i="2" s="1"/>
  <c r="L417" i="2"/>
  <c r="Q417" i="2" s="1"/>
  <c r="L459" i="2"/>
  <c r="Q459" i="2" s="1"/>
  <c r="G436" i="2"/>
  <c r="L436" i="2" s="1"/>
  <c r="Q436" i="2" s="1"/>
  <c r="G554" i="2"/>
  <c r="L554" i="2" s="1"/>
  <c r="Q554" i="2" s="1"/>
  <c r="G313" i="2"/>
  <c r="L313" i="2" s="1"/>
  <c r="Q313" i="2" s="1"/>
  <c r="G330" i="2"/>
  <c r="L330" i="2" s="1"/>
  <c r="Q330" i="2" s="1"/>
  <c r="L333" i="2"/>
  <c r="Q333" i="2" s="1"/>
  <c r="G361" i="2"/>
  <c r="L361" i="2" s="1"/>
  <c r="Q361" i="2" s="1"/>
  <c r="G378" i="2"/>
  <c r="L378" i="2" s="1"/>
  <c r="Q378" i="2" s="1"/>
  <c r="L381" i="2"/>
  <c r="Q381" i="2" s="1"/>
  <c r="G421" i="2"/>
  <c r="L421" i="2" s="1"/>
  <c r="Q421" i="2" s="1"/>
  <c r="Q432" i="2"/>
  <c r="G448" i="2"/>
  <c r="L448" i="2" s="1"/>
  <c r="Q448" i="2" s="1"/>
  <c r="G308" i="2"/>
  <c r="L308" i="2" s="1"/>
  <c r="Q308" i="2" s="1"/>
  <c r="L319" i="2"/>
  <c r="Q319" i="2" s="1"/>
  <c r="L322" i="2"/>
  <c r="Q322" i="2" s="1"/>
  <c r="G356" i="2"/>
  <c r="L356" i="2" s="1"/>
  <c r="Q356" i="2" s="1"/>
  <c r="L367" i="2"/>
  <c r="Q367" i="2" s="1"/>
  <c r="L370" i="2"/>
  <c r="Q370" i="2" s="1"/>
  <c r="G401" i="2"/>
  <c r="L401" i="2" s="1"/>
  <c r="Q401" i="2" s="1"/>
  <c r="L418" i="2"/>
  <c r="Q418" i="2" s="1"/>
  <c r="G490" i="2"/>
  <c r="L490" i="2" s="1"/>
  <c r="Q490" i="2" s="1"/>
  <c r="G263" i="2"/>
  <c r="L263" i="2" s="1"/>
  <c r="Q263" i="2" s="1"/>
  <c r="G268" i="2"/>
  <c r="L268" i="2" s="1"/>
  <c r="Q268" i="2" s="1"/>
  <c r="G305" i="2"/>
  <c r="L305" i="2" s="1"/>
  <c r="Q305" i="2" s="1"/>
  <c r="G311" i="2"/>
  <c r="L311" i="2" s="1"/>
  <c r="Q311" i="2" s="1"/>
  <c r="G316" i="2"/>
  <c r="L316" i="2" s="1"/>
  <c r="Q316" i="2" s="1"/>
  <c r="G353" i="2"/>
  <c r="L353" i="2" s="1"/>
  <c r="Q353" i="2" s="1"/>
  <c r="G359" i="2"/>
  <c r="L359" i="2" s="1"/>
  <c r="Q359" i="2" s="1"/>
  <c r="G364" i="2"/>
  <c r="L364" i="2" s="1"/>
  <c r="Q364" i="2" s="1"/>
  <c r="L405" i="2"/>
  <c r="Q405" i="2" s="1"/>
  <c r="G535" i="2"/>
  <c r="L535" i="2" s="1"/>
  <c r="Q535" i="2" s="1"/>
  <c r="L249" i="2"/>
  <c r="Q249" i="2" s="1"/>
  <c r="L297" i="2"/>
  <c r="Q297" i="2" s="1"/>
  <c r="L345" i="2"/>
  <c r="Q345" i="2" s="1"/>
  <c r="L393" i="2"/>
  <c r="Q393" i="2" s="1"/>
  <c r="L422" i="2"/>
  <c r="Q422" i="2" s="1"/>
  <c r="L429" i="2"/>
  <c r="Q429" i="2" s="1"/>
  <c r="G465" i="2"/>
  <c r="L465" i="2" s="1"/>
  <c r="Q465" i="2" s="1"/>
  <c r="G451" i="2"/>
  <c r="L451" i="2" s="1"/>
  <c r="Q451" i="2" s="1"/>
  <c r="G487" i="2"/>
  <c r="L487" i="2" s="1"/>
  <c r="Q487" i="2" s="1"/>
  <c r="L530" i="2"/>
  <c r="Q530" i="2" s="1"/>
  <c r="Q576" i="2"/>
  <c r="G655" i="2"/>
  <c r="L655" i="2" s="1"/>
  <c r="Q655" i="2" s="1"/>
  <c r="L662" i="2"/>
  <c r="Q662" i="2" s="1"/>
  <c r="G703" i="2"/>
  <c r="L703" i="2" s="1"/>
  <c r="Q703" i="2" s="1"/>
  <c r="G481" i="2"/>
  <c r="L481" i="2" s="1"/>
  <c r="Q481" i="2" s="1"/>
  <c r="L523" i="2"/>
  <c r="Q523" i="2" s="1"/>
  <c r="G523" i="2"/>
  <c r="G631" i="2"/>
  <c r="L631" i="2" s="1"/>
  <c r="Q631" i="2" s="1"/>
  <c r="G739" i="2"/>
  <c r="L739" i="2" s="1"/>
  <c r="Q739" i="2" s="1"/>
  <c r="L457" i="2"/>
  <c r="Q457" i="2" s="1"/>
  <c r="L478" i="2"/>
  <c r="Q478" i="2" s="1"/>
  <c r="G494" i="2"/>
  <c r="L494" i="2" s="1"/>
  <c r="Q494" i="2" s="1"/>
  <c r="G583" i="2"/>
  <c r="L583" i="2" s="1"/>
  <c r="Q583" i="2" s="1"/>
  <c r="Q616" i="2"/>
  <c r="L710" i="2"/>
  <c r="Q710" i="2" s="1"/>
  <c r="Q724" i="2"/>
  <c r="L446" i="2"/>
  <c r="Q446" i="2" s="1"/>
  <c r="G463" i="2"/>
  <c r="L463" i="2" s="1"/>
  <c r="Q463" i="2" s="1"/>
  <c r="L466" i="2"/>
  <c r="Q466" i="2" s="1"/>
  <c r="L469" i="2"/>
  <c r="Q469" i="2" s="1"/>
  <c r="G475" i="2"/>
  <c r="L475" i="2" s="1"/>
  <c r="Q475" i="2" s="1"/>
  <c r="L542" i="2"/>
  <c r="Q542" i="2" s="1"/>
  <c r="Q574" i="2"/>
  <c r="G667" i="2"/>
  <c r="L667" i="2" s="1"/>
  <c r="Q667" i="2" s="1"/>
  <c r="G751" i="2"/>
  <c r="L751" i="2" s="1"/>
  <c r="Q751" i="2" s="1"/>
  <c r="L566" i="2"/>
  <c r="Q566" i="2" s="1"/>
  <c r="G715" i="2"/>
  <c r="L715" i="2" s="1"/>
  <c r="Q715" i="2" s="1"/>
  <c r="L433" i="2"/>
  <c r="Q433" i="2" s="1"/>
  <c r="L458" i="2"/>
  <c r="Q458" i="2" s="1"/>
  <c r="L502" i="2"/>
  <c r="Q502" i="2" s="1"/>
  <c r="L506" i="2"/>
  <c r="Q506" i="2" s="1"/>
  <c r="G679" i="2"/>
  <c r="L679" i="2" s="1"/>
  <c r="Q679" i="2" s="1"/>
  <c r="L686" i="2"/>
  <c r="Q686" i="2" s="1"/>
  <c r="G547" i="2"/>
  <c r="L547" i="2" s="1"/>
  <c r="Q547" i="2" s="1"/>
  <c r="G607" i="2"/>
  <c r="L607" i="2" s="1"/>
  <c r="Q607" i="2" s="1"/>
  <c r="G447" i="2"/>
  <c r="L447" i="2" s="1"/>
  <c r="Q447" i="2" s="1"/>
  <c r="G470" i="2"/>
  <c r="L470" i="2" s="1"/>
  <c r="Q470" i="2" s="1"/>
  <c r="G489" i="2"/>
  <c r="L489" i="2" s="1"/>
  <c r="Q489" i="2" s="1"/>
  <c r="G499" i="2"/>
  <c r="L499" i="2" s="1"/>
  <c r="Q499" i="2" s="1"/>
  <c r="G559" i="2"/>
  <c r="L559" i="2" s="1"/>
  <c r="Q559" i="2" s="1"/>
  <c r="Q592" i="2"/>
  <c r="Q748" i="2"/>
  <c r="G439" i="2"/>
  <c r="L439" i="2" s="1"/>
  <c r="Q439" i="2" s="1"/>
  <c r="G691" i="2"/>
  <c r="L691" i="2" s="1"/>
  <c r="Q691" i="2" s="1"/>
  <c r="G493" i="2"/>
  <c r="L493" i="2" s="1"/>
  <c r="Q493" i="2" s="1"/>
  <c r="G511" i="2"/>
  <c r="L511" i="2" s="1"/>
  <c r="Q511" i="2" s="1"/>
  <c r="G518" i="2"/>
  <c r="L518" i="2" s="1"/>
  <c r="Q518" i="2" s="1"/>
  <c r="Q544" i="2"/>
  <c r="G619" i="2"/>
  <c r="L619" i="2" s="1"/>
  <c r="Q619" i="2" s="1"/>
  <c r="L626" i="2"/>
  <c r="Q626" i="2" s="1"/>
  <c r="G727" i="2"/>
  <c r="L727" i="2" s="1"/>
  <c r="Q727" i="2" s="1"/>
  <c r="L734" i="2"/>
  <c r="Q734" i="2" s="1"/>
  <c r="L633" i="2"/>
  <c r="Q633" i="2" s="1"/>
  <c r="L639" i="2"/>
  <c r="Q639" i="2" s="1"/>
  <c r="L641" i="2"/>
  <c r="Q641" i="2" s="1"/>
  <c r="L643" i="2"/>
  <c r="Q643" i="2" s="1"/>
  <c r="G507" i="2"/>
  <c r="L507" i="2" s="1"/>
  <c r="Q507" i="2" s="1"/>
  <c r="G519" i="2"/>
  <c r="L519" i="2" s="1"/>
  <c r="Q519" i="2" s="1"/>
  <c r="G531" i="2"/>
  <c r="L531" i="2" s="1"/>
  <c r="Q531" i="2" s="1"/>
  <c r="G543" i="2"/>
  <c r="L543" i="2" s="1"/>
  <c r="Q543" i="2" s="1"/>
  <c r="G555" i="2"/>
  <c r="L555" i="2" s="1"/>
  <c r="Q555" i="2" s="1"/>
  <c r="G567" i="2"/>
  <c r="L567" i="2" s="1"/>
  <c r="Q567" i="2" s="1"/>
  <c r="G591" i="2"/>
  <c r="L591" i="2" s="1"/>
  <c r="Q591" i="2" s="1"/>
  <c r="G603" i="2"/>
  <c r="L603" i="2" s="1"/>
  <c r="Q603" i="2" s="1"/>
  <c r="G615" i="2"/>
  <c r="L615" i="2" s="1"/>
  <c r="Q615" i="2" s="1"/>
  <c r="G627" i="2"/>
  <c r="L627" i="2" s="1"/>
  <c r="Q627" i="2" s="1"/>
  <c r="G651" i="2"/>
  <c r="L651" i="2" s="1"/>
  <c r="Q651" i="2" s="1"/>
  <c r="G663" i="2"/>
  <c r="L663" i="2" s="1"/>
  <c r="Q663" i="2" s="1"/>
  <c r="G675" i="2"/>
  <c r="L675" i="2" s="1"/>
  <c r="Q675" i="2" s="1"/>
  <c r="G687" i="2"/>
  <c r="L687" i="2" s="1"/>
  <c r="Q687" i="2" s="1"/>
  <c r="G699" i="2"/>
  <c r="L699" i="2" s="1"/>
  <c r="Q699" i="2" s="1"/>
  <c r="G711" i="2"/>
  <c r="L711" i="2" s="1"/>
  <c r="Q711" i="2" s="1"/>
  <c r="G723" i="2"/>
  <c r="L723" i="2" s="1"/>
  <c r="Q723" i="2" s="1"/>
  <c r="G735" i="2"/>
  <c r="L735" i="2" s="1"/>
  <c r="Q735" i="2" s="1"/>
  <c r="G747" i="2"/>
  <c r="L747" i="2" s="1"/>
  <c r="Q747" i="2" s="1"/>
  <c r="G505" i="2"/>
  <c r="L505" i="2" s="1"/>
  <c r="Q505" i="2" s="1"/>
  <c r="G517" i="2"/>
  <c r="L517" i="2" s="1"/>
  <c r="Q517" i="2" s="1"/>
  <c r="G529" i="2"/>
  <c r="L529" i="2" s="1"/>
  <c r="Q529" i="2" s="1"/>
  <c r="G541" i="2"/>
  <c r="L541" i="2" s="1"/>
  <c r="Q541" i="2" s="1"/>
  <c r="G553" i="2"/>
  <c r="L553" i="2" s="1"/>
  <c r="Q553" i="2" s="1"/>
  <c r="G565" i="2"/>
  <c r="L565" i="2" s="1"/>
  <c r="Q565" i="2" s="1"/>
  <c r="G589" i="2"/>
  <c r="L589" i="2" s="1"/>
  <c r="Q58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Kimou Sandrine Prisca (430789C)</author>
  </authors>
  <commentList>
    <comment ref="K1" authorId="0" shapeId="0" xr:uid="{D7817262-CC1C-45ED-83F6-F4AF771120F6}">
      <text>
        <r>
          <rPr>
            <b/>
            <sz val="9"/>
            <color indexed="81"/>
            <rFont val="Tahoma"/>
            <charset val="1"/>
          </rPr>
          <t>Kimou Sandrine Prisca (430789C):</t>
        </r>
        <r>
          <rPr>
            <sz val="9"/>
            <color indexed="81"/>
            <rFont val="Tahoma"/>
            <charset val="1"/>
          </rPr>
          <t xml:space="preserve">
variable à utiliser pour la moyenne par secetur</t>
        </r>
      </text>
    </comment>
  </commentList>
</comments>
</file>

<file path=xl/sharedStrings.xml><?xml version="1.0" encoding="utf-8"?>
<sst xmlns="http://schemas.openxmlformats.org/spreadsheetml/2006/main" count="2389" uniqueCount="134">
  <si>
    <t>salaires en FCFA</t>
  </si>
  <si>
    <t>TOUS SECTEURS CONFONDUS</t>
  </si>
  <si>
    <t xml:space="preserve">190 423 </t>
  </si>
  <si>
    <t xml:space="preserve">400 547 </t>
  </si>
  <si>
    <t xml:space="preserve">3 193 307 </t>
  </si>
  <si>
    <t>SECTEUR EDUCATION</t>
  </si>
  <si>
    <t>249 809</t>
  </si>
  <si>
    <t>414 313</t>
  </si>
  <si>
    <t>1 386 078</t>
  </si>
  <si>
    <t>Primaire</t>
  </si>
  <si>
    <t>346 805</t>
  </si>
  <si>
    <t>478 143</t>
  </si>
  <si>
    <t>Secondaire</t>
  </si>
  <si>
    <t>349 663</t>
  </si>
  <si>
    <t>483 919</t>
  </si>
  <si>
    <t>885 348</t>
  </si>
  <si>
    <t>Supérieur</t>
  </si>
  <si>
    <t>718 504</t>
  </si>
  <si>
    <t>898 595</t>
  </si>
  <si>
    <t>SECTEUR SANTE</t>
  </si>
  <si>
    <t>200 996</t>
  </si>
  <si>
    <t>409 506</t>
  </si>
  <si>
    <t>882 026</t>
  </si>
  <si>
    <t>Cadres supérieurs</t>
  </si>
  <si>
    <t>564 302</t>
  </si>
  <si>
    <t>639 998</t>
  </si>
  <si>
    <t>Personnels Techniques</t>
  </si>
  <si>
    <t>363 437</t>
  </si>
  <si>
    <t>722 128</t>
  </si>
  <si>
    <t>AUTRES SECTEURS</t>
  </si>
  <si>
    <t>190 423</t>
  </si>
  <si>
    <t>313 922</t>
  </si>
  <si>
    <t>852 128</t>
  </si>
  <si>
    <t>Douanes/Eaux et Forêts/Affaires maritimes et portuaires/Etablissements pénitentiaires</t>
  </si>
  <si>
    <t>320 423</t>
  </si>
  <si>
    <t>422 724</t>
  </si>
  <si>
    <t>Informatique</t>
  </si>
  <si>
    <t>261 324</t>
  </si>
  <si>
    <t>445 748</t>
  </si>
  <si>
    <t>891 715</t>
  </si>
  <si>
    <t>Secrétariat</t>
  </si>
  <si>
    <t>221 603</t>
  </si>
  <si>
    <t>293 873</t>
  </si>
  <si>
    <t>508 305</t>
  </si>
  <si>
    <t>Autres</t>
  </si>
  <si>
    <t>279 776</t>
  </si>
  <si>
    <t>632 128</t>
  </si>
  <si>
    <t>PERSONNELS SOUS STATUT PARTICULIER</t>
  </si>
  <si>
    <t>451 333</t>
  </si>
  <si>
    <t>1 265 435</t>
  </si>
  <si>
    <t>3 193 307</t>
  </si>
  <si>
    <t>Magistrat</t>
  </si>
  <si>
    <t>288 123</t>
  </si>
  <si>
    <t>1 865 488</t>
  </si>
  <si>
    <t>1 078 451</t>
  </si>
  <si>
    <t>1 976 207</t>
  </si>
  <si>
    <t>Auditeur de justice</t>
  </si>
  <si>
    <t>298 055</t>
  </si>
  <si>
    <t>302 601</t>
  </si>
  <si>
    <t>Corps préfectoral</t>
  </si>
  <si>
    <t>1 689 523</t>
  </si>
  <si>
    <t>2 427 377</t>
  </si>
  <si>
    <t>Corps diplomatique</t>
  </si>
  <si>
    <t>703 856</t>
  </si>
  <si>
    <t>1 130 820</t>
  </si>
  <si>
    <t>2 015 215</t>
  </si>
  <si>
    <t>Greffier</t>
  </si>
  <si>
    <t>563 183</t>
  </si>
  <si>
    <t>941 578</t>
  </si>
  <si>
    <t>salaire brut minimum</t>
  </si>
  <si>
    <t>salaire brut maximum</t>
  </si>
  <si>
    <t>SECTEUR</t>
  </si>
  <si>
    <t>CATEGORIE</t>
  </si>
  <si>
    <t>GRADE</t>
  </si>
  <si>
    <t>INDICE</t>
  </si>
  <si>
    <t>ECHELON/CLASSE</t>
  </si>
  <si>
    <t>Salaire de Base</t>
  </si>
  <si>
    <t>Résidence</t>
  </si>
  <si>
    <t>Logement</t>
  </si>
  <si>
    <t>Transport</t>
  </si>
  <si>
    <t>Allocations
 (2 enfants)</t>
  </si>
  <si>
    <t>AUTRES INDEMNITES</t>
  </si>
  <si>
    <t>Montant brut</t>
  </si>
  <si>
    <t>Charge patronale</t>
  </si>
  <si>
    <t>ITS</t>
  </si>
  <si>
    <t>PENSION</t>
  </si>
  <si>
    <t>MUGEF-CI/CMU</t>
  </si>
  <si>
    <t>NET</t>
  </si>
  <si>
    <t>BASE IMPOSABLE</t>
  </si>
  <si>
    <t>Barême Général</t>
  </si>
  <si>
    <t>A</t>
  </si>
  <si>
    <t>A7</t>
  </si>
  <si>
    <t>A6</t>
  </si>
  <si>
    <t>A5</t>
  </si>
  <si>
    <t>A4</t>
  </si>
  <si>
    <t>A3</t>
  </si>
  <si>
    <t>B</t>
  </si>
  <si>
    <t>B3</t>
  </si>
  <si>
    <t>B1</t>
  </si>
  <si>
    <t>C</t>
  </si>
  <si>
    <t>C3</t>
  </si>
  <si>
    <t>C2</t>
  </si>
  <si>
    <t>C1</t>
  </si>
  <si>
    <t>D</t>
  </si>
  <si>
    <t>D2</t>
  </si>
  <si>
    <t>D1</t>
  </si>
  <si>
    <t>Informaticien</t>
  </si>
  <si>
    <t>Tech-Santé</t>
  </si>
  <si>
    <t>Cadre-Sup-Santé</t>
  </si>
  <si>
    <t>ENS SEC &amp; PRIM</t>
  </si>
  <si>
    <t>ENS SUP</t>
  </si>
  <si>
    <t>SECRETAIRE DIRECTION</t>
  </si>
  <si>
    <t>GREFFE</t>
  </si>
  <si>
    <t xml:space="preserve">MAGISTRAT </t>
  </si>
  <si>
    <t>CORPS PREF</t>
  </si>
  <si>
    <t>TC</t>
  </si>
  <si>
    <t>TB</t>
  </si>
  <si>
    <t>TA</t>
  </si>
  <si>
    <t>T9</t>
  </si>
  <si>
    <t>T8</t>
  </si>
  <si>
    <t>T7</t>
  </si>
  <si>
    <t>T6</t>
  </si>
  <si>
    <t>T5</t>
  </si>
  <si>
    <t>T4</t>
  </si>
  <si>
    <t>T3</t>
  </si>
  <si>
    <t>T2</t>
  </si>
  <si>
    <t>T1</t>
  </si>
  <si>
    <t>CORPS DIPL</t>
  </si>
  <si>
    <t>43</t>
  </si>
  <si>
    <t>42</t>
  </si>
  <si>
    <t>41</t>
  </si>
  <si>
    <t>para militaire</t>
  </si>
  <si>
    <t>salaire  brut moyen</t>
  </si>
  <si>
    <t>MODELE DE DONNEES DE SALAIRE DES FONCTIONNAIRES  POUR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</si>
</sst>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\ _C_F_A_-;\-* #,##0\ _C_F_A_-;_-* &quot;-&quot;\ _C_F_A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indent="2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indent="4"/>
    </xf>
    <xf numFmtId="0" fontId="6" fillId="0" borderId="3" xfId="0" applyFont="1" applyBorder="1" applyAlignment="1">
      <alignment horizontal="left" vertical="center" indent="4"/>
    </xf>
    <xf numFmtId="0" fontId="5" fillId="0" borderId="10" xfId="0" applyFont="1" applyBorder="1" applyAlignment="1">
      <alignment horizontal="left" vertical="center" indent="2"/>
    </xf>
    <xf numFmtId="0" fontId="5" fillId="0" borderId="11" xfId="0" applyFont="1" applyBorder="1" applyAlignment="1">
      <alignment horizontal="center" vertical="center"/>
    </xf>
    <xf numFmtId="167" fontId="2" fillId="0" borderId="12" xfId="1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167" fontId="2" fillId="0" borderId="12" xfId="1" applyFont="1" applyBorder="1" applyAlignment="1">
      <alignment vertical="center"/>
    </xf>
    <xf numFmtId="167" fontId="2" fillId="0" borderId="12" xfId="1" applyFont="1" applyBorder="1" applyAlignment="1">
      <alignment horizontal="center" vertical="center" wrapText="1"/>
    </xf>
    <xf numFmtId="167" fontId="0" fillId="0" borderId="0" xfId="1" applyFont="1" applyAlignment="1">
      <alignment vertical="center"/>
    </xf>
    <xf numFmtId="0" fontId="0" fillId="0" borderId="0" xfId="0" applyAlignment="1">
      <alignment vertical="center"/>
    </xf>
    <xf numFmtId="167" fontId="0" fillId="0" borderId="12" xfId="1" applyFont="1" applyBorder="1"/>
    <xf numFmtId="0" fontId="0" fillId="0" borderId="12" xfId="0" applyBorder="1" applyAlignment="1">
      <alignment horizontal="center"/>
    </xf>
    <xf numFmtId="167" fontId="0" fillId="0" borderId="0" xfId="1" applyFont="1"/>
    <xf numFmtId="0" fontId="0" fillId="0" borderId="0" xfId="0" applyAlignment="1">
      <alignment horizontal="center"/>
    </xf>
    <xf numFmtId="167" fontId="2" fillId="2" borderId="12" xfId="1" applyFont="1" applyFill="1" applyBorder="1" applyAlignment="1">
      <alignment vertical="center" wrapText="1"/>
    </xf>
    <xf numFmtId="167" fontId="0" fillId="2" borderId="12" xfId="1" applyFont="1" applyFill="1" applyBorder="1"/>
    <xf numFmtId="167" fontId="0" fillId="2" borderId="0" xfId="1" applyFont="1" applyFill="1"/>
    <xf numFmtId="0" fontId="0" fillId="0" borderId="0" xfId="0" applyAlignment="1">
      <alignment horizontal="center"/>
    </xf>
  </cellXfs>
  <cellStyles count="2">
    <cellStyle name="Milliers [0] 2" xfId="1" xr:uid="{5A5A03C9-C370-4DDA-A8F4-7B1F16C2965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A686-953C-463A-8443-C0C54FA70C4E}">
  <sheetPr>
    <tabColor rgb="FF00B050"/>
  </sheetPr>
  <dimension ref="A1:S755"/>
  <sheetViews>
    <sheetView tabSelected="1" workbookViewId="0">
      <pane xSplit="5" ySplit="1" topLeftCell="J53" activePane="bottomRight" state="frozen"/>
      <selection pane="topRight" activeCell="F1" sqref="F1"/>
      <selection pane="bottomLeft" activeCell="A3" sqref="A3"/>
      <selection pane="bottomRight" activeCell="L3" sqref="L3"/>
    </sheetView>
  </sheetViews>
  <sheetFormatPr baseColWidth="10" defaultRowHeight="15" x14ac:dyDescent="0.25"/>
  <cols>
    <col min="1" max="1" width="20.42578125" style="23" customWidth="1"/>
    <col min="2" max="3" width="11.42578125" style="24"/>
    <col min="4" max="4" width="8.140625" style="24" customWidth="1"/>
    <col min="5" max="5" width="9.28515625" style="24" customWidth="1"/>
    <col min="6" max="6" width="14.28515625" style="23" customWidth="1"/>
    <col min="7" max="10" width="13.140625" style="23" customWidth="1"/>
    <col min="11" max="11" width="14.42578125" style="27" bestFit="1" customWidth="1"/>
    <col min="12" max="15" width="14.28515625" style="23" customWidth="1"/>
    <col min="16" max="17" width="17" style="23" bestFit="1" customWidth="1"/>
    <col min="18" max="18" width="14.140625" style="23" bestFit="1" customWidth="1"/>
    <col min="19" max="19" width="12.7109375" style="23" bestFit="1" customWidth="1"/>
  </cols>
  <sheetData>
    <row r="1" spans="1:19" s="20" customFormat="1" ht="34.5" customHeight="1" thickBot="1" x14ac:dyDescent="0.3">
      <c r="A1" s="15" t="s">
        <v>71</v>
      </c>
      <c r="B1" s="16" t="s">
        <v>72</v>
      </c>
      <c r="C1" s="16" t="s">
        <v>73</v>
      </c>
      <c r="D1" s="16" t="s">
        <v>74</v>
      </c>
      <c r="E1" s="16" t="s">
        <v>75</v>
      </c>
      <c r="F1" s="17" t="s">
        <v>76</v>
      </c>
      <c r="G1" s="17" t="s">
        <v>77</v>
      </c>
      <c r="H1" s="17" t="s">
        <v>78</v>
      </c>
      <c r="I1" s="17" t="s">
        <v>79</v>
      </c>
      <c r="J1" s="15" t="s">
        <v>80</v>
      </c>
      <c r="K1" s="25" t="s">
        <v>81</v>
      </c>
      <c r="L1" s="17" t="s">
        <v>82</v>
      </c>
      <c r="M1" s="17" t="s">
        <v>83</v>
      </c>
      <c r="N1" s="17" t="s">
        <v>84</v>
      </c>
      <c r="O1" s="17" t="s">
        <v>85</v>
      </c>
      <c r="P1" s="17" t="s">
        <v>86</v>
      </c>
      <c r="Q1" s="17" t="s">
        <v>87</v>
      </c>
      <c r="R1" s="18" t="s">
        <v>88</v>
      </c>
      <c r="S1" s="19"/>
    </row>
    <row r="2" spans="1:19" ht="15.75" thickBot="1" x14ac:dyDescent="0.3">
      <c r="A2" s="21" t="s">
        <v>89</v>
      </c>
      <c r="B2" s="22" t="s">
        <v>90</v>
      </c>
      <c r="C2" s="22" t="s">
        <v>91</v>
      </c>
      <c r="D2" s="22">
        <v>2350</v>
      </c>
      <c r="E2" s="22">
        <v>21</v>
      </c>
      <c r="F2" s="21">
        <f>D2*233.456</f>
        <v>548621.6</v>
      </c>
      <c r="G2" s="21">
        <f>F2*15%</f>
        <v>82293.239999999991</v>
      </c>
      <c r="H2" s="21">
        <v>90000</v>
      </c>
      <c r="I2" s="21">
        <v>15000</v>
      </c>
      <c r="J2" s="21">
        <v>15000</v>
      </c>
      <c r="K2" s="26"/>
      <c r="L2" s="21">
        <f>SUM(F2:K2)</f>
        <v>750914.84</v>
      </c>
      <c r="M2" s="21">
        <v>91455.220719999998</v>
      </c>
      <c r="N2" s="21">
        <v>91992.116399999984</v>
      </c>
      <c r="O2" s="21">
        <v>45700.179279999997</v>
      </c>
      <c r="P2" s="21">
        <f>IF((D2*233.456*3%)&gt;7004,7004,(D2*233.456*3%))</f>
        <v>7004</v>
      </c>
      <c r="Q2" s="21">
        <f>L2-SUM(N2:P2)</f>
        <v>606218.54431999999</v>
      </c>
      <c r="R2" s="21">
        <v>630914.84</v>
      </c>
    </row>
    <row r="3" spans="1:19" ht="15.75" thickBot="1" x14ac:dyDescent="0.3">
      <c r="A3" s="21" t="s">
        <v>89</v>
      </c>
      <c r="B3" s="22" t="s">
        <v>90</v>
      </c>
      <c r="C3" s="22" t="s">
        <v>91</v>
      </c>
      <c r="D3" s="22">
        <v>2295</v>
      </c>
      <c r="E3" s="22">
        <v>33</v>
      </c>
      <c r="F3" s="21">
        <f t="shared" ref="F3:F66" si="0">D3*233.456</f>
        <v>535781.52</v>
      </c>
      <c r="G3" s="21">
        <f t="shared" ref="G3:G66" si="1">F3*15%</f>
        <v>80367.228000000003</v>
      </c>
      <c r="H3" s="21">
        <v>90000</v>
      </c>
      <c r="I3" s="21">
        <v>15000</v>
      </c>
      <c r="J3" s="21">
        <v>15000</v>
      </c>
      <c r="K3" s="26"/>
      <c r="L3" s="21">
        <f>SUM(F3:K3)</f>
        <v>736148.74800000002</v>
      </c>
      <c r="M3" s="21">
        <v>89314.779384000009</v>
      </c>
      <c r="N3" s="21">
        <v>88891.237080000006</v>
      </c>
      <c r="O3" s="21">
        <v>44630.600616000003</v>
      </c>
      <c r="P3" s="21">
        <f>IF((D3*233.456*3%)&gt;7004,7004,(D3*233.456*3%))</f>
        <v>7004</v>
      </c>
      <c r="Q3" s="21">
        <f t="shared" ref="Q3:Q66" si="2">L3-SUM(N3:P3)</f>
        <v>595622.91030400002</v>
      </c>
      <c r="R3" s="21">
        <v>616148.74800000002</v>
      </c>
    </row>
    <row r="4" spans="1:19" ht="15.75" thickBot="1" x14ac:dyDescent="0.3">
      <c r="A4" s="21" t="s">
        <v>89</v>
      </c>
      <c r="B4" s="22" t="s">
        <v>90</v>
      </c>
      <c r="C4" s="22" t="s">
        <v>91</v>
      </c>
      <c r="D4" s="22">
        <v>2255</v>
      </c>
      <c r="E4" s="22">
        <v>32</v>
      </c>
      <c r="F4" s="21">
        <f t="shared" si="0"/>
        <v>526443.28</v>
      </c>
      <c r="G4" s="21">
        <f t="shared" si="1"/>
        <v>78966.491999999998</v>
      </c>
      <c r="H4" s="21">
        <v>90000</v>
      </c>
      <c r="I4" s="21">
        <v>15000</v>
      </c>
      <c r="J4" s="21">
        <v>15000</v>
      </c>
      <c r="K4" s="26"/>
      <c r="L4" s="21">
        <f>SUM(F4:K4)</f>
        <v>725409.772</v>
      </c>
      <c r="M4" s="21">
        <v>87758.094776000013</v>
      </c>
      <c r="N4" s="21">
        <v>86636.052119999993</v>
      </c>
      <c r="O4" s="21">
        <v>43852.725224000002</v>
      </c>
      <c r="P4" s="21">
        <f>IF((D4*233.456*3%)&gt;7004,7004,(D4*233.456*3%))</f>
        <v>7004</v>
      </c>
      <c r="Q4" s="21">
        <f>L4-SUM(N4:P4)</f>
        <v>587916.99465600005</v>
      </c>
      <c r="R4" s="21">
        <v>605409.772</v>
      </c>
    </row>
    <row r="5" spans="1:19" ht="15.75" thickBot="1" x14ac:dyDescent="0.3">
      <c r="A5" s="21" t="s">
        <v>89</v>
      </c>
      <c r="B5" s="22" t="s">
        <v>90</v>
      </c>
      <c r="C5" s="22" t="s">
        <v>91</v>
      </c>
      <c r="D5" s="22">
        <v>2170</v>
      </c>
      <c r="E5" s="22">
        <v>31</v>
      </c>
      <c r="F5" s="21">
        <f t="shared" si="0"/>
        <v>506599.51999999996</v>
      </c>
      <c r="G5" s="21">
        <f t="shared" si="1"/>
        <v>75989.927999999985</v>
      </c>
      <c r="H5" s="21">
        <v>90000</v>
      </c>
      <c r="I5" s="21">
        <v>15000</v>
      </c>
      <c r="J5" s="21">
        <v>15000</v>
      </c>
      <c r="K5" s="26"/>
      <c r="L5" s="21">
        <f>SUM(F5:K5)</f>
        <v>702589.44799999997</v>
      </c>
      <c r="M5" s="21">
        <v>84450.139983999994</v>
      </c>
      <c r="N5" s="21">
        <v>81843.784079999998</v>
      </c>
      <c r="O5" s="21">
        <v>42199.740015999996</v>
      </c>
      <c r="P5" s="21">
        <f>IF((D5*233.456*3%)&gt;7004,7004,(D5*233.456*3%))</f>
        <v>7004</v>
      </c>
      <c r="Q5" s="21">
        <f t="shared" si="2"/>
        <v>571541.92390399997</v>
      </c>
      <c r="R5" s="21">
        <v>582589.44799999997</v>
      </c>
    </row>
    <row r="6" spans="1:19" ht="15.75" thickBot="1" x14ac:dyDescent="0.3">
      <c r="A6" s="21" t="s">
        <v>89</v>
      </c>
      <c r="B6" s="22" t="s">
        <v>90</v>
      </c>
      <c r="C6" s="22" t="s">
        <v>91</v>
      </c>
      <c r="D6" s="22">
        <v>2135</v>
      </c>
      <c r="E6" s="22">
        <v>44</v>
      </c>
      <c r="F6" s="21">
        <f t="shared" si="0"/>
        <v>498428.56</v>
      </c>
      <c r="G6" s="21">
        <f t="shared" si="1"/>
        <v>74764.284</v>
      </c>
      <c r="H6" s="21">
        <v>90000</v>
      </c>
      <c r="I6" s="21">
        <v>15000</v>
      </c>
      <c r="J6" s="21">
        <v>15000</v>
      </c>
      <c r="K6" s="26"/>
      <c r="L6" s="21">
        <f>SUM(F6:K6)</f>
        <v>693192.84400000004</v>
      </c>
      <c r="M6" s="21">
        <v>83088.04095200001</v>
      </c>
      <c r="N6" s="21">
        <v>79870.497240000012</v>
      </c>
      <c r="O6" s="21">
        <v>41519.099047999996</v>
      </c>
      <c r="P6" s="21">
        <f>IF((D6*233.456*3%)&gt;7004,7004,(D6*233.456*3%))</f>
        <v>7004</v>
      </c>
      <c r="Q6" s="21">
        <f t="shared" si="2"/>
        <v>564799.24771200004</v>
      </c>
      <c r="R6" s="21">
        <v>573192.84400000004</v>
      </c>
    </row>
    <row r="7" spans="1:19" ht="15.75" thickBot="1" x14ac:dyDescent="0.3">
      <c r="A7" s="21" t="s">
        <v>89</v>
      </c>
      <c r="B7" s="22" t="s">
        <v>90</v>
      </c>
      <c r="C7" s="22" t="s">
        <v>91</v>
      </c>
      <c r="D7" s="22">
        <v>2090</v>
      </c>
      <c r="E7" s="22">
        <v>43</v>
      </c>
      <c r="F7" s="21">
        <f t="shared" si="0"/>
        <v>487923.04</v>
      </c>
      <c r="G7" s="21">
        <f t="shared" si="1"/>
        <v>73188.455999999991</v>
      </c>
      <c r="H7" s="21">
        <v>90000</v>
      </c>
      <c r="I7" s="21">
        <v>15000</v>
      </c>
      <c r="J7" s="21">
        <v>15000</v>
      </c>
      <c r="K7" s="26"/>
      <c r="L7" s="21">
        <f>SUM(F7:K7)</f>
        <v>681111.49599999993</v>
      </c>
      <c r="M7" s="21">
        <v>81336.770768000002</v>
      </c>
      <c r="N7" s="21">
        <v>77333.414159999986</v>
      </c>
      <c r="O7" s="21">
        <v>40643.989232</v>
      </c>
      <c r="P7" s="21">
        <f>IF((D7*233.456*3%)&gt;7004,7004,(D7*233.456*3%))</f>
        <v>7004</v>
      </c>
      <c r="Q7" s="21">
        <f t="shared" si="2"/>
        <v>556130.09260799992</v>
      </c>
      <c r="R7" s="21">
        <v>561111.49599999993</v>
      </c>
    </row>
    <row r="8" spans="1:19" ht="15.75" thickBot="1" x14ac:dyDescent="0.3">
      <c r="A8" s="21" t="s">
        <v>89</v>
      </c>
      <c r="B8" s="22" t="s">
        <v>90</v>
      </c>
      <c r="C8" s="22" t="s">
        <v>91</v>
      </c>
      <c r="D8" s="22">
        <v>2015</v>
      </c>
      <c r="E8" s="22">
        <v>42</v>
      </c>
      <c r="F8" s="21">
        <f t="shared" si="0"/>
        <v>470413.83999999997</v>
      </c>
      <c r="G8" s="21">
        <f t="shared" si="1"/>
        <v>70562.075999999986</v>
      </c>
      <c r="H8" s="21">
        <v>90000</v>
      </c>
      <c r="I8" s="21">
        <v>15000</v>
      </c>
      <c r="J8" s="21">
        <v>15000</v>
      </c>
      <c r="K8" s="26"/>
      <c r="L8" s="21">
        <f>SUM(F8:K8)</f>
        <v>660975.91599999997</v>
      </c>
      <c r="M8" s="21">
        <v>78417.987128000008</v>
      </c>
      <c r="N8" s="21">
        <v>73104.942359999986</v>
      </c>
      <c r="O8" s="21">
        <v>39185.472871999998</v>
      </c>
      <c r="P8" s="21">
        <f>IF((D8*233.456*3%)&gt;7004,7004,(D8*233.456*3%))</f>
        <v>7004</v>
      </c>
      <c r="Q8" s="21">
        <f t="shared" si="2"/>
        <v>541681.50076800003</v>
      </c>
      <c r="R8" s="21">
        <v>540975.91599999997</v>
      </c>
    </row>
    <row r="9" spans="1:19" ht="15.75" thickBot="1" x14ac:dyDescent="0.3">
      <c r="A9" s="21" t="s">
        <v>89</v>
      </c>
      <c r="B9" s="22" t="s">
        <v>90</v>
      </c>
      <c r="C9" s="22" t="s">
        <v>91</v>
      </c>
      <c r="D9" s="22">
        <v>1960</v>
      </c>
      <c r="E9" s="22">
        <v>41</v>
      </c>
      <c r="F9" s="21">
        <f t="shared" si="0"/>
        <v>457573.75999999995</v>
      </c>
      <c r="G9" s="21">
        <f t="shared" si="1"/>
        <v>68636.063999999984</v>
      </c>
      <c r="H9" s="21">
        <v>90000</v>
      </c>
      <c r="I9" s="21">
        <v>15000</v>
      </c>
      <c r="J9" s="21">
        <v>15000</v>
      </c>
      <c r="K9" s="26"/>
      <c r="L9" s="21">
        <f>SUM(F9:K9)</f>
        <v>646209.82399999991</v>
      </c>
      <c r="M9" s="21">
        <v>76277.545792000004</v>
      </c>
      <c r="N9" s="21">
        <v>70004.063039999979</v>
      </c>
      <c r="O9" s="21">
        <v>38115.894207999998</v>
      </c>
      <c r="P9" s="21">
        <f>IF((D9*233.456*3%)&gt;7004,7004,(D9*233.456*3%))</f>
        <v>7004</v>
      </c>
      <c r="Q9" s="21">
        <f t="shared" si="2"/>
        <v>531085.86675199994</v>
      </c>
      <c r="R9" s="21">
        <v>526209.82399999991</v>
      </c>
    </row>
    <row r="10" spans="1:19" ht="15.75" thickBot="1" x14ac:dyDescent="0.3">
      <c r="A10" s="21" t="s">
        <v>89</v>
      </c>
      <c r="B10" s="22" t="s">
        <v>90</v>
      </c>
      <c r="C10" s="22" t="s">
        <v>92</v>
      </c>
      <c r="D10" s="22">
        <v>2145</v>
      </c>
      <c r="E10" s="22">
        <v>13</v>
      </c>
      <c r="F10" s="21">
        <f t="shared" si="0"/>
        <v>500763.12</v>
      </c>
      <c r="G10" s="21">
        <f t="shared" si="1"/>
        <v>75114.467999999993</v>
      </c>
      <c r="H10" s="21">
        <v>90000</v>
      </c>
      <c r="I10" s="21">
        <v>15000</v>
      </c>
      <c r="J10" s="21">
        <v>15000</v>
      </c>
      <c r="K10" s="26"/>
      <c r="L10" s="21">
        <f>SUM(F10:K10)</f>
        <v>695877.58799999999</v>
      </c>
      <c r="M10" s="21">
        <v>83477.212104000006</v>
      </c>
      <c r="N10" s="21">
        <v>80434.293479999993</v>
      </c>
      <c r="O10" s="21">
        <v>41713.567896</v>
      </c>
      <c r="P10" s="21">
        <f>IF((D10*233.456*3%)&gt;7004,7004,(D10*233.456*3%))</f>
        <v>7004</v>
      </c>
      <c r="Q10" s="21">
        <f t="shared" si="2"/>
        <v>566725.726624</v>
      </c>
      <c r="R10" s="21">
        <v>575877.58799999999</v>
      </c>
    </row>
    <row r="11" spans="1:19" ht="15.75" thickBot="1" x14ac:dyDescent="0.3">
      <c r="A11" s="21" t="s">
        <v>89</v>
      </c>
      <c r="B11" s="22" t="s">
        <v>90</v>
      </c>
      <c r="C11" s="22" t="s">
        <v>92</v>
      </c>
      <c r="D11" s="22">
        <v>2130</v>
      </c>
      <c r="E11" s="22">
        <v>12</v>
      </c>
      <c r="F11" s="21">
        <f t="shared" si="0"/>
        <v>497261.27999999997</v>
      </c>
      <c r="G11" s="21">
        <f t="shared" si="1"/>
        <v>74589.191999999995</v>
      </c>
      <c r="H11" s="21">
        <v>90000</v>
      </c>
      <c r="I11" s="21">
        <v>15000</v>
      </c>
      <c r="J11" s="21">
        <v>15000</v>
      </c>
      <c r="K11" s="26"/>
      <c r="L11" s="21">
        <f>SUM(F11:K11)</f>
        <v>691850.47199999995</v>
      </c>
      <c r="M11" s="21">
        <v>82893.455375999998</v>
      </c>
      <c r="N11" s="21">
        <v>79588.599119999984</v>
      </c>
      <c r="O11" s="21">
        <v>41421.864623999994</v>
      </c>
      <c r="P11" s="21">
        <f>IF((D11*233.456*3%)&gt;7004,7004,(D11*233.456*3%))</f>
        <v>7004</v>
      </c>
      <c r="Q11" s="21">
        <f t="shared" si="2"/>
        <v>563836.008256</v>
      </c>
      <c r="R11" s="21">
        <v>571850.47199999995</v>
      </c>
    </row>
    <row r="12" spans="1:19" ht="15.75" thickBot="1" x14ac:dyDescent="0.3">
      <c r="A12" s="21" t="s">
        <v>89</v>
      </c>
      <c r="B12" s="22" t="s">
        <v>90</v>
      </c>
      <c r="C12" s="22" t="s">
        <v>92</v>
      </c>
      <c r="D12" s="22">
        <v>2055</v>
      </c>
      <c r="E12" s="22">
        <v>11</v>
      </c>
      <c r="F12" s="21">
        <f t="shared" si="0"/>
        <v>479752.07999999996</v>
      </c>
      <c r="G12" s="21">
        <f t="shared" si="1"/>
        <v>71962.811999999991</v>
      </c>
      <c r="H12" s="21">
        <v>90000</v>
      </c>
      <c r="I12" s="21">
        <v>15000</v>
      </c>
      <c r="J12" s="21">
        <v>15000</v>
      </c>
      <c r="K12" s="26"/>
      <c r="L12" s="21">
        <f>SUM(F12:K12)</f>
        <v>671714.89199999999</v>
      </c>
      <c r="M12" s="21">
        <v>79974.671736000004</v>
      </c>
      <c r="N12" s="21">
        <v>75360.12732</v>
      </c>
      <c r="O12" s="21">
        <v>39963.348263999993</v>
      </c>
      <c r="P12" s="21">
        <f>IF((D12*233.456*3%)&gt;7004,7004,(D12*233.456*3%))</f>
        <v>7004</v>
      </c>
      <c r="Q12" s="21">
        <f t="shared" si="2"/>
        <v>549387.41641599999</v>
      </c>
      <c r="R12" s="21">
        <v>551714.89199999999</v>
      </c>
    </row>
    <row r="13" spans="1:19" ht="15.75" thickBot="1" x14ac:dyDescent="0.3">
      <c r="A13" s="21" t="s">
        <v>89</v>
      </c>
      <c r="B13" s="22" t="s">
        <v>90</v>
      </c>
      <c r="C13" s="22" t="s">
        <v>92</v>
      </c>
      <c r="D13" s="22">
        <v>1980</v>
      </c>
      <c r="E13" s="22">
        <v>23</v>
      </c>
      <c r="F13" s="21">
        <f t="shared" si="0"/>
        <v>462242.88</v>
      </c>
      <c r="G13" s="21">
        <f t="shared" si="1"/>
        <v>69336.432000000001</v>
      </c>
      <c r="H13" s="21">
        <v>90000</v>
      </c>
      <c r="I13" s="21">
        <v>15000</v>
      </c>
      <c r="J13" s="21">
        <v>15000</v>
      </c>
      <c r="K13" s="26"/>
      <c r="L13" s="21">
        <f>SUM(F13:K13)</f>
        <v>651579.31200000003</v>
      </c>
      <c r="M13" s="21">
        <v>77055.88809600001</v>
      </c>
      <c r="N13" s="21">
        <v>71131.65552</v>
      </c>
      <c r="O13" s="21">
        <v>38504.831903999999</v>
      </c>
      <c r="P13" s="21">
        <f>IF((D13*233.456*3%)&gt;7004,7004,(D13*233.456*3%))</f>
        <v>7004</v>
      </c>
      <c r="Q13" s="21">
        <f t="shared" si="2"/>
        <v>534938.82457599998</v>
      </c>
      <c r="R13" s="21">
        <v>531579.31200000003</v>
      </c>
    </row>
    <row r="14" spans="1:19" ht="15.75" thickBot="1" x14ac:dyDescent="0.3">
      <c r="A14" s="21" t="s">
        <v>89</v>
      </c>
      <c r="B14" s="22" t="s">
        <v>90</v>
      </c>
      <c r="C14" s="22" t="s">
        <v>92</v>
      </c>
      <c r="D14" s="22">
        <v>1955</v>
      </c>
      <c r="E14" s="22">
        <v>22</v>
      </c>
      <c r="F14" s="21">
        <f t="shared" si="0"/>
        <v>456406.48</v>
      </c>
      <c r="G14" s="21">
        <f t="shared" si="1"/>
        <v>68460.971999999994</v>
      </c>
      <c r="H14" s="21">
        <v>90000</v>
      </c>
      <c r="I14" s="21">
        <v>15000</v>
      </c>
      <c r="J14" s="21">
        <v>15000</v>
      </c>
      <c r="K14" s="26"/>
      <c r="L14" s="21">
        <f>SUM(F14:K14)</f>
        <v>644867.45199999993</v>
      </c>
      <c r="M14" s="21">
        <v>76082.960216000007</v>
      </c>
      <c r="N14" s="21">
        <v>69722.164919999981</v>
      </c>
      <c r="O14" s="21">
        <v>38018.659783999996</v>
      </c>
      <c r="P14" s="21">
        <f>IF((D14*233.456*3%)&gt;7004,7004,(D14*233.456*3%))</f>
        <v>7004</v>
      </c>
      <c r="Q14" s="21">
        <f t="shared" si="2"/>
        <v>530122.62729600002</v>
      </c>
      <c r="R14" s="21">
        <v>524867.45199999993</v>
      </c>
    </row>
    <row r="15" spans="1:19" ht="15.75" thickBot="1" x14ac:dyDescent="0.3">
      <c r="A15" s="21" t="s">
        <v>89</v>
      </c>
      <c r="B15" s="22" t="s">
        <v>90</v>
      </c>
      <c r="C15" s="22" t="s">
        <v>92</v>
      </c>
      <c r="D15" s="22">
        <v>1880</v>
      </c>
      <c r="E15" s="22">
        <v>21</v>
      </c>
      <c r="F15" s="21">
        <f t="shared" si="0"/>
        <v>438897.27999999997</v>
      </c>
      <c r="G15" s="21">
        <f t="shared" si="1"/>
        <v>65834.59199999999</v>
      </c>
      <c r="H15" s="21">
        <v>90000</v>
      </c>
      <c r="I15" s="21">
        <v>15000</v>
      </c>
      <c r="J15" s="21">
        <v>15000</v>
      </c>
      <c r="K15" s="26"/>
      <c r="L15" s="21">
        <f>SUM(F15:K15)</f>
        <v>624731.87199999997</v>
      </c>
      <c r="M15" s="21">
        <v>73164.176575999998</v>
      </c>
      <c r="N15" s="21">
        <v>65493.693119999982</v>
      </c>
      <c r="O15" s="21">
        <v>36560.143423999994</v>
      </c>
      <c r="P15" s="21">
        <f>IF((D15*233.456*3%)&gt;7004,7004,(D15*233.456*3%))</f>
        <v>7004</v>
      </c>
      <c r="Q15" s="21">
        <f t="shared" si="2"/>
        <v>515674.03545600001</v>
      </c>
      <c r="R15" s="21">
        <v>504731.87199999997</v>
      </c>
    </row>
    <row r="16" spans="1:19" ht="15.75" thickBot="1" x14ac:dyDescent="0.3">
      <c r="A16" s="21" t="s">
        <v>89</v>
      </c>
      <c r="B16" s="22" t="s">
        <v>90</v>
      </c>
      <c r="C16" s="22" t="s">
        <v>92</v>
      </c>
      <c r="D16" s="22">
        <v>1765</v>
      </c>
      <c r="E16" s="22">
        <v>33</v>
      </c>
      <c r="F16" s="21">
        <f t="shared" si="0"/>
        <v>412049.83999999997</v>
      </c>
      <c r="G16" s="21">
        <f t="shared" si="1"/>
        <v>61807.475999999995</v>
      </c>
      <c r="H16" s="21">
        <v>90000</v>
      </c>
      <c r="I16" s="21">
        <v>15000</v>
      </c>
      <c r="J16" s="21">
        <v>15000</v>
      </c>
      <c r="K16" s="26"/>
      <c r="L16" s="21">
        <f>SUM(F16:K16)</f>
        <v>593857.31599999999</v>
      </c>
      <c r="M16" s="21">
        <v>68688.708328000008</v>
      </c>
      <c r="N16" s="21">
        <v>59010.036359999998</v>
      </c>
      <c r="O16" s="21">
        <v>34323.751671999999</v>
      </c>
      <c r="P16" s="21">
        <f>IF((D16*233.456*3%)&gt;7004,7004,(D16*233.456*3%))</f>
        <v>7004</v>
      </c>
      <c r="Q16" s="21">
        <f t="shared" si="2"/>
        <v>493519.52796799998</v>
      </c>
      <c r="R16" s="21">
        <v>473857.31599999999</v>
      </c>
    </row>
    <row r="17" spans="1:18" ht="15.75" thickBot="1" x14ac:dyDescent="0.3">
      <c r="A17" s="21" t="s">
        <v>89</v>
      </c>
      <c r="B17" s="22" t="s">
        <v>90</v>
      </c>
      <c r="C17" s="22" t="s">
        <v>92</v>
      </c>
      <c r="D17" s="22">
        <v>1655</v>
      </c>
      <c r="E17" s="22">
        <v>32</v>
      </c>
      <c r="F17" s="21">
        <f t="shared" si="0"/>
        <v>386369.68</v>
      </c>
      <c r="G17" s="21">
        <f t="shared" si="1"/>
        <v>57955.451999999997</v>
      </c>
      <c r="H17" s="21">
        <v>90000</v>
      </c>
      <c r="I17" s="21">
        <v>15000</v>
      </c>
      <c r="J17" s="21">
        <v>15000</v>
      </c>
      <c r="K17" s="26"/>
      <c r="L17" s="21">
        <f>SUM(F17:K17)</f>
        <v>564325.13199999998</v>
      </c>
      <c r="M17" s="21">
        <v>64407.825656000008</v>
      </c>
      <c r="N17" s="21">
        <v>52808.277719999998</v>
      </c>
      <c r="O17" s="21">
        <v>32184.594343999997</v>
      </c>
      <c r="P17" s="21">
        <f>IF((D17*233.456*3%)&gt;7004,7004,(D17*233.456*3%))</f>
        <v>7004</v>
      </c>
      <c r="Q17" s="21">
        <f t="shared" si="2"/>
        <v>472328.25993599999</v>
      </c>
      <c r="R17" s="21">
        <v>444325.13199999998</v>
      </c>
    </row>
    <row r="18" spans="1:18" ht="15.75" thickBot="1" x14ac:dyDescent="0.3">
      <c r="A18" s="21" t="s">
        <v>89</v>
      </c>
      <c r="B18" s="22" t="s">
        <v>90</v>
      </c>
      <c r="C18" s="22" t="s">
        <v>92</v>
      </c>
      <c r="D18" s="22">
        <v>1580</v>
      </c>
      <c r="E18" s="22">
        <v>31</v>
      </c>
      <c r="F18" s="21">
        <f t="shared" si="0"/>
        <v>368860.48</v>
      </c>
      <c r="G18" s="21">
        <f t="shared" si="1"/>
        <v>55329.071999999993</v>
      </c>
      <c r="H18" s="21">
        <v>90000</v>
      </c>
      <c r="I18" s="21">
        <v>15000</v>
      </c>
      <c r="J18" s="21">
        <v>15000</v>
      </c>
      <c r="K18" s="26"/>
      <c r="L18" s="21">
        <f>SUM(F18:K18)</f>
        <v>544189.55199999991</v>
      </c>
      <c r="M18" s="21">
        <v>61489.042015999999</v>
      </c>
      <c r="N18" s="21">
        <v>48579.805919999992</v>
      </c>
      <c r="O18" s="21">
        <v>30726.077984</v>
      </c>
      <c r="P18" s="21">
        <f>IF((D18*233.456*3%)&gt;7004,7004,(D18*233.456*3%))</f>
        <v>7004</v>
      </c>
      <c r="Q18" s="21">
        <f t="shared" si="2"/>
        <v>457879.66809599992</v>
      </c>
      <c r="R18" s="21">
        <v>424189.55199999997</v>
      </c>
    </row>
    <row r="19" spans="1:18" ht="15.75" thickBot="1" x14ac:dyDescent="0.3">
      <c r="A19" s="21" t="s">
        <v>89</v>
      </c>
      <c r="B19" s="22" t="s">
        <v>90</v>
      </c>
      <c r="C19" s="22" t="s">
        <v>92</v>
      </c>
      <c r="D19" s="22">
        <v>1485</v>
      </c>
      <c r="E19" s="22">
        <v>44</v>
      </c>
      <c r="F19" s="21">
        <f t="shared" si="0"/>
        <v>346682.16</v>
      </c>
      <c r="G19" s="21">
        <f t="shared" si="1"/>
        <v>52002.323999999993</v>
      </c>
      <c r="H19" s="21">
        <v>90000</v>
      </c>
      <c r="I19" s="21">
        <v>15000</v>
      </c>
      <c r="J19" s="21">
        <v>15000</v>
      </c>
      <c r="K19" s="26"/>
      <c r="L19" s="21">
        <f>SUM(F19:K19)</f>
        <v>518684.48399999994</v>
      </c>
      <c r="M19" s="21">
        <v>57791.916072</v>
      </c>
      <c r="N19" s="21">
        <v>43223.741639999986</v>
      </c>
      <c r="O19" s="21">
        <v>28878.623927999997</v>
      </c>
      <c r="P19" s="21">
        <f>IF((D19*233.456*3%)&gt;7004,7004,(D19*233.456*3%))</f>
        <v>7004</v>
      </c>
      <c r="Q19" s="21">
        <f t="shared" si="2"/>
        <v>439578.11843199993</v>
      </c>
      <c r="R19" s="21">
        <v>398684.48399999994</v>
      </c>
    </row>
    <row r="20" spans="1:18" ht="15.75" thickBot="1" x14ac:dyDescent="0.3">
      <c r="A20" s="21" t="s">
        <v>89</v>
      </c>
      <c r="B20" s="22" t="s">
        <v>90</v>
      </c>
      <c r="C20" s="22" t="s">
        <v>92</v>
      </c>
      <c r="D20" s="22">
        <v>1410</v>
      </c>
      <c r="E20" s="22">
        <v>43</v>
      </c>
      <c r="F20" s="21">
        <f t="shared" si="0"/>
        <v>329172.95999999996</v>
      </c>
      <c r="G20" s="21">
        <f t="shared" si="1"/>
        <v>49375.943999999996</v>
      </c>
      <c r="H20" s="21">
        <v>90000</v>
      </c>
      <c r="I20" s="21">
        <v>15000</v>
      </c>
      <c r="J20" s="21">
        <v>15000</v>
      </c>
      <c r="K20" s="26"/>
      <c r="L20" s="21">
        <f>SUM(F20:K20)</f>
        <v>498548.90399999998</v>
      </c>
      <c r="M20" s="21">
        <v>54873.132431999999</v>
      </c>
      <c r="N20" s="21">
        <v>38995.269839999994</v>
      </c>
      <c r="O20" s="21">
        <v>27420.107567999996</v>
      </c>
      <c r="P20" s="21">
        <f>IF((D20*233.456*3%)&gt;7004,7004,(D20*233.456*3%))</f>
        <v>7004</v>
      </c>
      <c r="Q20" s="21">
        <f t="shared" si="2"/>
        <v>425129.52659199998</v>
      </c>
      <c r="R20" s="21">
        <v>378548.90399999998</v>
      </c>
    </row>
    <row r="21" spans="1:18" ht="15.75" thickBot="1" x14ac:dyDescent="0.3">
      <c r="A21" s="21" t="s">
        <v>89</v>
      </c>
      <c r="B21" s="22" t="s">
        <v>90</v>
      </c>
      <c r="C21" s="22" t="s">
        <v>92</v>
      </c>
      <c r="D21" s="22">
        <v>1360</v>
      </c>
      <c r="E21" s="22">
        <v>42</v>
      </c>
      <c r="F21" s="21">
        <f t="shared" si="0"/>
        <v>317500.15999999997</v>
      </c>
      <c r="G21" s="21">
        <f t="shared" si="1"/>
        <v>47625.023999999998</v>
      </c>
      <c r="H21" s="21">
        <v>90000</v>
      </c>
      <c r="I21" s="21">
        <v>15000</v>
      </c>
      <c r="J21" s="21">
        <v>15000</v>
      </c>
      <c r="K21" s="26"/>
      <c r="L21" s="21">
        <f>SUM(F21:K21)</f>
        <v>485125.18399999995</v>
      </c>
      <c r="M21" s="21">
        <v>52927.276672</v>
      </c>
      <c r="N21" s="21">
        <v>36176.288639999984</v>
      </c>
      <c r="O21" s="21">
        <v>26447.763327999997</v>
      </c>
      <c r="P21" s="21">
        <f>IF((D21*233.456*3%)&gt;7004,7004,(D21*233.456*3%))</f>
        <v>7004</v>
      </c>
      <c r="Q21" s="21">
        <f t="shared" si="2"/>
        <v>415497.13203199999</v>
      </c>
      <c r="R21" s="21">
        <v>365125.18399999995</v>
      </c>
    </row>
    <row r="22" spans="1:18" ht="15.75" thickBot="1" x14ac:dyDescent="0.3">
      <c r="A22" s="21" t="s">
        <v>89</v>
      </c>
      <c r="B22" s="22" t="s">
        <v>90</v>
      </c>
      <c r="C22" s="22" t="s">
        <v>92</v>
      </c>
      <c r="D22" s="22">
        <v>1315</v>
      </c>
      <c r="E22" s="22">
        <v>41</v>
      </c>
      <c r="F22" s="21">
        <f t="shared" si="0"/>
        <v>306994.64</v>
      </c>
      <c r="G22" s="21">
        <f t="shared" si="1"/>
        <v>46049.196000000004</v>
      </c>
      <c r="H22" s="21">
        <v>90000</v>
      </c>
      <c r="I22" s="21">
        <v>15000</v>
      </c>
      <c r="J22" s="21">
        <v>15000</v>
      </c>
      <c r="K22" s="26"/>
      <c r="L22" s="21">
        <f>SUM(F22:K22)</f>
        <v>473043.83600000001</v>
      </c>
      <c r="M22" s="21">
        <v>51176.006488000006</v>
      </c>
      <c r="N22" s="21">
        <v>33639.205560000002</v>
      </c>
      <c r="O22" s="21">
        <v>25572.653512000001</v>
      </c>
      <c r="P22" s="21">
        <f>IF((D22*233.456*3%)&gt;7004,7004,(D22*233.456*3%))</f>
        <v>7004</v>
      </c>
      <c r="Q22" s="21">
        <f t="shared" si="2"/>
        <v>406827.97692799999</v>
      </c>
      <c r="R22" s="21">
        <v>353043.83600000001</v>
      </c>
    </row>
    <row r="23" spans="1:18" ht="15.75" thickBot="1" x14ac:dyDescent="0.3">
      <c r="A23" s="21" t="s">
        <v>89</v>
      </c>
      <c r="B23" s="22" t="s">
        <v>90</v>
      </c>
      <c r="C23" s="22" t="s">
        <v>93</v>
      </c>
      <c r="D23" s="22">
        <v>2115</v>
      </c>
      <c r="E23" s="22">
        <v>13</v>
      </c>
      <c r="F23" s="21">
        <f t="shared" si="0"/>
        <v>493759.44</v>
      </c>
      <c r="G23" s="21">
        <f t="shared" si="1"/>
        <v>74063.915999999997</v>
      </c>
      <c r="H23" s="21">
        <v>90000</v>
      </c>
      <c r="I23" s="21">
        <v>15000</v>
      </c>
      <c r="J23" s="21">
        <v>15000</v>
      </c>
      <c r="K23" s="26"/>
      <c r="L23" s="21">
        <f>SUM(F23:K23)</f>
        <v>687823.35600000003</v>
      </c>
      <c r="M23" s="21">
        <v>82309.698648000005</v>
      </c>
      <c r="N23" s="21">
        <v>78742.904760000005</v>
      </c>
      <c r="O23" s="21">
        <v>41130.161352000003</v>
      </c>
      <c r="P23" s="21">
        <f>IF((D23*233.456*3%)&gt;7004,7004,(D23*233.456*3%))</f>
        <v>7004</v>
      </c>
      <c r="Q23" s="21">
        <f t="shared" si="2"/>
        <v>560946.289888</v>
      </c>
      <c r="R23" s="21">
        <v>567823.35600000003</v>
      </c>
    </row>
    <row r="24" spans="1:18" ht="15.75" thickBot="1" x14ac:dyDescent="0.3">
      <c r="A24" s="21" t="s">
        <v>89</v>
      </c>
      <c r="B24" s="22" t="s">
        <v>90</v>
      </c>
      <c r="C24" s="22" t="s">
        <v>93</v>
      </c>
      <c r="D24" s="22">
        <v>2105</v>
      </c>
      <c r="E24" s="22">
        <v>12</v>
      </c>
      <c r="F24" s="21">
        <f t="shared" si="0"/>
        <v>491424.88</v>
      </c>
      <c r="G24" s="21">
        <f t="shared" si="1"/>
        <v>73713.732000000004</v>
      </c>
      <c r="H24" s="21">
        <v>90000</v>
      </c>
      <c r="I24" s="21">
        <v>15000</v>
      </c>
      <c r="J24" s="21">
        <v>15000</v>
      </c>
      <c r="K24" s="26"/>
      <c r="L24" s="21">
        <f>SUM(F24:K24)</f>
        <v>685138.61199999996</v>
      </c>
      <c r="M24" s="21">
        <v>81920.52749600001</v>
      </c>
      <c r="N24" s="21">
        <v>78179.108519999994</v>
      </c>
      <c r="O24" s="21">
        <v>40935.692503999999</v>
      </c>
      <c r="P24" s="21">
        <f>IF((D24*233.456*3%)&gt;7004,7004,(D24*233.456*3%))</f>
        <v>7004</v>
      </c>
      <c r="Q24" s="21">
        <f t="shared" si="2"/>
        <v>559019.81097600004</v>
      </c>
      <c r="R24" s="21">
        <v>565138.61199999996</v>
      </c>
    </row>
    <row r="25" spans="1:18" ht="15.75" thickBot="1" x14ac:dyDescent="0.3">
      <c r="A25" s="21" t="s">
        <v>89</v>
      </c>
      <c r="B25" s="22" t="s">
        <v>90</v>
      </c>
      <c r="C25" s="22" t="s">
        <v>93</v>
      </c>
      <c r="D25" s="22">
        <v>2040</v>
      </c>
      <c r="E25" s="22">
        <v>11</v>
      </c>
      <c r="F25" s="21">
        <f t="shared" si="0"/>
        <v>476250.24</v>
      </c>
      <c r="G25" s="21">
        <f t="shared" si="1"/>
        <v>71437.535999999993</v>
      </c>
      <c r="H25" s="21">
        <v>90000</v>
      </c>
      <c r="I25" s="21">
        <v>15000</v>
      </c>
      <c r="J25" s="21">
        <v>15000</v>
      </c>
      <c r="K25" s="26"/>
      <c r="L25" s="21">
        <f>SUM(F25:K25)</f>
        <v>667687.77599999995</v>
      </c>
      <c r="M25" s="21">
        <v>79390.915008000011</v>
      </c>
      <c r="N25" s="21">
        <v>74514.432959999991</v>
      </c>
      <c r="O25" s="21">
        <v>39671.644992000001</v>
      </c>
      <c r="P25" s="21">
        <f>IF((D25*233.456*3%)&gt;7004,7004,(D25*233.456*3%))</f>
        <v>7004</v>
      </c>
      <c r="Q25" s="21">
        <f t="shared" si="2"/>
        <v>546497.69804799999</v>
      </c>
      <c r="R25" s="21">
        <v>547687.77599999995</v>
      </c>
    </row>
    <row r="26" spans="1:18" ht="15.75" thickBot="1" x14ac:dyDescent="0.3">
      <c r="A26" s="21" t="s">
        <v>89</v>
      </c>
      <c r="B26" s="22" t="s">
        <v>90</v>
      </c>
      <c r="C26" s="22" t="s">
        <v>93</v>
      </c>
      <c r="D26" s="22">
        <v>1905</v>
      </c>
      <c r="E26" s="22">
        <v>23</v>
      </c>
      <c r="F26" s="21">
        <f t="shared" si="0"/>
        <v>444733.68</v>
      </c>
      <c r="G26" s="21">
        <f t="shared" si="1"/>
        <v>66710.051999999996</v>
      </c>
      <c r="H26" s="21">
        <v>90000</v>
      </c>
      <c r="I26" s="21">
        <v>15000</v>
      </c>
      <c r="J26" s="21">
        <v>15000</v>
      </c>
      <c r="K26" s="26"/>
      <c r="L26" s="21">
        <f>SUM(F26:K26)</f>
        <v>631443.73199999996</v>
      </c>
      <c r="M26" s="21">
        <v>74137.104456000001</v>
      </c>
      <c r="N26" s="21">
        <v>66903.183719999986</v>
      </c>
      <c r="O26" s="21">
        <v>37046.315543999997</v>
      </c>
      <c r="P26" s="21">
        <f>IF((D26*233.456*3%)&gt;7004,7004,(D26*233.456*3%))</f>
        <v>7004</v>
      </c>
      <c r="Q26" s="21">
        <f t="shared" si="2"/>
        <v>520490.23273599998</v>
      </c>
      <c r="R26" s="21">
        <v>511443.73199999996</v>
      </c>
    </row>
    <row r="27" spans="1:18" ht="15.75" thickBot="1" x14ac:dyDescent="0.3">
      <c r="A27" s="21" t="s">
        <v>89</v>
      </c>
      <c r="B27" s="22" t="s">
        <v>90</v>
      </c>
      <c r="C27" s="22" t="s">
        <v>93</v>
      </c>
      <c r="D27" s="22">
        <v>1810</v>
      </c>
      <c r="E27" s="22">
        <v>22</v>
      </c>
      <c r="F27" s="21">
        <f t="shared" si="0"/>
        <v>422555.36</v>
      </c>
      <c r="G27" s="21">
        <f t="shared" si="1"/>
        <v>63383.303999999996</v>
      </c>
      <c r="H27" s="21">
        <v>90000</v>
      </c>
      <c r="I27" s="21">
        <v>15000</v>
      </c>
      <c r="J27" s="21">
        <v>15000</v>
      </c>
      <c r="K27" s="26"/>
      <c r="L27" s="21">
        <f>SUM(F27:K27)</f>
        <v>605938.66399999999</v>
      </c>
      <c r="M27" s="21">
        <v>70439.978512000002</v>
      </c>
      <c r="N27" s="21">
        <v>61547.119439999995</v>
      </c>
      <c r="O27" s="21">
        <v>35198.861487999995</v>
      </c>
      <c r="P27" s="21">
        <f>IF((D27*233.456*3%)&gt;7004,7004,(D27*233.456*3%))</f>
        <v>7004</v>
      </c>
      <c r="Q27" s="21">
        <f t="shared" si="2"/>
        <v>502188.68307199999</v>
      </c>
      <c r="R27" s="21">
        <v>485938.66399999999</v>
      </c>
    </row>
    <row r="28" spans="1:18" ht="15.75" thickBot="1" x14ac:dyDescent="0.3">
      <c r="A28" s="21" t="s">
        <v>89</v>
      </c>
      <c r="B28" s="22" t="s">
        <v>90</v>
      </c>
      <c r="C28" s="22" t="s">
        <v>93</v>
      </c>
      <c r="D28" s="22">
        <v>1680</v>
      </c>
      <c r="E28" s="22">
        <v>21</v>
      </c>
      <c r="F28" s="21">
        <f t="shared" si="0"/>
        <v>392206.07999999996</v>
      </c>
      <c r="G28" s="21">
        <f t="shared" si="1"/>
        <v>58830.911999999989</v>
      </c>
      <c r="H28" s="21">
        <v>90000</v>
      </c>
      <c r="I28" s="21">
        <v>15000</v>
      </c>
      <c r="J28" s="21">
        <v>15000</v>
      </c>
      <c r="K28" s="26"/>
      <c r="L28" s="21">
        <f>SUM(F28:K28)</f>
        <v>571036.99199999997</v>
      </c>
      <c r="M28" s="21">
        <v>65380.753535999997</v>
      </c>
      <c r="N28" s="21">
        <v>54217.768319999988</v>
      </c>
      <c r="O28" s="21">
        <v>32670.766463999997</v>
      </c>
      <c r="P28" s="21">
        <f>IF((D28*233.456*3%)&gt;7004,7004,(D28*233.456*3%))</f>
        <v>7004</v>
      </c>
      <c r="Q28" s="21">
        <f t="shared" si="2"/>
        <v>477144.45721599995</v>
      </c>
      <c r="R28" s="21">
        <v>451036.99199999997</v>
      </c>
    </row>
    <row r="29" spans="1:18" ht="15.75" thickBot="1" x14ac:dyDescent="0.3">
      <c r="A29" s="21" t="s">
        <v>89</v>
      </c>
      <c r="B29" s="22" t="s">
        <v>90</v>
      </c>
      <c r="C29" s="22" t="s">
        <v>93</v>
      </c>
      <c r="D29" s="22">
        <v>1520</v>
      </c>
      <c r="E29" s="22">
        <v>33</v>
      </c>
      <c r="F29" s="21">
        <f t="shared" si="0"/>
        <v>354853.12</v>
      </c>
      <c r="G29" s="21">
        <f t="shared" si="1"/>
        <v>53227.968000000001</v>
      </c>
      <c r="H29" s="21">
        <v>90000</v>
      </c>
      <c r="I29" s="21">
        <v>15000</v>
      </c>
      <c r="J29" s="21">
        <v>15000</v>
      </c>
      <c r="K29" s="26"/>
      <c r="L29" s="21">
        <f>SUM(F29:K29)</f>
        <v>528081.08799999999</v>
      </c>
      <c r="M29" s="21">
        <v>59154.015104000006</v>
      </c>
      <c r="N29" s="21">
        <v>45197.028479999994</v>
      </c>
      <c r="O29" s="21">
        <v>29559.264896000001</v>
      </c>
      <c r="P29" s="21">
        <f>IF((D29*233.456*3%)&gt;7004,7004,(D29*233.456*3%))</f>
        <v>7004</v>
      </c>
      <c r="Q29" s="21">
        <f t="shared" si="2"/>
        <v>446320.79462399997</v>
      </c>
      <c r="R29" s="21">
        <v>408081.08799999999</v>
      </c>
    </row>
    <row r="30" spans="1:18" ht="15.75" thickBot="1" x14ac:dyDescent="0.3">
      <c r="A30" s="21" t="s">
        <v>89</v>
      </c>
      <c r="B30" s="22" t="s">
        <v>90</v>
      </c>
      <c r="C30" s="22" t="s">
        <v>93</v>
      </c>
      <c r="D30" s="22">
        <v>1390</v>
      </c>
      <c r="E30" s="22">
        <v>32</v>
      </c>
      <c r="F30" s="21">
        <f t="shared" si="0"/>
        <v>324503.83999999997</v>
      </c>
      <c r="G30" s="21">
        <f t="shared" si="1"/>
        <v>48675.575999999994</v>
      </c>
      <c r="H30" s="21">
        <v>90000</v>
      </c>
      <c r="I30" s="21">
        <v>15000</v>
      </c>
      <c r="J30" s="21">
        <v>15000</v>
      </c>
      <c r="K30" s="26"/>
      <c r="L30" s="21">
        <f>SUM(F30:K30)</f>
        <v>493179.41599999997</v>
      </c>
      <c r="M30" s="21">
        <v>54094.790128000001</v>
      </c>
      <c r="N30" s="21">
        <v>37867.677359999987</v>
      </c>
      <c r="O30" s="21">
        <v>27031.169871999999</v>
      </c>
      <c r="P30" s="21">
        <f>IF((D30*233.456*3%)&gt;7004,7004,(D30*233.456*3%))</f>
        <v>7004</v>
      </c>
      <c r="Q30" s="21">
        <f t="shared" si="2"/>
        <v>421276.568768</v>
      </c>
      <c r="R30" s="21">
        <v>373179.41599999997</v>
      </c>
    </row>
    <row r="31" spans="1:18" ht="15.75" thickBot="1" x14ac:dyDescent="0.3">
      <c r="A31" s="21" t="s">
        <v>89</v>
      </c>
      <c r="B31" s="22" t="s">
        <v>90</v>
      </c>
      <c r="C31" s="22" t="s">
        <v>93</v>
      </c>
      <c r="D31" s="22">
        <v>1295</v>
      </c>
      <c r="E31" s="22">
        <v>31</v>
      </c>
      <c r="F31" s="21">
        <f t="shared" si="0"/>
        <v>302325.51999999996</v>
      </c>
      <c r="G31" s="21">
        <f t="shared" si="1"/>
        <v>45348.827999999994</v>
      </c>
      <c r="H31" s="21">
        <v>90000</v>
      </c>
      <c r="I31" s="21">
        <v>15000</v>
      </c>
      <c r="J31" s="21">
        <v>15000</v>
      </c>
      <c r="K31" s="26"/>
      <c r="L31" s="21">
        <f>SUM(F31:K31)</f>
        <v>467674.34799999994</v>
      </c>
      <c r="M31" s="21">
        <v>50397.664184000001</v>
      </c>
      <c r="N31" s="21">
        <v>32511.613079999988</v>
      </c>
      <c r="O31" s="21">
        <v>25183.715815999996</v>
      </c>
      <c r="P31" s="21">
        <f>IF((D31*233.456*3%)&gt;7004,7004,(D31*233.456*3%))</f>
        <v>7004</v>
      </c>
      <c r="Q31" s="21">
        <f t="shared" si="2"/>
        <v>402975.01910399995</v>
      </c>
      <c r="R31" s="21">
        <v>347674.34799999994</v>
      </c>
    </row>
    <row r="32" spans="1:18" ht="15.75" thickBot="1" x14ac:dyDescent="0.3">
      <c r="A32" s="21" t="s">
        <v>89</v>
      </c>
      <c r="B32" s="22" t="s">
        <v>90</v>
      </c>
      <c r="C32" s="22" t="s">
        <v>93</v>
      </c>
      <c r="D32" s="22">
        <v>1165</v>
      </c>
      <c r="E32" s="22">
        <v>44</v>
      </c>
      <c r="F32" s="21">
        <f t="shared" si="0"/>
        <v>271976.24</v>
      </c>
      <c r="G32" s="21">
        <f t="shared" si="1"/>
        <v>40796.435999999994</v>
      </c>
      <c r="H32" s="21">
        <v>90000</v>
      </c>
      <c r="I32" s="21">
        <v>15000</v>
      </c>
      <c r="J32" s="21">
        <v>15000</v>
      </c>
      <c r="K32" s="26"/>
      <c r="L32" s="21">
        <f>SUM(F32:K32)</f>
        <v>432772.67599999998</v>
      </c>
      <c r="M32" s="21">
        <v>45338.439208000003</v>
      </c>
      <c r="N32" s="21">
        <v>25182.261959999996</v>
      </c>
      <c r="O32" s="21">
        <v>22655.620791999998</v>
      </c>
      <c r="P32" s="21">
        <f>IF((D32*233.456*3%)&gt;7004,7004,(D32*233.456*3%))</f>
        <v>7004</v>
      </c>
      <c r="Q32" s="21">
        <f t="shared" si="2"/>
        <v>377930.79324799997</v>
      </c>
      <c r="R32" s="21">
        <v>312772.67599999998</v>
      </c>
    </row>
    <row r="33" spans="1:18" ht="15.75" thickBot="1" x14ac:dyDescent="0.3">
      <c r="A33" s="21" t="s">
        <v>89</v>
      </c>
      <c r="B33" s="22" t="s">
        <v>90</v>
      </c>
      <c r="C33" s="22" t="s">
        <v>93</v>
      </c>
      <c r="D33" s="22">
        <v>1070</v>
      </c>
      <c r="E33" s="22">
        <v>43</v>
      </c>
      <c r="F33" s="21">
        <f t="shared" si="0"/>
        <v>249797.91999999998</v>
      </c>
      <c r="G33" s="21">
        <f t="shared" si="1"/>
        <v>37469.687999999995</v>
      </c>
      <c r="H33" s="21">
        <v>90000</v>
      </c>
      <c r="I33" s="21">
        <v>15000</v>
      </c>
      <c r="J33" s="21">
        <v>15000</v>
      </c>
      <c r="K33" s="26"/>
      <c r="L33" s="21">
        <f>SUM(F33:K33)</f>
        <v>407267.60800000001</v>
      </c>
      <c r="M33" s="21">
        <v>41641.313264000004</v>
      </c>
      <c r="N33" s="21">
        <v>19826.197679999997</v>
      </c>
      <c r="O33" s="21">
        <v>20808.166735999999</v>
      </c>
      <c r="P33" s="21">
        <f>IF((D33*233.456*3%)&gt;7004,7004,(D33*233.456*3%))</f>
        <v>7004</v>
      </c>
      <c r="Q33" s="21">
        <f t="shared" si="2"/>
        <v>359629.24358400004</v>
      </c>
      <c r="R33" s="21">
        <v>287267.60800000001</v>
      </c>
    </row>
    <row r="34" spans="1:18" ht="15.75" thickBot="1" x14ac:dyDescent="0.3">
      <c r="A34" s="21" t="s">
        <v>89</v>
      </c>
      <c r="B34" s="22" t="s">
        <v>90</v>
      </c>
      <c r="C34" s="22" t="s">
        <v>93</v>
      </c>
      <c r="D34" s="22">
        <v>1005</v>
      </c>
      <c r="E34" s="22">
        <v>42</v>
      </c>
      <c r="F34" s="21">
        <f t="shared" si="0"/>
        <v>234623.28</v>
      </c>
      <c r="G34" s="21">
        <f t="shared" si="1"/>
        <v>35193.491999999998</v>
      </c>
      <c r="H34" s="21">
        <v>90000</v>
      </c>
      <c r="I34" s="21">
        <v>15000</v>
      </c>
      <c r="J34" s="21">
        <v>15000</v>
      </c>
      <c r="K34" s="26"/>
      <c r="L34" s="21">
        <f>SUM(F34:K34)</f>
        <v>389816.772</v>
      </c>
      <c r="M34" s="21">
        <v>39111.700776000005</v>
      </c>
      <c r="N34" s="21">
        <v>16161.522120000001</v>
      </c>
      <c r="O34" s="21">
        <v>19544.119223999998</v>
      </c>
      <c r="P34" s="21">
        <f>IF((D34*233.456*3%)&gt;7004,7004,(D34*233.456*3%))</f>
        <v>7004</v>
      </c>
      <c r="Q34" s="21">
        <f t="shared" si="2"/>
        <v>347107.13065599999</v>
      </c>
      <c r="R34" s="21">
        <v>269816.772</v>
      </c>
    </row>
    <row r="35" spans="1:18" ht="15.75" thickBot="1" x14ac:dyDescent="0.3">
      <c r="A35" s="21" t="s">
        <v>89</v>
      </c>
      <c r="B35" s="22" t="s">
        <v>90</v>
      </c>
      <c r="C35" s="22" t="s">
        <v>93</v>
      </c>
      <c r="D35" s="22">
        <v>965</v>
      </c>
      <c r="E35" s="22">
        <v>41</v>
      </c>
      <c r="F35" s="21">
        <f t="shared" si="0"/>
        <v>225285.03999999998</v>
      </c>
      <c r="G35" s="21">
        <f t="shared" si="1"/>
        <v>33792.755999999994</v>
      </c>
      <c r="H35" s="21">
        <v>90000</v>
      </c>
      <c r="I35" s="21">
        <v>15000</v>
      </c>
      <c r="J35" s="21">
        <v>15000</v>
      </c>
      <c r="K35" s="26"/>
      <c r="L35" s="21">
        <f>SUM(F35:K35)</f>
        <v>379077.79599999997</v>
      </c>
      <c r="M35" s="21">
        <v>37555.016168000002</v>
      </c>
      <c r="N35" s="21">
        <v>13906.337159999995</v>
      </c>
      <c r="O35" s="21">
        <v>18766.243831999996</v>
      </c>
      <c r="P35" s="21">
        <f>IF((D35*233.456*3%)&gt;7004,7004,(D35*233.456*3%))</f>
        <v>6758.551199999999</v>
      </c>
      <c r="Q35" s="21">
        <f t="shared" si="2"/>
        <v>339646.66380799998</v>
      </c>
      <c r="R35" s="21">
        <v>259077.79599999997</v>
      </c>
    </row>
    <row r="36" spans="1:18" ht="15.75" thickBot="1" x14ac:dyDescent="0.3">
      <c r="A36" s="21" t="s">
        <v>89</v>
      </c>
      <c r="B36" s="22" t="s">
        <v>90</v>
      </c>
      <c r="C36" s="22" t="s">
        <v>94</v>
      </c>
      <c r="D36" s="22">
        <v>2095</v>
      </c>
      <c r="E36" s="22">
        <v>13</v>
      </c>
      <c r="F36" s="21">
        <f t="shared" si="0"/>
        <v>489090.31999999995</v>
      </c>
      <c r="G36" s="21">
        <f t="shared" si="1"/>
        <v>73363.547999999995</v>
      </c>
      <c r="H36" s="21">
        <v>70000</v>
      </c>
      <c r="I36" s="21">
        <v>15000</v>
      </c>
      <c r="J36" s="21">
        <v>15000</v>
      </c>
      <c r="K36" s="26"/>
      <c r="L36" s="21">
        <f>SUM(F36:K36)</f>
        <v>662453.8679999999</v>
      </c>
      <c r="M36" s="21">
        <v>81531.356344</v>
      </c>
      <c r="N36" s="21">
        <v>77615.312279999984</v>
      </c>
      <c r="O36" s="21">
        <v>40741.223655999995</v>
      </c>
      <c r="P36" s="21">
        <f>IF((D36*233.456*3%)&gt;7004,7004,(D36*233.456*3%))</f>
        <v>7004</v>
      </c>
      <c r="Q36" s="21">
        <f t="shared" si="2"/>
        <v>537093.33206399996</v>
      </c>
      <c r="R36" s="21">
        <v>562453.8679999999</v>
      </c>
    </row>
    <row r="37" spans="1:18" ht="15.75" thickBot="1" x14ac:dyDescent="0.3">
      <c r="A37" s="21" t="s">
        <v>89</v>
      </c>
      <c r="B37" s="22" t="s">
        <v>90</v>
      </c>
      <c r="C37" s="22" t="s">
        <v>94</v>
      </c>
      <c r="D37" s="22">
        <v>2065</v>
      </c>
      <c r="E37" s="22">
        <v>12</v>
      </c>
      <c r="F37" s="21">
        <f t="shared" si="0"/>
        <v>482086.63999999996</v>
      </c>
      <c r="G37" s="21">
        <f t="shared" si="1"/>
        <v>72312.995999999985</v>
      </c>
      <c r="H37" s="21">
        <v>70000</v>
      </c>
      <c r="I37" s="21">
        <v>15000</v>
      </c>
      <c r="J37" s="21">
        <v>15000</v>
      </c>
      <c r="K37" s="26"/>
      <c r="L37" s="21">
        <f>SUM(F37:K37)</f>
        <v>654399.63599999994</v>
      </c>
      <c r="M37" s="21">
        <v>80363.842887999999</v>
      </c>
      <c r="N37" s="21">
        <v>75923.923559999981</v>
      </c>
      <c r="O37" s="21">
        <v>40157.817111999997</v>
      </c>
      <c r="P37" s="21">
        <f>IF((D37*233.456*3%)&gt;7004,7004,(D37*233.456*3%))</f>
        <v>7004</v>
      </c>
      <c r="Q37" s="21">
        <f t="shared" si="2"/>
        <v>531313.89532799996</v>
      </c>
      <c r="R37" s="21">
        <v>554399.63599999994</v>
      </c>
    </row>
    <row r="38" spans="1:18" ht="15.75" thickBot="1" x14ac:dyDescent="0.3">
      <c r="A38" s="21" t="s">
        <v>89</v>
      </c>
      <c r="B38" s="22" t="s">
        <v>90</v>
      </c>
      <c r="C38" s="22" t="s">
        <v>94</v>
      </c>
      <c r="D38" s="22">
        <v>2015</v>
      </c>
      <c r="E38" s="22">
        <v>11</v>
      </c>
      <c r="F38" s="21">
        <f t="shared" si="0"/>
        <v>470413.83999999997</v>
      </c>
      <c r="G38" s="21">
        <f t="shared" si="1"/>
        <v>70562.075999999986</v>
      </c>
      <c r="H38" s="21">
        <v>70000</v>
      </c>
      <c r="I38" s="21">
        <v>15000</v>
      </c>
      <c r="J38" s="21">
        <v>15000</v>
      </c>
      <c r="K38" s="26"/>
      <c r="L38" s="21">
        <f>SUM(F38:K38)</f>
        <v>640975.91599999997</v>
      </c>
      <c r="M38" s="21">
        <v>78417.987128000008</v>
      </c>
      <c r="N38" s="21">
        <v>73104.942359999986</v>
      </c>
      <c r="O38" s="21">
        <v>39185.472871999998</v>
      </c>
      <c r="P38" s="21">
        <f>IF((D38*233.456*3%)&gt;7004,7004,(D38*233.456*3%))</f>
        <v>7004</v>
      </c>
      <c r="Q38" s="21">
        <f t="shared" si="2"/>
        <v>521681.50076799997</v>
      </c>
      <c r="R38" s="21">
        <v>540975.91599999997</v>
      </c>
    </row>
    <row r="39" spans="1:18" ht="15.75" thickBot="1" x14ac:dyDescent="0.3">
      <c r="A39" s="21" t="s">
        <v>89</v>
      </c>
      <c r="B39" s="22" t="s">
        <v>90</v>
      </c>
      <c r="C39" s="22" t="s">
        <v>94</v>
      </c>
      <c r="D39" s="22">
        <v>1890</v>
      </c>
      <c r="E39" s="22">
        <v>23</v>
      </c>
      <c r="F39" s="21">
        <f t="shared" si="0"/>
        <v>441231.83999999997</v>
      </c>
      <c r="G39" s="21">
        <f t="shared" si="1"/>
        <v>66184.775999999998</v>
      </c>
      <c r="H39" s="21">
        <v>70000</v>
      </c>
      <c r="I39" s="21">
        <v>15000</v>
      </c>
      <c r="J39" s="21">
        <v>15000</v>
      </c>
      <c r="K39" s="26"/>
      <c r="L39" s="21">
        <f>SUM(F39:K39)</f>
        <v>607416.61599999992</v>
      </c>
      <c r="M39" s="21">
        <v>73553.347728000008</v>
      </c>
      <c r="N39" s="21">
        <v>66057.489359999992</v>
      </c>
      <c r="O39" s="21">
        <v>36754.612271999998</v>
      </c>
      <c r="P39" s="21">
        <f>IF((D39*233.456*3%)&gt;7004,7004,(D39*233.456*3%))</f>
        <v>7004</v>
      </c>
      <c r="Q39" s="21">
        <f t="shared" si="2"/>
        <v>497600.51436799992</v>
      </c>
      <c r="R39" s="21">
        <v>507416.61599999998</v>
      </c>
    </row>
    <row r="40" spans="1:18" ht="15.75" thickBot="1" x14ac:dyDescent="0.3">
      <c r="A40" s="21" t="s">
        <v>89</v>
      </c>
      <c r="B40" s="22" t="s">
        <v>90</v>
      </c>
      <c r="C40" s="22" t="s">
        <v>94</v>
      </c>
      <c r="D40" s="22">
        <v>1735</v>
      </c>
      <c r="E40" s="22">
        <v>22</v>
      </c>
      <c r="F40" s="21">
        <f t="shared" si="0"/>
        <v>405046.16</v>
      </c>
      <c r="G40" s="21">
        <f t="shared" si="1"/>
        <v>60756.923999999992</v>
      </c>
      <c r="H40" s="21">
        <v>70000</v>
      </c>
      <c r="I40" s="21">
        <v>15000</v>
      </c>
      <c r="J40" s="21">
        <v>15000</v>
      </c>
      <c r="K40" s="26"/>
      <c r="L40" s="21">
        <f>SUM(F40:K40)</f>
        <v>565803.08400000003</v>
      </c>
      <c r="M40" s="21">
        <v>67521.194872000007</v>
      </c>
      <c r="N40" s="21">
        <v>57318.647639999996</v>
      </c>
      <c r="O40" s="21">
        <v>33740.345128000001</v>
      </c>
      <c r="P40" s="21">
        <f>IF((D40*233.456*3%)&gt;7004,7004,(D40*233.456*3%))</f>
        <v>7004</v>
      </c>
      <c r="Q40" s="21">
        <f t="shared" si="2"/>
        <v>467740.09123200004</v>
      </c>
      <c r="R40" s="21">
        <v>465803.08399999997</v>
      </c>
    </row>
    <row r="41" spans="1:18" ht="15.75" thickBot="1" x14ac:dyDescent="0.3">
      <c r="A41" s="21" t="s">
        <v>89</v>
      </c>
      <c r="B41" s="22" t="s">
        <v>90</v>
      </c>
      <c r="C41" s="22" t="s">
        <v>94</v>
      </c>
      <c r="D41" s="22">
        <v>1605</v>
      </c>
      <c r="E41" s="22">
        <v>21</v>
      </c>
      <c r="F41" s="21">
        <f t="shared" si="0"/>
        <v>374696.88</v>
      </c>
      <c r="G41" s="21">
        <f t="shared" si="1"/>
        <v>56204.531999999999</v>
      </c>
      <c r="H41" s="21">
        <v>70000</v>
      </c>
      <c r="I41" s="21">
        <v>15000</v>
      </c>
      <c r="J41" s="21">
        <v>15000</v>
      </c>
      <c r="K41" s="26"/>
      <c r="L41" s="21">
        <f>SUM(F41:K41)</f>
        <v>530901.41200000001</v>
      </c>
      <c r="M41" s="21">
        <v>62461.96989600001</v>
      </c>
      <c r="N41" s="21">
        <v>49989.296520000004</v>
      </c>
      <c r="O41" s="21">
        <v>31212.250103999999</v>
      </c>
      <c r="P41" s="21">
        <f>IF((D41*233.456*3%)&gt;7004,7004,(D41*233.456*3%))</f>
        <v>7004</v>
      </c>
      <c r="Q41" s="21">
        <f t="shared" si="2"/>
        <v>442695.865376</v>
      </c>
      <c r="R41" s="21">
        <v>430901.41200000001</v>
      </c>
    </row>
    <row r="42" spans="1:18" ht="15.75" thickBot="1" x14ac:dyDescent="0.3">
      <c r="A42" s="21" t="s">
        <v>89</v>
      </c>
      <c r="B42" s="22" t="s">
        <v>90</v>
      </c>
      <c r="C42" s="22" t="s">
        <v>94</v>
      </c>
      <c r="D42" s="22">
        <v>1440</v>
      </c>
      <c r="E42" s="22">
        <v>33</v>
      </c>
      <c r="F42" s="21">
        <f t="shared" si="0"/>
        <v>336176.63999999996</v>
      </c>
      <c r="G42" s="21">
        <f t="shared" si="1"/>
        <v>50426.495999999992</v>
      </c>
      <c r="H42" s="21">
        <v>70000</v>
      </c>
      <c r="I42" s="21">
        <v>15000</v>
      </c>
      <c r="J42" s="21">
        <v>15000</v>
      </c>
      <c r="K42" s="26"/>
      <c r="L42" s="21">
        <f>SUM(F42:K42)</f>
        <v>486603.13599999994</v>
      </c>
      <c r="M42" s="21">
        <v>56040.645887999999</v>
      </c>
      <c r="N42" s="21">
        <v>40686.658559999982</v>
      </c>
      <c r="O42" s="21">
        <v>28003.514111999997</v>
      </c>
      <c r="P42" s="21">
        <f>IF((D42*233.456*3%)&gt;7004,7004,(D42*233.456*3%))</f>
        <v>7004</v>
      </c>
      <c r="Q42" s="21">
        <f t="shared" si="2"/>
        <v>410908.96332799993</v>
      </c>
      <c r="R42" s="21">
        <v>386603.13599999994</v>
      </c>
    </row>
    <row r="43" spans="1:18" ht="15.75" thickBot="1" x14ac:dyDescent="0.3">
      <c r="A43" s="21" t="s">
        <v>89</v>
      </c>
      <c r="B43" s="22" t="s">
        <v>90</v>
      </c>
      <c r="C43" s="22" t="s">
        <v>94</v>
      </c>
      <c r="D43" s="22">
        <v>1315</v>
      </c>
      <c r="E43" s="22">
        <v>32</v>
      </c>
      <c r="F43" s="21">
        <f t="shared" si="0"/>
        <v>306994.64</v>
      </c>
      <c r="G43" s="21">
        <f t="shared" si="1"/>
        <v>46049.196000000004</v>
      </c>
      <c r="H43" s="21">
        <v>70000</v>
      </c>
      <c r="I43" s="21">
        <v>15000</v>
      </c>
      <c r="J43" s="21">
        <v>15000</v>
      </c>
      <c r="K43" s="26"/>
      <c r="L43" s="21">
        <f>SUM(F43:K43)</f>
        <v>453043.83600000001</v>
      </c>
      <c r="M43" s="21">
        <v>51176.006488000006</v>
      </c>
      <c r="N43" s="21">
        <v>33639.205560000002</v>
      </c>
      <c r="O43" s="21">
        <v>25572.653512000001</v>
      </c>
      <c r="P43" s="21">
        <f>IF((D43*233.456*3%)&gt;7004,7004,(D43*233.456*3%))</f>
        <v>7004</v>
      </c>
      <c r="Q43" s="21">
        <f t="shared" si="2"/>
        <v>386827.97692799999</v>
      </c>
      <c r="R43" s="21">
        <v>353043.83600000001</v>
      </c>
    </row>
    <row r="44" spans="1:18" ht="15.75" thickBot="1" x14ac:dyDescent="0.3">
      <c r="A44" s="21" t="s">
        <v>89</v>
      </c>
      <c r="B44" s="22" t="s">
        <v>90</v>
      </c>
      <c r="C44" s="22" t="s">
        <v>94</v>
      </c>
      <c r="D44" s="22">
        <v>1220</v>
      </c>
      <c r="E44" s="22">
        <v>31</v>
      </c>
      <c r="F44" s="21">
        <f t="shared" si="0"/>
        <v>284816.32</v>
      </c>
      <c r="G44" s="21">
        <f t="shared" si="1"/>
        <v>42722.447999999997</v>
      </c>
      <c r="H44" s="21">
        <v>70000</v>
      </c>
      <c r="I44" s="21">
        <v>15000</v>
      </c>
      <c r="J44" s="21">
        <v>15000</v>
      </c>
      <c r="K44" s="26"/>
      <c r="L44" s="21">
        <f>SUM(F44:K44)</f>
        <v>427538.76799999998</v>
      </c>
      <c r="M44" s="21">
        <v>47478.880544000007</v>
      </c>
      <c r="N44" s="21">
        <v>28283.141279999996</v>
      </c>
      <c r="O44" s="21">
        <v>23725.199456000002</v>
      </c>
      <c r="P44" s="21">
        <f>IF((D44*233.456*3%)&gt;7004,7004,(D44*233.456*3%))</f>
        <v>7004</v>
      </c>
      <c r="Q44" s="21">
        <f t="shared" si="2"/>
        <v>368526.427264</v>
      </c>
      <c r="R44" s="21">
        <v>327538.76799999998</v>
      </c>
    </row>
    <row r="45" spans="1:18" ht="15.75" thickBot="1" x14ac:dyDescent="0.3">
      <c r="A45" s="21" t="s">
        <v>89</v>
      </c>
      <c r="B45" s="22" t="s">
        <v>90</v>
      </c>
      <c r="C45" s="22" t="s">
        <v>94</v>
      </c>
      <c r="D45" s="22">
        <v>1100</v>
      </c>
      <c r="E45" s="22">
        <v>44</v>
      </c>
      <c r="F45" s="21">
        <f t="shared" si="0"/>
        <v>256801.59999999998</v>
      </c>
      <c r="G45" s="21">
        <f t="shared" si="1"/>
        <v>38520.239999999998</v>
      </c>
      <c r="H45" s="21">
        <v>70000</v>
      </c>
      <c r="I45" s="21">
        <v>15000</v>
      </c>
      <c r="J45" s="21">
        <v>15000</v>
      </c>
      <c r="K45" s="26"/>
      <c r="L45" s="21">
        <f>SUM(F45:K45)</f>
        <v>395321.83999999997</v>
      </c>
      <c r="M45" s="21">
        <v>42808.826719999997</v>
      </c>
      <c r="N45" s="21">
        <v>21517.586399999993</v>
      </c>
      <c r="O45" s="21">
        <v>21391.573279999997</v>
      </c>
      <c r="P45" s="21">
        <f>IF((D45*233.456*3%)&gt;7004,7004,(D45*233.456*3%))</f>
        <v>7004</v>
      </c>
      <c r="Q45" s="21">
        <f t="shared" si="2"/>
        <v>345408.68031999998</v>
      </c>
      <c r="R45" s="21">
        <v>295321.83999999997</v>
      </c>
    </row>
    <row r="46" spans="1:18" ht="15.75" thickBot="1" x14ac:dyDescent="0.3">
      <c r="A46" s="21" t="s">
        <v>89</v>
      </c>
      <c r="B46" s="22" t="s">
        <v>90</v>
      </c>
      <c r="C46" s="22" t="s">
        <v>94</v>
      </c>
      <c r="D46" s="22">
        <v>1000</v>
      </c>
      <c r="E46" s="22">
        <v>43</v>
      </c>
      <c r="F46" s="21">
        <f t="shared" si="0"/>
        <v>233456</v>
      </c>
      <c r="G46" s="21">
        <f t="shared" si="1"/>
        <v>35018.400000000001</v>
      </c>
      <c r="H46" s="21">
        <v>70000</v>
      </c>
      <c r="I46" s="21">
        <v>15000</v>
      </c>
      <c r="J46" s="21">
        <v>15000</v>
      </c>
      <c r="K46" s="26"/>
      <c r="L46" s="21">
        <f>SUM(F46:K46)</f>
        <v>368474.4</v>
      </c>
      <c r="M46" s="21">
        <v>38917.1152</v>
      </c>
      <c r="N46" s="21">
        <v>15879.624000000003</v>
      </c>
      <c r="O46" s="21">
        <v>19446.8848</v>
      </c>
      <c r="P46" s="21">
        <f>IF((D46*233.456*3%)&gt;7004,7004,(D46*233.456*3%))</f>
        <v>7003.6799999999994</v>
      </c>
      <c r="Q46" s="21">
        <f t="shared" si="2"/>
        <v>326144.21120000002</v>
      </c>
      <c r="R46" s="21">
        <v>268474.40000000002</v>
      </c>
    </row>
    <row r="47" spans="1:18" ht="15.75" thickBot="1" x14ac:dyDescent="0.3">
      <c r="A47" s="21" t="s">
        <v>89</v>
      </c>
      <c r="B47" s="22" t="s">
        <v>90</v>
      </c>
      <c r="C47" s="22" t="s">
        <v>94</v>
      </c>
      <c r="D47" s="22">
        <v>940</v>
      </c>
      <c r="E47" s="22">
        <v>42</v>
      </c>
      <c r="F47" s="21">
        <f t="shared" si="0"/>
        <v>219448.63999999998</v>
      </c>
      <c r="G47" s="21">
        <f t="shared" si="1"/>
        <v>32917.295999999995</v>
      </c>
      <c r="H47" s="21">
        <v>70000</v>
      </c>
      <c r="I47" s="21">
        <v>15000</v>
      </c>
      <c r="J47" s="21">
        <v>15000</v>
      </c>
      <c r="K47" s="26"/>
      <c r="L47" s="21">
        <f>SUM(F47:K47)</f>
        <v>352365.93599999999</v>
      </c>
      <c r="M47" s="21">
        <v>36582.088287999999</v>
      </c>
      <c r="N47" s="21">
        <v>12496.846559999998</v>
      </c>
      <c r="O47" s="21">
        <v>18280.071711999997</v>
      </c>
      <c r="P47" s="21">
        <f>IF((D47*233.456*3%)&gt;7004,7004,(D47*233.456*3%))</f>
        <v>6583.4591999999993</v>
      </c>
      <c r="Q47" s="21">
        <f t="shared" si="2"/>
        <v>315005.55852800002</v>
      </c>
      <c r="R47" s="21">
        <v>252365.93599999999</v>
      </c>
    </row>
    <row r="48" spans="1:18" ht="15.75" thickBot="1" x14ac:dyDescent="0.3">
      <c r="A48" s="21" t="s">
        <v>89</v>
      </c>
      <c r="B48" s="22" t="s">
        <v>90</v>
      </c>
      <c r="C48" s="22" t="s">
        <v>94</v>
      </c>
      <c r="D48" s="22">
        <v>895</v>
      </c>
      <c r="E48" s="22">
        <v>41</v>
      </c>
      <c r="F48" s="21">
        <f t="shared" si="0"/>
        <v>208943.12</v>
      </c>
      <c r="G48" s="21">
        <f t="shared" si="1"/>
        <v>31341.467999999997</v>
      </c>
      <c r="H48" s="21">
        <v>70000</v>
      </c>
      <c r="I48" s="21">
        <v>15000</v>
      </c>
      <c r="J48" s="21">
        <v>15000</v>
      </c>
      <c r="K48" s="26"/>
      <c r="L48" s="21">
        <f>SUM(F48:K48)</f>
        <v>340284.58799999999</v>
      </c>
      <c r="M48" s="21">
        <v>34830.818104000005</v>
      </c>
      <c r="N48" s="21">
        <v>9959.7634799999978</v>
      </c>
      <c r="O48" s="21">
        <v>17404.961896000001</v>
      </c>
      <c r="P48" s="21">
        <f>IF((D48*233.456*3%)&gt;7004,7004,(D48*233.456*3%))</f>
        <v>6268.2936</v>
      </c>
      <c r="Q48" s="21">
        <f t="shared" si="2"/>
        <v>306651.56902399997</v>
      </c>
      <c r="R48" s="21">
        <v>240284.58799999999</v>
      </c>
    </row>
    <row r="49" spans="1:18" ht="15.75" thickBot="1" x14ac:dyDescent="0.3">
      <c r="A49" s="21" t="s">
        <v>89</v>
      </c>
      <c r="B49" s="22" t="s">
        <v>90</v>
      </c>
      <c r="C49" s="22" t="s">
        <v>95</v>
      </c>
      <c r="D49" s="22">
        <v>1790</v>
      </c>
      <c r="E49" s="22">
        <v>13</v>
      </c>
      <c r="F49" s="21">
        <f t="shared" si="0"/>
        <v>417886.24</v>
      </c>
      <c r="G49" s="21">
        <f t="shared" si="1"/>
        <v>62682.935999999994</v>
      </c>
      <c r="H49" s="21">
        <v>60000</v>
      </c>
      <c r="I49" s="21">
        <v>15000</v>
      </c>
      <c r="J49" s="21">
        <v>15000</v>
      </c>
      <c r="K49" s="26"/>
      <c r="L49" s="21">
        <f>SUM(F49:K49)</f>
        <v>570569.17599999998</v>
      </c>
      <c r="M49" s="21">
        <v>69661.636208000011</v>
      </c>
      <c r="N49" s="21">
        <v>60419.526959999988</v>
      </c>
      <c r="O49" s="21">
        <v>34809.923792000001</v>
      </c>
      <c r="P49" s="21">
        <f>IF((D49*233.456*3%)&gt;7004,7004,(D49*233.456*3%))</f>
        <v>7004</v>
      </c>
      <c r="Q49" s="21">
        <f t="shared" si="2"/>
        <v>468335.725248</v>
      </c>
      <c r="R49" s="21">
        <v>480569.17599999998</v>
      </c>
    </row>
    <row r="50" spans="1:18" ht="15.75" thickBot="1" x14ac:dyDescent="0.3">
      <c r="A50" s="21" t="s">
        <v>89</v>
      </c>
      <c r="B50" s="22" t="s">
        <v>90</v>
      </c>
      <c r="C50" s="22" t="s">
        <v>95</v>
      </c>
      <c r="D50" s="22">
        <v>1760</v>
      </c>
      <c r="E50" s="22">
        <v>12</v>
      </c>
      <c r="F50" s="21">
        <f t="shared" si="0"/>
        <v>410882.56</v>
      </c>
      <c r="G50" s="21">
        <f t="shared" si="1"/>
        <v>61632.383999999998</v>
      </c>
      <c r="H50" s="21">
        <v>60000</v>
      </c>
      <c r="I50" s="21">
        <v>15000</v>
      </c>
      <c r="J50" s="21">
        <v>15000</v>
      </c>
      <c r="K50" s="26"/>
      <c r="L50" s="21">
        <f>SUM(F50:K50)</f>
        <v>562514.94400000002</v>
      </c>
      <c r="M50" s="21">
        <v>68494.12275200001</v>
      </c>
      <c r="N50" s="21">
        <v>58728.13824</v>
      </c>
      <c r="O50" s="21">
        <v>34226.517247999996</v>
      </c>
      <c r="P50" s="21">
        <f>IF((D50*233.456*3%)&gt;7004,7004,(D50*233.456*3%))</f>
        <v>7004</v>
      </c>
      <c r="Q50" s="21">
        <f t="shared" si="2"/>
        <v>462556.288512</v>
      </c>
      <c r="R50" s="21">
        <v>472514.94400000002</v>
      </c>
    </row>
    <row r="51" spans="1:18" ht="15.75" thickBot="1" x14ac:dyDescent="0.3">
      <c r="A51" s="21" t="s">
        <v>89</v>
      </c>
      <c r="B51" s="22" t="s">
        <v>90</v>
      </c>
      <c r="C51" s="22" t="s">
        <v>95</v>
      </c>
      <c r="D51" s="22">
        <v>1735</v>
      </c>
      <c r="E51" s="22">
        <v>11</v>
      </c>
      <c r="F51" s="21">
        <f t="shared" si="0"/>
        <v>405046.16</v>
      </c>
      <c r="G51" s="21">
        <f t="shared" si="1"/>
        <v>60756.923999999992</v>
      </c>
      <c r="H51" s="21">
        <v>60000</v>
      </c>
      <c r="I51" s="21">
        <v>15000</v>
      </c>
      <c r="J51" s="21">
        <v>15000</v>
      </c>
      <c r="K51" s="26"/>
      <c r="L51" s="21">
        <f>SUM(F51:K51)</f>
        <v>555803.08400000003</v>
      </c>
      <c r="M51" s="21">
        <v>67521.194872000007</v>
      </c>
      <c r="N51" s="21">
        <v>57318.647639999996</v>
      </c>
      <c r="O51" s="21">
        <v>33740.345128000001</v>
      </c>
      <c r="P51" s="21">
        <f>IF((D51*233.456*3%)&gt;7004,7004,(D51*233.456*3%))</f>
        <v>7004</v>
      </c>
      <c r="Q51" s="21">
        <f t="shared" si="2"/>
        <v>457740.09123200004</v>
      </c>
      <c r="R51" s="21">
        <v>465803.08399999997</v>
      </c>
    </row>
    <row r="52" spans="1:18" ht="15.75" thickBot="1" x14ac:dyDescent="0.3">
      <c r="A52" s="21" t="s">
        <v>89</v>
      </c>
      <c r="B52" s="22" t="s">
        <v>90</v>
      </c>
      <c r="C52" s="22" t="s">
        <v>95</v>
      </c>
      <c r="D52" s="22">
        <v>1575</v>
      </c>
      <c r="E52" s="22">
        <v>23</v>
      </c>
      <c r="F52" s="21">
        <f t="shared" si="0"/>
        <v>367693.19999999995</v>
      </c>
      <c r="G52" s="21">
        <f t="shared" si="1"/>
        <v>55153.979999999989</v>
      </c>
      <c r="H52" s="21">
        <v>60000</v>
      </c>
      <c r="I52" s="21">
        <v>15000</v>
      </c>
      <c r="J52" s="21">
        <v>15000</v>
      </c>
      <c r="K52" s="26"/>
      <c r="L52" s="21">
        <f>SUM(F52:K52)</f>
        <v>512847.17999999993</v>
      </c>
      <c r="M52" s="21">
        <v>61294.456439999994</v>
      </c>
      <c r="N52" s="21">
        <v>48297.907799999986</v>
      </c>
      <c r="O52" s="21">
        <v>30628.843559999998</v>
      </c>
      <c r="P52" s="21">
        <f>IF((D52*233.456*3%)&gt;7004,7004,(D52*233.456*3%))</f>
        <v>7004</v>
      </c>
      <c r="Q52" s="21">
        <f t="shared" si="2"/>
        <v>426916.42863999994</v>
      </c>
      <c r="R52" s="21">
        <v>422847.17999999993</v>
      </c>
    </row>
    <row r="53" spans="1:18" ht="15.75" thickBot="1" x14ac:dyDescent="0.3">
      <c r="A53" s="21" t="s">
        <v>89</v>
      </c>
      <c r="B53" s="22" t="s">
        <v>90</v>
      </c>
      <c r="C53" s="22" t="s">
        <v>95</v>
      </c>
      <c r="D53" s="22">
        <v>1380</v>
      </c>
      <c r="E53" s="22">
        <v>22</v>
      </c>
      <c r="F53" s="21">
        <f t="shared" si="0"/>
        <v>322169.27999999997</v>
      </c>
      <c r="G53" s="21">
        <f t="shared" si="1"/>
        <v>48325.391999999993</v>
      </c>
      <c r="H53" s="21">
        <v>60000</v>
      </c>
      <c r="I53" s="21">
        <v>15000</v>
      </c>
      <c r="J53" s="21">
        <v>15000</v>
      </c>
      <c r="K53" s="26"/>
      <c r="L53" s="21">
        <f>SUM(F53:K53)</f>
        <v>460494.67199999996</v>
      </c>
      <c r="M53" s="21">
        <v>53705.618975999998</v>
      </c>
      <c r="N53" s="21">
        <v>37303.881119999991</v>
      </c>
      <c r="O53" s="21">
        <v>26836.701023999998</v>
      </c>
      <c r="P53" s="21">
        <f>IF((D53*233.456*3%)&gt;7004,7004,(D53*233.456*3%))</f>
        <v>7004</v>
      </c>
      <c r="Q53" s="21">
        <f t="shared" si="2"/>
        <v>389350.08985599998</v>
      </c>
      <c r="R53" s="21">
        <v>370494.67199999996</v>
      </c>
    </row>
    <row r="54" spans="1:18" ht="15.75" thickBot="1" x14ac:dyDescent="0.3">
      <c r="A54" s="21" t="s">
        <v>89</v>
      </c>
      <c r="B54" s="22" t="s">
        <v>90</v>
      </c>
      <c r="C54" s="22" t="s">
        <v>95</v>
      </c>
      <c r="D54" s="22">
        <v>1315</v>
      </c>
      <c r="E54" s="22">
        <v>21</v>
      </c>
      <c r="F54" s="21">
        <f t="shared" si="0"/>
        <v>306994.64</v>
      </c>
      <c r="G54" s="21">
        <f t="shared" si="1"/>
        <v>46049.196000000004</v>
      </c>
      <c r="H54" s="21">
        <v>60000</v>
      </c>
      <c r="I54" s="21">
        <v>15000</v>
      </c>
      <c r="J54" s="21">
        <v>15000</v>
      </c>
      <c r="K54" s="26"/>
      <c r="L54" s="21">
        <f>SUM(F54:K54)</f>
        <v>443043.83600000001</v>
      </c>
      <c r="M54" s="21">
        <v>51176.006488000006</v>
      </c>
      <c r="N54" s="21">
        <v>33639.205560000002</v>
      </c>
      <c r="O54" s="21">
        <v>25572.653512000001</v>
      </c>
      <c r="P54" s="21">
        <f>IF((D54*233.456*3%)&gt;7004,7004,(D54*233.456*3%))</f>
        <v>7004</v>
      </c>
      <c r="Q54" s="21">
        <f t="shared" si="2"/>
        <v>376827.97692799999</v>
      </c>
      <c r="R54" s="21">
        <v>353043.83600000001</v>
      </c>
    </row>
    <row r="55" spans="1:18" ht="15.75" thickBot="1" x14ac:dyDescent="0.3">
      <c r="A55" s="21" t="s">
        <v>89</v>
      </c>
      <c r="B55" s="22" t="s">
        <v>90</v>
      </c>
      <c r="C55" s="22" t="s">
        <v>95</v>
      </c>
      <c r="D55" s="22">
        <v>1255</v>
      </c>
      <c r="E55" s="22">
        <v>33</v>
      </c>
      <c r="F55" s="21">
        <f t="shared" si="0"/>
        <v>292987.27999999997</v>
      </c>
      <c r="G55" s="21">
        <f t="shared" si="1"/>
        <v>43948.091999999997</v>
      </c>
      <c r="H55" s="21">
        <v>60000</v>
      </c>
      <c r="I55" s="21">
        <v>15000</v>
      </c>
      <c r="J55" s="21">
        <v>15000</v>
      </c>
      <c r="K55" s="26"/>
      <c r="L55" s="21">
        <f>SUM(F55:K55)</f>
        <v>426935.37199999997</v>
      </c>
      <c r="M55" s="21">
        <v>48840.979575999998</v>
      </c>
      <c r="N55" s="21">
        <v>30256.428119999997</v>
      </c>
      <c r="O55" s="21">
        <v>24405.840423999998</v>
      </c>
      <c r="P55" s="21">
        <f>IF((D55*233.456*3%)&gt;7004,7004,(D55*233.456*3%))</f>
        <v>7004</v>
      </c>
      <c r="Q55" s="21">
        <f t="shared" si="2"/>
        <v>365269.10345599998</v>
      </c>
      <c r="R55" s="21">
        <v>336935.37199999997</v>
      </c>
    </row>
    <row r="56" spans="1:18" ht="15.75" thickBot="1" x14ac:dyDescent="0.3">
      <c r="A56" s="21" t="s">
        <v>89</v>
      </c>
      <c r="B56" s="22" t="s">
        <v>90</v>
      </c>
      <c r="C56" s="22" t="s">
        <v>95</v>
      </c>
      <c r="D56" s="22">
        <v>1190</v>
      </c>
      <c r="E56" s="22">
        <v>32</v>
      </c>
      <c r="F56" s="21">
        <f t="shared" si="0"/>
        <v>277812.64</v>
      </c>
      <c r="G56" s="21">
        <f t="shared" si="1"/>
        <v>41671.896000000001</v>
      </c>
      <c r="H56" s="21">
        <v>60000</v>
      </c>
      <c r="I56" s="21">
        <v>15000</v>
      </c>
      <c r="J56" s="21">
        <v>15000</v>
      </c>
      <c r="K56" s="26"/>
      <c r="L56" s="21">
        <f>SUM(F56:K56)</f>
        <v>409484.53600000002</v>
      </c>
      <c r="M56" s="21">
        <v>46311.367088000006</v>
      </c>
      <c r="N56" s="21">
        <v>26591.752560000008</v>
      </c>
      <c r="O56" s="21">
        <v>23141.792912000001</v>
      </c>
      <c r="P56" s="21">
        <f>IF((D56*233.456*3%)&gt;7004,7004,(D56*233.456*3%))</f>
        <v>7004</v>
      </c>
      <c r="Q56" s="21">
        <f t="shared" si="2"/>
        <v>352746.99052799999</v>
      </c>
      <c r="R56" s="21">
        <v>319484.53600000002</v>
      </c>
    </row>
    <row r="57" spans="1:18" ht="15.75" thickBot="1" x14ac:dyDescent="0.3">
      <c r="A57" s="21" t="s">
        <v>89</v>
      </c>
      <c r="B57" s="22" t="s">
        <v>90</v>
      </c>
      <c r="C57" s="22" t="s">
        <v>95</v>
      </c>
      <c r="D57" s="22">
        <v>1100</v>
      </c>
      <c r="E57" s="22">
        <v>31</v>
      </c>
      <c r="F57" s="21">
        <f t="shared" si="0"/>
        <v>256801.59999999998</v>
      </c>
      <c r="G57" s="21">
        <f t="shared" si="1"/>
        <v>38520.239999999998</v>
      </c>
      <c r="H57" s="21">
        <v>60000</v>
      </c>
      <c r="I57" s="21">
        <v>15000</v>
      </c>
      <c r="J57" s="21">
        <v>15000</v>
      </c>
      <c r="K57" s="26"/>
      <c r="L57" s="21">
        <f>SUM(F57:K57)</f>
        <v>385321.83999999997</v>
      </c>
      <c r="M57" s="21">
        <v>42808.826719999997</v>
      </c>
      <c r="N57" s="21">
        <v>21517.586399999993</v>
      </c>
      <c r="O57" s="21">
        <v>21391.573279999997</v>
      </c>
      <c r="P57" s="21">
        <f>IF((D57*233.456*3%)&gt;7004,7004,(D57*233.456*3%))</f>
        <v>7004</v>
      </c>
      <c r="Q57" s="21">
        <f t="shared" si="2"/>
        <v>335408.68031999998</v>
      </c>
      <c r="R57" s="21">
        <v>295321.83999999997</v>
      </c>
    </row>
    <row r="58" spans="1:18" ht="15.75" thickBot="1" x14ac:dyDescent="0.3">
      <c r="A58" s="21" t="s">
        <v>89</v>
      </c>
      <c r="B58" s="22" t="s">
        <v>90</v>
      </c>
      <c r="C58" s="22" t="s">
        <v>95</v>
      </c>
      <c r="D58" s="22">
        <v>990</v>
      </c>
      <c r="E58" s="22">
        <v>44</v>
      </c>
      <c r="F58" s="21">
        <f t="shared" si="0"/>
        <v>231121.44</v>
      </c>
      <c r="G58" s="21">
        <f t="shared" si="1"/>
        <v>34668.216</v>
      </c>
      <c r="H58" s="21">
        <v>60000</v>
      </c>
      <c r="I58" s="21">
        <v>15000</v>
      </c>
      <c r="J58" s="21">
        <v>15000</v>
      </c>
      <c r="K58" s="26"/>
      <c r="L58" s="21">
        <f>SUM(F58:K58)</f>
        <v>355789.65600000002</v>
      </c>
      <c r="M58" s="21">
        <v>38527.944048000005</v>
      </c>
      <c r="N58" s="21">
        <v>15315.827760000004</v>
      </c>
      <c r="O58" s="21">
        <v>19252.415951999999</v>
      </c>
      <c r="P58" s="21">
        <f>IF((D58*233.456*3%)&gt;7004,7004,(D58*233.456*3%))</f>
        <v>6933.6431999999995</v>
      </c>
      <c r="Q58" s="21">
        <f t="shared" si="2"/>
        <v>314287.769088</v>
      </c>
      <c r="R58" s="21">
        <v>265789.65600000002</v>
      </c>
    </row>
    <row r="59" spans="1:18" ht="15.75" thickBot="1" x14ac:dyDescent="0.3">
      <c r="A59" s="21" t="s">
        <v>89</v>
      </c>
      <c r="B59" s="22" t="s">
        <v>90</v>
      </c>
      <c r="C59" s="22" t="s">
        <v>95</v>
      </c>
      <c r="D59" s="22">
        <v>915</v>
      </c>
      <c r="E59" s="22">
        <v>43</v>
      </c>
      <c r="F59" s="21">
        <f t="shared" si="0"/>
        <v>213612.24</v>
      </c>
      <c r="G59" s="21">
        <f t="shared" si="1"/>
        <v>32041.835999999996</v>
      </c>
      <c r="H59" s="21">
        <v>60000</v>
      </c>
      <c r="I59" s="21">
        <v>15000</v>
      </c>
      <c r="J59" s="21">
        <v>15000</v>
      </c>
      <c r="K59" s="26"/>
      <c r="L59" s="21">
        <f>SUM(F59:K59)</f>
        <v>335654.076</v>
      </c>
      <c r="M59" s="21">
        <v>35609.160408000003</v>
      </c>
      <c r="N59" s="21">
        <v>11087.355960000001</v>
      </c>
      <c r="O59" s="21">
        <v>17793.899591999998</v>
      </c>
      <c r="P59" s="21">
        <f>IF((D59*233.456*3%)&gt;7004,7004,(D59*233.456*3%))</f>
        <v>6408.3671999999997</v>
      </c>
      <c r="Q59" s="21">
        <f t="shared" si="2"/>
        <v>300364.45324800001</v>
      </c>
      <c r="R59" s="21">
        <v>245654.076</v>
      </c>
    </row>
    <row r="60" spans="1:18" ht="15.75" thickBot="1" x14ac:dyDescent="0.3">
      <c r="A60" s="21" t="s">
        <v>89</v>
      </c>
      <c r="B60" s="22" t="s">
        <v>90</v>
      </c>
      <c r="C60" s="22" t="s">
        <v>95</v>
      </c>
      <c r="D60" s="22">
        <v>870</v>
      </c>
      <c r="E60" s="22">
        <v>42</v>
      </c>
      <c r="F60" s="21">
        <f t="shared" si="0"/>
        <v>203106.72</v>
      </c>
      <c r="G60" s="21">
        <f t="shared" si="1"/>
        <v>30466.007999999998</v>
      </c>
      <c r="H60" s="21">
        <v>60000</v>
      </c>
      <c r="I60" s="21">
        <v>15000</v>
      </c>
      <c r="J60" s="21">
        <v>15000</v>
      </c>
      <c r="K60" s="26"/>
      <c r="L60" s="21">
        <f>SUM(F60:K60)</f>
        <v>323572.728</v>
      </c>
      <c r="M60" s="21">
        <v>33857.890224000002</v>
      </c>
      <c r="N60" s="21">
        <v>8871.636480000001</v>
      </c>
      <c r="O60" s="21">
        <v>16918.789776000001</v>
      </c>
      <c r="P60" s="21">
        <f>IF((D60*233.456*3%)&gt;7004,7004,(D60*233.456*3%))</f>
        <v>6093.2015999999994</v>
      </c>
      <c r="Q60" s="21">
        <f t="shared" si="2"/>
        <v>291689.10014400003</v>
      </c>
      <c r="R60" s="21">
        <v>233572.728</v>
      </c>
    </row>
    <row r="61" spans="1:18" ht="15.75" thickBot="1" x14ac:dyDescent="0.3">
      <c r="A61" s="21" t="s">
        <v>89</v>
      </c>
      <c r="B61" s="22" t="s">
        <v>90</v>
      </c>
      <c r="C61" s="22" t="s">
        <v>95</v>
      </c>
      <c r="D61" s="22">
        <v>830</v>
      </c>
      <c r="E61" s="22">
        <v>41</v>
      </c>
      <c r="F61" s="21">
        <f t="shared" si="0"/>
        <v>193768.47999999998</v>
      </c>
      <c r="G61" s="21">
        <f t="shared" si="1"/>
        <v>29065.271999999997</v>
      </c>
      <c r="H61" s="21">
        <v>60000</v>
      </c>
      <c r="I61" s="21">
        <v>15000</v>
      </c>
      <c r="J61" s="21">
        <v>15000</v>
      </c>
      <c r="K61" s="26"/>
      <c r="L61" s="21">
        <f>SUM(F61:K61)</f>
        <v>312833.75199999998</v>
      </c>
      <c r="M61" s="21">
        <v>32301.205615999999</v>
      </c>
      <c r="N61" s="21">
        <v>7153.400319999997</v>
      </c>
      <c r="O61" s="21">
        <v>16140.914383999998</v>
      </c>
      <c r="P61" s="21">
        <f>IF((D61*233.456*3%)&gt;7004,7004,(D61*233.456*3%))</f>
        <v>5813.0543999999991</v>
      </c>
      <c r="Q61" s="21">
        <f t="shared" si="2"/>
        <v>283726.382896</v>
      </c>
      <c r="R61" s="21">
        <v>222833.75199999998</v>
      </c>
    </row>
    <row r="62" spans="1:18" ht="15.75" thickBot="1" x14ac:dyDescent="0.3">
      <c r="A62" s="21" t="s">
        <v>89</v>
      </c>
      <c r="B62" s="22" t="s">
        <v>96</v>
      </c>
      <c r="C62" s="22" t="s">
        <v>97</v>
      </c>
      <c r="D62" s="22">
        <v>1325</v>
      </c>
      <c r="E62" s="22">
        <v>13</v>
      </c>
      <c r="F62" s="21">
        <f t="shared" si="0"/>
        <v>309329.2</v>
      </c>
      <c r="G62" s="21">
        <f t="shared" si="1"/>
        <v>46399.38</v>
      </c>
      <c r="H62" s="21">
        <v>60000</v>
      </c>
      <c r="I62" s="21">
        <v>15000</v>
      </c>
      <c r="J62" s="21">
        <v>15000</v>
      </c>
      <c r="K62" s="26"/>
      <c r="L62" s="21">
        <f>SUM(F62:K62)</f>
        <v>445728.58</v>
      </c>
      <c r="M62" s="21">
        <v>51565.177640000009</v>
      </c>
      <c r="N62" s="21">
        <v>34203.001799999998</v>
      </c>
      <c r="O62" s="21">
        <v>25767.122360000001</v>
      </c>
      <c r="P62" s="21">
        <f>IF((D62*233.456*3%)&gt;7004,7004,(D62*233.456*3%))</f>
        <v>7004</v>
      </c>
      <c r="Q62" s="21">
        <f t="shared" si="2"/>
        <v>378754.45584000001</v>
      </c>
      <c r="R62" s="21">
        <v>355728.58</v>
      </c>
    </row>
    <row r="63" spans="1:18" ht="15.75" thickBot="1" x14ac:dyDescent="0.3">
      <c r="A63" s="21" t="s">
        <v>89</v>
      </c>
      <c r="B63" s="22" t="s">
        <v>96</v>
      </c>
      <c r="C63" s="22" t="s">
        <v>97</v>
      </c>
      <c r="D63" s="22">
        <v>1300</v>
      </c>
      <c r="E63" s="22">
        <v>12</v>
      </c>
      <c r="F63" s="21">
        <f t="shared" si="0"/>
        <v>303492.8</v>
      </c>
      <c r="G63" s="21">
        <f t="shared" si="1"/>
        <v>45523.92</v>
      </c>
      <c r="H63" s="21">
        <v>60000</v>
      </c>
      <c r="I63" s="21">
        <v>15000</v>
      </c>
      <c r="J63" s="21">
        <v>15000</v>
      </c>
      <c r="K63" s="26"/>
      <c r="L63" s="21">
        <f>SUM(F63:K63)</f>
        <v>439016.72</v>
      </c>
      <c r="M63" s="21">
        <v>50592.249760000006</v>
      </c>
      <c r="N63" s="21">
        <v>32793.511199999994</v>
      </c>
      <c r="O63" s="21">
        <v>25280.950239999998</v>
      </c>
      <c r="P63" s="21">
        <f>IF((D63*233.456*3%)&gt;7004,7004,(D63*233.456*3%))</f>
        <v>7004</v>
      </c>
      <c r="Q63" s="21">
        <f t="shared" si="2"/>
        <v>373938.25855999999</v>
      </c>
      <c r="R63" s="21">
        <v>349016.72</v>
      </c>
    </row>
    <row r="64" spans="1:18" ht="15.75" thickBot="1" x14ac:dyDescent="0.3">
      <c r="A64" s="21" t="s">
        <v>89</v>
      </c>
      <c r="B64" s="22" t="s">
        <v>96</v>
      </c>
      <c r="C64" s="22" t="s">
        <v>97</v>
      </c>
      <c r="D64" s="22">
        <v>1270</v>
      </c>
      <c r="E64" s="22">
        <v>11</v>
      </c>
      <c r="F64" s="21">
        <f t="shared" si="0"/>
        <v>296489.12</v>
      </c>
      <c r="G64" s="21">
        <f t="shared" si="1"/>
        <v>44473.367999999995</v>
      </c>
      <c r="H64" s="21">
        <v>60000</v>
      </c>
      <c r="I64" s="21">
        <v>15000</v>
      </c>
      <c r="J64" s="21">
        <v>15000</v>
      </c>
      <c r="K64" s="26"/>
      <c r="L64" s="21">
        <f>SUM(F64:K64)</f>
        <v>430962.48800000001</v>
      </c>
      <c r="M64" s="21">
        <v>49424.736304000005</v>
      </c>
      <c r="N64" s="21">
        <v>31102.122480000005</v>
      </c>
      <c r="O64" s="21">
        <v>24697.543696000001</v>
      </c>
      <c r="P64" s="21">
        <f>IF((D64*233.456*3%)&gt;7004,7004,(D64*233.456*3%))</f>
        <v>7004</v>
      </c>
      <c r="Q64" s="21">
        <f t="shared" si="2"/>
        <v>368158.82182399998</v>
      </c>
      <c r="R64" s="21">
        <v>340962.48800000001</v>
      </c>
    </row>
    <row r="65" spans="1:18" ht="15.75" thickBot="1" x14ac:dyDescent="0.3">
      <c r="A65" s="21" t="s">
        <v>89</v>
      </c>
      <c r="B65" s="22" t="s">
        <v>96</v>
      </c>
      <c r="C65" s="22" t="s">
        <v>97</v>
      </c>
      <c r="D65" s="22">
        <v>1185</v>
      </c>
      <c r="E65" s="22">
        <v>23</v>
      </c>
      <c r="F65" s="21">
        <f t="shared" si="0"/>
        <v>276645.36</v>
      </c>
      <c r="G65" s="21">
        <f t="shared" si="1"/>
        <v>41496.803999999996</v>
      </c>
      <c r="H65" s="21">
        <v>60000</v>
      </c>
      <c r="I65" s="21">
        <v>15000</v>
      </c>
      <c r="J65" s="21">
        <v>15000</v>
      </c>
      <c r="K65" s="26"/>
      <c r="L65" s="21">
        <f>SUM(F65:K65)</f>
        <v>408142.16399999999</v>
      </c>
      <c r="M65" s="21">
        <v>46116.781512000001</v>
      </c>
      <c r="N65" s="21">
        <v>26309.854439999996</v>
      </c>
      <c r="O65" s="21">
        <v>23044.558487999999</v>
      </c>
      <c r="P65" s="21">
        <f>IF((D65*233.456*3%)&gt;7004,7004,(D65*233.456*3%))</f>
        <v>7004</v>
      </c>
      <c r="Q65" s="21">
        <f t="shared" si="2"/>
        <v>351783.75107200001</v>
      </c>
      <c r="R65" s="21">
        <v>318142.16399999999</v>
      </c>
    </row>
    <row r="66" spans="1:18" ht="15.75" thickBot="1" x14ac:dyDescent="0.3">
      <c r="A66" s="21" t="s">
        <v>89</v>
      </c>
      <c r="B66" s="22" t="s">
        <v>96</v>
      </c>
      <c r="C66" s="22" t="s">
        <v>97</v>
      </c>
      <c r="D66" s="22">
        <v>1135</v>
      </c>
      <c r="E66" s="22">
        <v>22</v>
      </c>
      <c r="F66" s="21">
        <f t="shared" si="0"/>
        <v>264972.56</v>
      </c>
      <c r="G66" s="21">
        <f t="shared" si="1"/>
        <v>39745.883999999998</v>
      </c>
      <c r="H66" s="21">
        <v>60000</v>
      </c>
      <c r="I66" s="21">
        <v>15000</v>
      </c>
      <c r="J66" s="21">
        <v>15000</v>
      </c>
      <c r="K66" s="26"/>
      <c r="L66" s="21">
        <f>SUM(F66:K66)</f>
        <v>394718.44400000002</v>
      </c>
      <c r="M66" s="21">
        <v>44170.925752000003</v>
      </c>
      <c r="N66" s="21">
        <v>23490.873240000001</v>
      </c>
      <c r="O66" s="21">
        <v>22072.214248</v>
      </c>
      <c r="P66" s="21">
        <f>IF((D66*233.456*3%)&gt;7004,7004,(D66*233.456*3%))</f>
        <v>7004</v>
      </c>
      <c r="Q66" s="21">
        <f t="shared" si="2"/>
        <v>342151.35651200003</v>
      </c>
      <c r="R66" s="21">
        <v>304718.44400000002</v>
      </c>
    </row>
    <row r="67" spans="1:18" ht="15.75" thickBot="1" x14ac:dyDescent="0.3">
      <c r="A67" s="21" t="s">
        <v>89</v>
      </c>
      <c r="B67" s="22" t="s">
        <v>96</v>
      </c>
      <c r="C67" s="22" t="s">
        <v>97</v>
      </c>
      <c r="D67" s="22">
        <v>1085</v>
      </c>
      <c r="E67" s="22">
        <v>21</v>
      </c>
      <c r="F67" s="21">
        <f t="shared" ref="F67:F130" si="3">D67*233.456</f>
        <v>253299.75999999998</v>
      </c>
      <c r="G67" s="21">
        <f t="shared" ref="G67:G130" si="4">F67*15%</f>
        <v>37994.963999999993</v>
      </c>
      <c r="H67" s="21">
        <v>60000</v>
      </c>
      <c r="I67" s="21">
        <v>15000</v>
      </c>
      <c r="J67" s="21">
        <v>15000</v>
      </c>
      <c r="K67" s="26"/>
      <c r="L67" s="21">
        <f>SUM(F67:K67)</f>
        <v>381294.72399999999</v>
      </c>
      <c r="M67" s="21">
        <v>42225.069991999997</v>
      </c>
      <c r="N67" s="21">
        <v>20671.892039999999</v>
      </c>
      <c r="O67" s="21">
        <v>21099.870007999998</v>
      </c>
      <c r="P67" s="21">
        <f>IF((D67*233.456*3%)&gt;7004,7004,(D67*233.456*3%))</f>
        <v>7004</v>
      </c>
      <c r="Q67" s="21">
        <f t="shared" ref="Q67:Q130" si="5">L67-SUM(N67:P67)</f>
        <v>332518.96195199998</v>
      </c>
      <c r="R67" s="21">
        <v>291294.72399999999</v>
      </c>
    </row>
    <row r="68" spans="1:18" ht="15.75" thickBot="1" x14ac:dyDescent="0.3">
      <c r="A68" s="21" t="s">
        <v>89</v>
      </c>
      <c r="B68" s="22" t="s">
        <v>96</v>
      </c>
      <c r="C68" s="22" t="s">
        <v>97</v>
      </c>
      <c r="D68" s="22">
        <v>1000</v>
      </c>
      <c r="E68" s="22">
        <v>33</v>
      </c>
      <c r="F68" s="21">
        <f t="shared" si="3"/>
        <v>233456</v>
      </c>
      <c r="G68" s="21">
        <f t="shared" si="4"/>
        <v>35018.400000000001</v>
      </c>
      <c r="H68" s="21">
        <v>60000</v>
      </c>
      <c r="I68" s="21">
        <v>15000</v>
      </c>
      <c r="J68" s="21">
        <v>15000</v>
      </c>
      <c r="K68" s="26"/>
      <c r="L68" s="21">
        <f>SUM(F68:K68)</f>
        <v>358474.4</v>
      </c>
      <c r="M68" s="21">
        <v>38917.1152</v>
      </c>
      <c r="N68" s="21">
        <v>15879.624000000003</v>
      </c>
      <c r="O68" s="21">
        <v>19446.8848</v>
      </c>
      <c r="P68" s="21">
        <f>IF((D68*233.456*3%)&gt;7004,7004,(D68*233.456*3%))</f>
        <v>7003.6799999999994</v>
      </c>
      <c r="Q68" s="21">
        <f t="shared" si="5"/>
        <v>316144.21120000002</v>
      </c>
      <c r="R68" s="21">
        <v>268474.40000000002</v>
      </c>
    </row>
    <row r="69" spans="1:18" ht="15.75" thickBot="1" x14ac:dyDescent="0.3">
      <c r="A69" s="21" t="s">
        <v>89</v>
      </c>
      <c r="B69" s="22" t="s">
        <v>96</v>
      </c>
      <c r="C69" s="22" t="s">
        <v>97</v>
      </c>
      <c r="D69" s="22">
        <v>950</v>
      </c>
      <c r="E69" s="22">
        <v>32</v>
      </c>
      <c r="F69" s="21">
        <f t="shared" si="3"/>
        <v>221783.19999999998</v>
      </c>
      <c r="G69" s="21">
        <f t="shared" si="4"/>
        <v>33267.479999999996</v>
      </c>
      <c r="H69" s="21">
        <v>60000</v>
      </c>
      <c r="I69" s="21">
        <v>15000</v>
      </c>
      <c r="J69" s="21">
        <v>15000</v>
      </c>
      <c r="K69" s="26"/>
      <c r="L69" s="21">
        <f>SUM(F69:K69)</f>
        <v>345050.68</v>
      </c>
      <c r="M69" s="21">
        <v>36971.259440000002</v>
      </c>
      <c r="N69" s="21">
        <v>13060.642799999998</v>
      </c>
      <c r="O69" s="21">
        <v>18474.540559999998</v>
      </c>
      <c r="P69" s="21">
        <f>IF((D69*233.456*3%)&gt;7004,7004,(D69*233.456*3%))</f>
        <v>6653.4959999999992</v>
      </c>
      <c r="Q69" s="21">
        <f t="shared" si="5"/>
        <v>306862.00063999998</v>
      </c>
      <c r="R69" s="21">
        <v>255050.68</v>
      </c>
    </row>
    <row r="70" spans="1:18" ht="15.75" thickBot="1" x14ac:dyDescent="0.3">
      <c r="A70" s="21" t="s">
        <v>89</v>
      </c>
      <c r="B70" s="22" t="s">
        <v>96</v>
      </c>
      <c r="C70" s="22" t="s">
        <v>97</v>
      </c>
      <c r="D70" s="22">
        <v>890</v>
      </c>
      <c r="E70" s="22">
        <v>31</v>
      </c>
      <c r="F70" s="21">
        <f t="shared" si="3"/>
        <v>207775.84</v>
      </c>
      <c r="G70" s="21">
        <f t="shared" si="4"/>
        <v>31166.375999999997</v>
      </c>
      <c r="H70" s="21">
        <v>60000</v>
      </c>
      <c r="I70" s="21">
        <v>15000</v>
      </c>
      <c r="J70" s="21">
        <v>15000</v>
      </c>
      <c r="K70" s="26"/>
      <c r="L70" s="21">
        <f>SUM(F70:K70)</f>
        <v>328942.21600000001</v>
      </c>
      <c r="M70" s="21">
        <v>34636.232528</v>
      </c>
      <c r="N70" s="21">
        <v>9730.7545599999976</v>
      </c>
      <c r="O70" s="21">
        <v>17307.727471999999</v>
      </c>
      <c r="P70" s="21">
        <f>IF((D70*233.456*3%)&gt;7004,7004,(D70*233.456*3%))</f>
        <v>6233.2752</v>
      </c>
      <c r="Q70" s="21">
        <f t="shared" si="5"/>
        <v>295670.45876800001</v>
      </c>
      <c r="R70" s="21">
        <v>238942.21599999999</v>
      </c>
    </row>
    <row r="71" spans="1:18" ht="15.75" thickBot="1" x14ac:dyDescent="0.3">
      <c r="A71" s="21" t="s">
        <v>89</v>
      </c>
      <c r="B71" s="22" t="s">
        <v>96</v>
      </c>
      <c r="C71" s="22" t="s">
        <v>97</v>
      </c>
      <c r="D71" s="22">
        <v>840</v>
      </c>
      <c r="E71" s="22">
        <v>44</v>
      </c>
      <c r="F71" s="21">
        <f t="shared" si="3"/>
        <v>196103.03999999998</v>
      </c>
      <c r="G71" s="21">
        <f t="shared" si="4"/>
        <v>29415.455999999995</v>
      </c>
      <c r="H71" s="21">
        <v>60000</v>
      </c>
      <c r="I71" s="21">
        <v>15000</v>
      </c>
      <c r="J71" s="21">
        <v>15000</v>
      </c>
      <c r="K71" s="26"/>
      <c r="L71" s="21">
        <f>SUM(F71:K71)</f>
        <v>315518.49599999998</v>
      </c>
      <c r="M71" s="21">
        <v>32690.376767999998</v>
      </c>
      <c r="N71" s="21">
        <v>7582.9593599999971</v>
      </c>
      <c r="O71" s="21">
        <v>16335.383231999998</v>
      </c>
      <c r="P71" s="21">
        <f>IF((D71*233.456*3%)&gt;7004,7004,(D71*233.456*3%))</f>
        <v>5883.0911999999989</v>
      </c>
      <c r="Q71" s="21">
        <f t="shared" si="5"/>
        <v>285717.06220799999</v>
      </c>
      <c r="R71" s="21">
        <v>225518.49599999998</v>
      </c>
    </row>
    <row r="72" spans="1:18" ht="15.75" thickBot="1" x14ac:dyDescent="0.3">
      <c r="A72" s="21" t="s">
        <v>89</v>
      </c>
      <c r="B72" s="22" t="s">
        <v>96</v>
      </c>
      <c r="C72" s="22" t="s">
        <v>97</v>
      </c>
      <c r="D72" s="22">
        <v>785</v>
      </c>
      <c r="E72" s="22">
        <v>43</v>
      </c>
      <c r="F72" s="21">
        <f t="shared" si="3"/>
        <v>183262.96</v>
      </c>
      <c r="G72" s="21">
        <f t="shared" si="4"/>
        <v>27489.444</v>
      </c>
      <c r="H72" s="21">
        <v>60000</v>
      </c>
      <c r="I72" s="21">
        <v>15000</v>
      </c>
      <c r="J72" s="21">
        <v>15000</v>
      </c>
      <c r="K72" s="26"/>
      <c r="L72" s="21">
        <f>SUM(F72:K72)</f>
        <v>300752.40399999998</v>
      </c>
      <c r="M72" s="21">
        <v>30549.935432000002</v>
      </c>
      <c r="N72" s="21">
        <v>5220.3846399999966</v>
      </c>
      <c r="O72" s="21">
        <v>15265.804568</v>
      </c>
      <c r="P72" s="21">
        <f>IF((D72*233.456*3%)&gt;7004,7004,(D72*233.456*3%))</f>
        <v>5497.8887999999997</v>
      </c>
      <c r="Q72" s="21">
        <f t="shared" si="5"/>
        <v>274768.325992</v>
      </c>
      <c r="R72" s="21">
        <v>210752.40399999998</v>
      </c>
    </row>
    <row r="73" spans="1:18" ht="15.75" thickBot="1" x14ac:dyDescent="0.3">
      <c r="A73" s="21" t="s">
        <v>89</v>
      </c>
      <c r="B73" s="22" t="s">
        <v>96</v>
      </c>
      <c r="C73" s="22" t="s">
        <v>97</v>
      </c>
      <c r="D73" s="22">
        <v>730</v>
      </c>
      <c r="E73" s="22">
        <v>42</v>
      </c>
      <c r="F73" s="21">
        <f t="shared" si="3"/>
        <v>170422.88</v>
      </c>
      <c r="G73" s="21">
        <f t="shared" si="4"/>
        <v>25563.432000000001</v>
      </c>
      <c r="H73" s="21">
        <v>60000</v>
      </c>
      <c r="I73" s="21">
        <v>15000</v>
      </c>
      <c r="J73" s="21">
        <v>15000</v>
      </c>
      <c r="K73" s="26"/>
      <c r="L73" s="21">
        <f>SUM(F73:K73)</f>
        <v>285986.31200000003</v>
      </c>
      <c r="M73" s="21">
        <v>28409.494096000002</v>
      </c>
      <c r="N73" s="21">
        <v>2857.8099199999997</v>
      </c>
      <c r="O73" s="21">
        <v>14196.225904000001</v>
      </c>
      <c r="P73" s="21">
        <f>IF((D73*233.456*3%)&gt;7004,7004,(D73*233.456*3%))</f>
        <v>5112.6863999999996</v>
      </c>
      <c r="Q73" s="21">
        <f t="shared" si="5"/>
        <v>263819.58977600001</v>
      </c>
      <c r="R73" s="21">
        <v>195986.31200000001</v>
      </c>
    </row>
    <row r="74" spans="1:18" ht="15.75" thickBot="1" x14ac:dyDescent="0.3">
      <c r="A74" s="21" t="s">
        <v>89</v>
      </c>
      <c r="B74" s="22" t="s">
        <v>96</v>
      </c>
      <c r="C74" s="22" t="s">
        <v>97</v>
      </c>
      <c r="D74" s="22">
        <v>680</v>
      </c>
      <c r="E74" s="22">
        <v>41</v>
      </c>
      <c r="F74" s="21">
        <f t="shared" si="3"/>
        <v>158750.07999999999</v>
      </c>
      <c r="G74" s="21">
        <f t="shared" si="4"/>
        <v>23812.511999999999</v>
      </c>
      <c r="H74" s="21">
        <v>60000</v>
      </c>
      <c r="I74" s="21">
        <v>15000</v>
      </c>
      <c r="J74" s="21">
        <v>15000</v>
      </c>
      <c r="K74" s="26"/>
      <c r="L74" s="21">
        <f>SUM(F74:K74)</f>
        <v>272562.59199999995</v>
      </c>
      <c r="M74" s="21">
        <v>26463.638336</v>
      </c>
      <c r="N74" s="21">
        <v>710.01471999999558</v>
      </c>
      <c r="O74" s="21">
        <v>13223.881663999999</v>
      </c>
      <c r="P74" s="21">
        <f>IF((D74*233.456*3%)&gt;7004,7004,(D74*233.456*3%))</f>
        <v>4762.5023999999994</v>
      </c>
      <c r="Q74" s="21">
        <f t="shared" si="5"/>
        <v>253866.19321599996</v>
      </c>
      <c r="R74" s="21">
        <v>182562.59199999998</v>
      </c>
    </row>
    <row r="75" spans="1:18" ht="15.75" thickBot="1" x14ac:dyDescent="0.3">
      <c r="A75" s="21" t="s">
        <v>89</v>
      </c>
      <c r="B75" s="22" t="s">
        <v>96</v>
      </c>
      <c r="C75" s="22" t="s">
        <v>98</v>
      </c>
      <c r="D75" s="22">
        <v>925</v>
      </c>
      <c r="E75" s="22">
        <v>13</v>
      </c>
      <c r="F75" s="21">
        <f t="shared" si="3"/>
        <v>215946.8</v>
      </c>
      <c r="G75" s="21">
        <f t="shared" si="4"/>
        <v>32392.019999999997</v>
      </c>
      <c r="H75" s="21">
        <v>60000</v>
      </c>
      <c r="I75" s="21">
        <v>15000</v>
      </c>
      <c r="J75" s="21">
        <v>15000</v>
      </c>
      <c r="K75" s="26"/>
      <c r="L75" s="21">
        <f>SUM(F75:K75)</f>
        <v>338338.81999999995</v>
      </c>
      <c r="M75" s="21">
        <v>35998.331559999999</v>
      </c>
      <c r="N75" s="21">
        <v>11651.152199999997</v>
      </c>
      <c r="O75" s="21">
        <v>17988.368439999998</v>
      </c>
      <c r="P75" s="21">
        <f>IF((D75*233.456*3%)&gt;7004,7004,(D75*233.456*3%))</f>
        <v>6478.4039999999995</v>
      </c>
      <c r="Q75" s="21">
        <f t="shared" si="5"/>
        <v>302220.89535999997</v>
      </c>
      <c r="R75" s="21">
        <v>248338.81999999998</v>
      </c>
    </row>
    <row r="76" spans="1:18" ht="15.75" thickBot="1" x14ac:dyDescent="0.3">
      <c r="A76" s="21" t="s">
        <v>89</v>
      </c>
      <c r="B76" s="22" t="s">
        <v>96</v>
      </c>
      <c r="C76" s="22" t="s">
        <v>98</v>
      </c>
      <c r="D76" s="22">
        <v>900</v>
      </c>
      <c r="E76" s="22">
        <v>12</v>
      </c>
      <c r="F76" s="21">
        <f t="shared" si="3"/>
        <v>210110.4</v>
      </c>
      <c r="G76" s="21">
        <f t="shared" si="4"/>
        <v>31516.559999999998</v>
      </c>
      <c r="H76" s="21">
        <v>60000</v>
      </c>
      <c r="I76" s="21">
        <v>15000</v>
      </c>
      <c r="J76" s="21">
        <v>15000</v>
      </c>
      <c r="K76" s="26"/>
      <c r="L76" s="21">
        <f>SUM(F76:K76)</f>
        <v>331626.95999999996</v>
      </c>
      <c r="M76" s="21">
        <v>35025.403680000003</v>
      </c>
      <c r="N76" s="21">
        <v>10241.661599999999</v>
      </c>
      <c r="O76" s="21">
        <v>17502.196319999999</v>
      </c>
      <c r="P76" s="21">
        <f>IF((D76*233.456*3%)&gt;7004,7004,(D76*233.456*3%))</f>
        <v>6303.3119999999999</v>
      </c>
      <c r="Q76" s="21">
        <f t="shared" si="5"/>
        <v>297579.79007999995</v>
      </c>
      <c r="R76" s="21">
        <v>241626.96</v>
      </c>
    </row>
    <row r="77" spans="1:18" ht="15.75" thickBot="1" x14ac:dyDescent="0.3">
      <c r="A77" s="21" t="s">
        <v>89</v>
      </c>
      <c r="B77" s="22" t="s">
        <v>96</v>
      </c>
      <c r="C77" s="22" t="s">
        <v>98</v>
      </c>
      <c r="D77" s="22">
        <v>880</v>
      </c>
      <c r="E77" s="22">
        <v>11</v>
      </c>
      <c r="F77" s="21">
        <f t="shared" si="3"/>
        <v>205441.28</v>
      </c>
      <c r="G77" s="21">
        <f t="shared" si="4"/>
        <v>30816.191999999999</v>
      </c>
      <c r="H77" s="21">
        <v>60000</v>
      </c>
      <c r="I77" s="21">
        <v>15000</v>
      </c>
      <c r="J77" s="21">
        <v>15000</v>
      </c>
      <c r="K77" s="26"/>
      <c r="L77" s="21">
        <f>SUM(F77:K77)</f>
        <v>326257.47200000001</v>
      </c>
      <c r="M77" s="21">
        <v>34247.061376000005</v>
      </c>
      <c r="N77" s="21">
        <v>9301.1955200000011</v>
      </c>
      <c r="O77" s="21">
        <v>17113.258623999998</v>
      </c>
      <c r="P77" s="21">
        <f>IF((D77*233.456*3%)&gt;7004,7004,(D77*233.456*3%))</f>
        <v>6163.2384000000002</v>
      </c>
      <c r="Q77" s="21">
        <f t="shared" si="5"/>
        <v>293679.77945600002</v>
      </c>
      <c r="R77" s="21">
        <v>236257.47200000001</v>
      </c>
    </row>
    <row r="78" spans="1:18" ht="15.75" thickBot="1" x14ac:dyDescent="0.3">
      <c r="A78" s="21" t="s">
        <v>89</v>
      </c>
      <c r="B78" s="22" t="s">
        <v>96</v>
      </c>
      <c r="C78" s="22" t="s">
        <v>98</v>
      </c>
      <c r="D78" s="22">
        <v>860</v>
      </c>
      <c r="E78" s="22">
        <v>23</v>
      </c>
      <c r="F78" s="21">
        <f t="shared" si="3"/>
        <v>200772.16</v>
      </c>
      <c r="G78" s="21">
        <f t="shared" si="4"/>
        <v>30115.824000000001</v>
      </c>
      <c r="H78" s="21">
        <v>60000</v>
      </c>
      <c r="I78" s="21">
        <v>15000</v>
      </c>
      <c r="J78" s="21">
        <v>15000</v>
      </c>
      <c r="K78" s="26"/>
      <c r="L78" s="21">
        <f>SUM(F78:K78)</f>
        <v>320887.984</v>
      </c>
      <c r="M78" s="21">
        <v>33468.719072000007</v>
      </c>
      <c r="N78" s="21">
        <v>8442.0774400000009</v>
      </c>
      <c r="O78" s="21">
        <v>16724.320928000001</v>
      </c>
      <c r="P78" s="21">
        <f>IF((D78*233.456*3%)&gt;7004,7004,(D78*233.456*3%))</f>
        <v>6023.1647999999996</v>
      </c>
      <c r="Q78" s="21">
        <f t="shared" si="5"/>
        <v>289698.42083199997</v>
      </c>
      <c r="R78" s="21">
        <v>230887.984</v>
      </c>
    </row>
    <row r="79" spans="1:18" ht="15.75" thickBot="1" x14ac:dyDescent="0.3">
      <c r="A79" s="21" t="s">
        <v>89</v>
      </c>
      <c r="B79" s="22" t="s">
        <v>96</v>
      </c>
      <c r="C79" s="22" t="s">
        <v>98</v>
      </c>
      <c r="D79" s="22">
        <v>835</v>
      </c>
      <c r="E79" s="22">
        <v>22</v>
      </c>
      <c r="F79" s="21">
        <f t="shared" si="3"/>
        <v>194935.75999999998</v>
      </c>
      <c r="G79" s="21">
        <f t="shared" si="4"/>
        <v>29240.363999999998</v>
      </c>
      <c r="H79" s="21">
        <v>60000</v>
      </c>
      <c r="I79" s="21">
        <v>15000</v>
      </c>
      <c r="J79" s="21">
        <v>15000</v>
      </c>
      <c r="K79" s="26"/>
      <c r="L79" s="21">
        <f>SUM(F79:K79)</f>
        <v>314176.12399999995</v>
      </c>
      <c r="M79" s="21">
        <v>32495.791192000001</v>
      </c>
      <c r="N79" s="21">
        <v>7368.1798399999971</v>
      </c>
      <c r="O79" s="21">
        <v>16238.148807999998</v>
      </c>
      <c r="P79" s="21">
        <f>IF((D79*233.456*3%)&gt;7004,7004,(D79*233.456*3%))</f>
        <v>5848.072799999999</v>
      </c>
      <c r="Q79" s="21">
        <f t="shared" si="5"/>
        <v>284721.72255199996</v>
      </c>
      <c r="R79" s="21">
        <v>224176.12399999998</v>
      </c>
    </row>
    <row r="80" spans="1:18" ht="15.75" thickBot="1" x14ac:dyDescent="0.3">
      <c r="A80" s="21" t="s">
        <v>89</v>
      </c>
      <c r="B80" s="22" t="s">
        <v>96</v>
      </c>
      <c r="C80" s="22" t="s">
        <v>98</v>
      </c>
      <c r="D80" s="22">
        <v>815</v>
      </c>
      <c r="E80" s="22">
        <v>21</v>
      </c>
      <c r="F80" s="21">
        <f t="shared" si="3"/>
        <v>190266.63999999998</v>
      </c>
      <c r="G80" s="21">
        <f t="shared" si="4"/>
        <v>28539.995999999996</v>
      </c>
      <c r="H80" s="21">
        <v>60000</v>
      </c>
      <c r="I80" s="21">
        <v>15000</v>
      </c>
      <c r="J80" s="21">
        <v>15000</v>
      </c>
      <c r="K80" s="26"/>
      <c r="L80" s="21">
        <f>SUM(F80:K80)</f>
        <v>308806.63599999994</v>
      </c>
      <c r="M80" s="21">
        <v>31717.448887999999</v>
      </c>
      <c r="N80" s="21">
        <v>6509.0617599999969</v>
      </c>
      <c r="O80" s="21">
        <v>15849.211111999999</v>
      </c>
      <c r="P80" s="21">
        <f>IF((D80*233.456*3%)&gt;7004,7004,(D80*233.456*3%))</f>
        <v>5707.9991999999993</v>
      </c>
      <c r="Q80" s="21">
        <f t="shared" si="5"/>
        <v>280740.36392799998</v>
      </c>
      <c r="R80" s="21">
        <v>218806.63599999997</v>
      </c>
    </row>
    <row r="81" spans="1:18" ht="15.75" thickBot="1" x14ac:dyDescent="0.3">
      <c r="A81" s="21" t="s">
        <v>89</v>
      </c>
      <c r="B81" s="22" t="s">
        <v>96</v>
      </c>
      <c r="C81" s="22" t="s">
        <v>98</v>
      </c>
      <c r="D81" s="22">
        <v>740</v>
      </c>
      <c r="E81" s="22">
        <v>33</v>
      </c>
      <c r="F81" s="21">
        <f t="shared" si="3"/>
        <v>172757.44</v>
      </c>
      <c r="G81" s="21">
        <f t="shared" si="4"/>
        <v>25913.615999999998</v>
      </c>
      <c r="H81" s="21">
        <v>60000</v>
      </c>
      <c r="I81" s="21">
        <v>15000</v>
      </c>
      <c r="J81" s="21">
        <v>15000</v>
      </c>
      <c r="K81" s="26"/>
      <c r="L81" s="21">
        <f>SUM(F81:K81)</f>
        <v>288671.05599999998</v>
      </c>
      <c r="M81" s="21">
        <v>28798.665248000001</v>
      </c>
      <c r="N81" s="21">
        <v>3287.3689600000034</v>
      </c>
      <c r="O81" s="21">
        <v>14390.694751999999</v>
      </c>
      <c r="P81" s="21">
        <f>IF((D81*233.456*3%)&gt;7004,7004,(D81*233.456*3%))</f>
        <v>5182.7231999999995</v>
      </c>
      <c r="Q81" s="21">
        <f t="shared" si="5"/>
        <v>265810.269088</v>
      </c>
      <c r="R81" s="21">
        <v>198671.05600000001</v>
      </c>
    </row>
    <row r="82" spans="1:18" ht="15.75" thickBot="1" x14ac:dyDescent="0.3">
      <c r="A82" s="21" t="s">
        <v>89</v>
      </c>
      <c r="B82" s="22" t="s">
        <v>96</v>
      </c>
      <c r="C82" s="22" t="s">
        <v>98</v>
      </c>
      <c r="D82" s="22">
        <v>715</v>
      </c>
      <c r="E82" s="22">
        <v>32</v>
      </c>
      <c r="F82" s="21">
        <f t="shared" si="3"/>
        <v>166921.03999999998</v>
      </c>
      <c r="G82" s="21">
        <f t="shared" si="4"/>
        <v>25038.155999999995</v>
      </c>
      <c r="H82" s="21">
        <v>60000</v>
      </c>
      <c r="I82" s="21">
        <v>15000</v>
      </c>
      <c r="J82" s="21">
        <v>15000</v>
      </c>
      <c r="K82" s="26"/>
      <c r="L82" s="21">
        <f>SUM(F82:K82)</f>
        <v>281959.196</v>
      </c>
      <c r="M82" s="21">
        <v>27825.737367999998</v>
      </c>
      <c r="N82" s="21">
        <v>2213.4713599999959</v>
      </c>
      <c r="O82" s="21">
        <v>13904.522631999998</v>
      </c>
      <c r="P82" s="21">
        <f>IF((D82*233.456*3%)&gt;7004,7004,(D82*233.456*3%))</f>
        <v>5007.6311999999989</v>
      </c>
      <c r="Q82" s="21">
        <f t="shared" si="5"/>
        <v>260833.57080799999</v>
      </c>
      <c r="R82" s="21">
        <v>191959.19599999997</v>
      </c>
    </row>
    <row r="83" spans="1:18" ht="15.75" thickBot="1" x14ac:dyDescent="0.3">
      <c r="A83" s="21" t="s">
        <v>89</v>
      </c>
      <c r="B83" s="22" t="s">
        <v>96</v>
      </c>
      <c r="C83" s="22" t="s">
        <v>98</v>
      </c>
      <c r="D83" s="22">
        <v>695</v>
      </c>
      <c r="E83" s="22">
        <v>31</v>
      </c>
      <c r="F83" s="21">
        <f t="shared" si="3"/>
        <v>162251.91999999998</v>
      </c>
      <c r="G83" s="21">
        <f t="shared" si="4"/>
        <v>24337.787999999997</v>
      </c>
      <c r="H83" s="21">
        <v>60000</v>
      </c>
      <c r="I83" s="21">
        <v>15000</v>
      </c>
      <c r="J83" s="21">
        <v>15000</v>
      </c>
      <c r="K83" s="26"/>
      <c r="L83" s="21">
        <f>SUM(F83:K83)</f>
        <v>276589.70799999998</v>
      </c>
      <c r="M83" s="21">
        <v>27047.395064</v>
      </c>
      <c r="N83" s="21">
        <v>1354.3532799999994</v>
      </c>
      <c r="O83" s="21">
        <v>13515.584935999999</v>
      </c>
      <c r="P83" s="21">
        <f>IF((D83*233.456*3%)&gt;7004,7004,(D83*233.456*3%))</f>
        <v>4867.5575999999992</v>
      </c>
      <c r="Q83" s="21">
        <f t="shared" si="5"/>
        <v>256852.21218399997</v>
      </c>
      <c r="R83" s="21">
        <v>186589.70799999998</v>
      </c>
    </row>
    <row r="84" spans="1:18" ht="15.75" thickBot="1" x14ac:dyDescent="0.3">
      <c r="A84" s="21" t="s">
        <v>89</v>
      </c>
      <c r="B84" s="22" t="s">
        <v>96</v>
      </c>
      <c r="C84" s="22" t="s">
        <v>98</v>
      </c>
      <c r="D84" s="22">
        <v>640</v>
      </c>
      <c r="E84" s="22">
        <v>44</v>
      </c>
      <c r="F84" s="21">
        <f t="shared" si="3"/>
        <v>149411.84</v>
      </c>
      <c r="G84" s="21">
        <f t="shared" si="4"/>
        <v>22411.775999999998</v>
      </c>
      <c r="H84" s="21">
        <v>60000</v>
      </c>
      <c r="I84" s="21">
        <v>15000</v>
      </c>
      <c r="J84" s="21">
        <v>15000</v>
      </c>
      <c r="K84" s="26"/>
      <c r="L84" s="21">
        <f>SUM(F84:K84)</f>
        <v>261823.61599999998</v>
      </c>
      <c r="M84" s="21">
        <v>24906.953728</v>
      </c>
      <c r="N84" s="21">
        <v>0</v>
      </c>
      <c r="O84" s="21">
        <v>12446.006271999999</v>
      </c>
      <c r="P84" s="21">
        <f>IF((D84*233.456*3%)&gt;7004,7004,(D84*233.456*3%))</f>
        <v>4482.3552</v>
      </c>
      <c r="Q84" s="21">
        <f t="shared" si="5"/>
        <v>244895.25452799999</v>
      </c>
      <c r="R84" s="21">
        <v>171823.61599999998</v>
      </c>
    </row>
    <row r="85" spans="1:18" ht="15.75" thickBot="1" x14ac:dyDescent="0.3">
      <c r="A85" s="21" t="s">
        <v>89</v>
      </c>
      <c r="B85" s="22" t="s">
        <v>96</v>
      </c>
      <c r="C85" s="22" t="s">
        <v>98</v>
      </c>
      <c r="D85" s="22">
        <v>625</v>
      </c>
      <c r="E85" s="22">
        <v>43</v>
      </c>
      <c r="F85" s="21">
        <f t="shared" si="3"/>
        <v>145910</v>
      </c>
      <c r="G85" s="21">
        <f t="shared" si="4"/>
        <v>21886.5</v>
      </c>
      <c r="H85" s="21">
        <v>60000</v>
      </c>
      <c r="I85" s="21">
        <v>15000</v>
      </c>
      <c r="J85" s="21">
        <v>15000</v>
      </c>
      <c r="K85" s="26"/>
      <c r="L85" s="21">
        <f>SUM(F85:K85)</f>
        <v>257796.5</v>
      </c>
      <c r="M85" s="21">
        <v>24323.197000000004</v>
      </c>
      <c r="N85" s="21">
        <v>0</v>
      </c>
      <c r="O85" s="21">
        <v>12154.303</v>
      </c>
      <c r="P85" s="21">
        <f>IF((D85*233.456*3%)&gt;7004,7004,(D85*233.456*3%))</f>
        <v>4377.3</v>
      </c>
      <c r="Q85" s="21">
        <f t="shared" si="5"/>
        <v>241264.897</v>
      </c>
      <c r="R85" s="21">
        <v>167796.5</v>
      </c>
    </row>
    <row r="86" spans="1:18" ht="15.75" thickBot="1" x14ac:dyDescent="0.3">
      <c r="A86" s="21" t="s">
        <v>89</v>
      </c>
      <c r="B86" s="22" t="s">
        <v>96</v>
      </c>
      <c r="C86" s="22" t="s">
        <v>98</v>
      </c>
      <c r="D86" s="22">
        <v>595</v>
      </c>
      <c r="E86" s="22">
        <v>42</v>
      </c>
      <c r="F86" s="21">
        <f t="shared" si="3"/>
        <v>138906.32</v>
      </c>
      <c r="G86" s="21">
        <f t="shared" si="4"/>
        <v>20835.948</v>
      </c>
      <c r="H86" s="21">
        <v>60000</v>
      </c>
      <c r="I86" s="21">
        <v>15000</v>
      </c>
      <c r="J86" s="21">
        <v>15000</v>
      </c>
      <c r="K86" s="26"/>
      <c r="L86" s="21">
        <f>SUM(F86:K86)</f>
        <v>249742.26800000001</v>
      </c>
      <c r="M86" s="21">
        <v>23155.683544000003</v>
      </c>
      <c r="N86" s="21">
        <v>0</v>
      </c>
      <c r="O86" s="21">
        <v>11570.896456</v>
      </c>
      <c r="P86" s="21">
        <f>IF((D86*233.456*3%)&gt;7004,7004,(D86*233.456*3%))</f>
        <v>4167.1895999999997</v>
      </c>
      <c r="Q86" s="21">
        <f t="shared" si="5"/>
        <v>234004.18194400001</v>
      </c>
      <c r="R86" s="21">
        <v>159742.26800000001</v>
      </c>
    </row>
    <row r="87" spans="1:18" ht="15.75" thickBot="1" x14ac:dyDescent="0.3">
      <c r="A87" s="21" t="s">
        <v>89</v>
      </c>
      <c r="B87" s="22" t="s">
        <v>96</v>
      </c>
      <c r="C87" s="22" t="s">
        <v>98</v>
      </c>
      <c r="D87" s="22">
        <v>565</v>
      </c>
      <c r="E87" s="22">
        <v>41</v>
      </c>
      <c r="F87" s="21">
        <f t="shared" si="3"/>
        <v>131902.63999999998</v>
      </c>
      <c r="G87" s="21">
        <f t="shared" si="4"/>
        <v>19785.395999999997</v>
      </c>
      <c r="H87" s="21">
        <v>60000</v>
      </c>
      <c r="I87" s="21">
        <v>15000</v>
      </c>
      <c r="J87" s="21">
        <v>15000</v>
      </c>
      <c r="K87" s="26"/>
      <c r="L87" s="21">
        <f>SUM(F87:K87)</f>
        <v>241688.03599999999</v>
      </c>
      <c r="M87" s="21">
        <v>21988.170087999999</v>
      </c>
      <c r="N87" s="21">
        <v>0</v>
      </c>
      <c r="O87" s="21">
        <v>10987.489911999999</v>
      </c>
      <c r="P87" s="21">
        <f>IF((D87*233.456*3%)&gt;7004,7004,(D87*233.456*3%))</f>
        <v>3957.0791999999992</v>
      </c>
      <c r="Q87" s="21">
        <f t="shared" si="5"/>
        <v>226743.466888</v>
      </c>
      <c r="R87" s="21">
        <v>151688.03599999999</v>
      </c>
    </row>
    <row r="88" spans="1:18" ht="15.75" thickBot="1" x14ac:dyDescent="0.3">
      <c r="A88" s="21" t="s">
        <v>89</v>
      </c>
      <c r="B88" s="22" t="s">
        <v>99</v>
      </c>
      <c r="C88" s="22" t="s">
        <v>100</v>
      </c>
      <c r="D88" s="22">
        <v>805</v>
      </c>
      <c r="E88" s="22">
        <v>13</v>
      </c>
      <c r="F88" s="21">
        <f t="shared" si="3"/>
        <v>187932.08</v>
      </c>
      <c r="G88" s="21">
        <f t="shared" si="4"/>
        <v>28189.811999999998</v>
      </c>
      <c r="H88" s="21">
        <v>60000</v>
      </c>
      <c r="I88" s="21">
        <v>15000</v>
      </c>
      <c r="J88" s="21">
        <v>15000</v>
      </c>
      <c r="K88" s="26"/>
      <c r="L88" s="21">
        <f>SUM(F88:K88)</f>
        <v>306121.89199999999</v>
      </c>
      <c r="M88" s="21">
        <v>31328.277736</v>
      </c>
      <c r="N88" s="21">
        <v>6079.5027200000004</v>
      </c>
      <c r="O88" s="21">
        <v>15654.742263999999</v>
      </c>
      <c r="P88" s="21">
        <f>IF((D88*233.456*3%)&gt;7004,7004,(D88*233.456*3%))</f>
        <v>5637.9623999999994</v>
      </c>
      <c r="Q88" s="21">
        <f t="shared" si="5"/>
        <v>278749.68461599998</v>
      </c>
      <c r="R88" s="21">
        <v>216121.89199999999</v>
      </c>
    </row>
    <row r="89" spans="1:18" ht="15.75" thickBot="1" x14ac:dyDescent="0.3">
      <c r="A89" s="21" t="s">
        <v>89</v>
      </c>
      <c r="B89" s="22" t="s">
        <v>99</v>
      </c>
      <c r="C89" s="22" t="s">
        <v>100</v>
      </c>
      <c r="D89" s="22">
        <v>790</v>
      </c>
      <c r="E89" s="22">
        <v>12</v>
      </c>
      <c r="F89" s="21">
        <f t="shared" si="3"/>
        <v>184430.24</v>
      </c>
      <c r="G89" s="21">
        <f t="shared" si="4"/>
        <v>27664.535999999996</v>
      </c>
      <c r="H89" s="21">
        <v>60000</v>
      </c>
      <c r="I89" s="21">
        <v>15000</v>
      </c>
      <c r="J89" s="21">
        <v>15000</v>
      </c>
      <c r="K89" s="26"/>
      <c r="L89" s="21">
        <f>SUM(F89:K89)</f>
        <v>302094.77599999995</v>
      </c>
      <c r="M89" s="21">
        <v>30744.521008</v>
      </c>
      <c r="N89" s="21">
        <v>5435.1641599999966</v>
      </c>
      <c r="O89" s="21">
        <v>15363.038992</v>
      </c>
      <c r="P89" s="21">
        <f>IF((D89*233.456*3%)&gt;7004,7004,(D89*233.456*3%))</f>
        <v>5532.9071999999996</v>
      </c>
      <c r="Q89" s="21">
        <f t="shared" si="5"/>
        <v>275763.66564799997</v>
      </c>
      <c r="R89" s="21">
        <v>212094.77599999998</v>
      </c>
    </row>
    <row r="90" spans="1:18" ht="15.75" thickBot="1" x14ac:dyDescent="0.3">
      <c r="A90" s="21" t="s">
        <v>89</v>
      </c>
      <c r="B90" s="22" t="s">
        <v>99</v>
      </c>
      <c r="C90" s="22" t="s">
        <v>100</v>
      </c>
      <c r="D90" s="22">
        <v>775</v>
      </c>
      <c r="E90" s="22">
        <v>11</v>
      </c>
      <c r="F90" s="21">
        <f t="shared" si="3"/>
        <v>180928.4</v>
      </c>
      <c r="G90" s="21">
        <f t="shared" si="4"/>
        <v>27139.26</v>
      </c>
      <c r="H90" s="21">
        <v>60000</v>
      </c>
      <c r="I90" s="21">
        <v>15000</v>
      </c>
      <c r="J90" s="21">
        <v>15000</v>
      </c>
      <c r="K90" s="26"/>
      <c r="L90" s="21">
        <f>SUM(F90:K90)</f>
        <v>298067.66000000003</v>
      </c>
      <c r="M90" s="21">
        <v>30160.764280000003</v>
      </c>
      <c r="N90" s="21">
        <v>4790.8256000000001</v>
      </c>
      <c r="O90" s="21">
        <v>15071.335719999999</v>
      </c>
      <c r="P90" s="21">
        <f>IF((D90*233.456*3%)&gt;7004,7004,(D90*233.456*3%))</f>
        <v>5427.8519999999999</v>
      </c>
      <c r="Q90" s="21">
        <f t="shared" si="5"/>
        <v>272777.64668000001</v>
      </c>
      <c r="R90" s="21">
        <v>208067.66</v>
      </c>
    </row>
    <row r="91" spans="1:18" ht="15.75" thickBot="1" x14ac:dyDescent="0.3">
      <c r="A91" s="21" t="s">
        <v>89</v>
      </c>
      <c r="B91" s="22" t="s">
        <v>99</v>
      </c>
      <c r="C91" s="22" t="s">
        <v>100</v>
      </c>
      <c r="D91" s="22">
        <v>755</v>
      </c>
      <c r="E91" s="22">
        <v>23</v>
      </c>
      <c r="F91" s="21">
        <f t="shared" si="3"/>
        <v>176259.28</v>
      </c>
      <c r="G91" s="21">
        <f t="shared" si="4"/>
        <v>26438.892</v>
      </c>
      <c r="H91" s="21">
        <v>60000</v>
      </c>
      <c r="I91" s="21">
        <v>15000</v>
      </c>
      <c r="J91" s="21">
        <v>15000</v>
      </c>
      <c r="K91" s="26"/>
      <c r="L91" s="21">
        <f>SUM(F91:K91)</f>
        <v>292698.17200000002</v>
      </c>
      <c r="M91" s="21">
        <v>29382.421976000001</v>
      </c>
      <c r="N91" s="21">
        <v>3931.7075199999999</v>
      </c>
      <c r="O91" s="21">
        <v>14682.398024</v>
      </c>
      <c r="P91" s="21">
        <f>IF((D91*233.456*3%)&gt;7004,7004,(D91*233.456*3%))</f>
        <v>5287.7784000000001</v>
      </c>
      <c r="Q91" s="21">
        <f t="shared" si="5"/>
        <v>268796.28805600002</v>
      </c>
      <c r="R91" s="21">
        <v>202698.17199999999</v>
      </c>
    </row>
    <row r="92" spans="1:18" ht="15.75" thickBot="1" x14ac:dyDescent="0.3">
      <c r="A92" s="21" t="s">
        <v>89</v>
      </c>
      <c r="B92" s="22" t="s">
        <v>99</v>
      </c>
      <c r="C92" s="22" t="s">
        <v>100</v>
      </c>
      <c r="D92" s="22">
        <v>725</v>
      </c>
      <c r="E92" s="22">
        <v>22</v>
      </c>
      <c r="F92" s="21">
        <f t="shared" si="3"/>
        <v>169255.6</v>
      </c>
      <c r="G92" s="21">
        <f t="shared" si="4"/>
        <v>25388.34</v>
      </c>
      <c r="H92" s="21">
        <v>60000</v>
      </c>
      <c r="I92" s="21">
        <v>15000</v>
      </c>
      <c r="J92" s="21">
        <v>15000</v>
      </c>
      <c r="K92" s="26"/>
      <c r="L92" s="21">
        <f>SUM(F92:K92)</f>
        <v>284643.94</v>
      </c>
      <c r="M92" s="21">
        <v>28214.908520000005</v>
      </c>
      <c r="N92" s="21">
        <v>2643.0303999999996</v>
      </c>
      <c r="O92" s="21">
        <v>14098.991480000001</v>
      </c>
      <c r="P92" s="21">
        <f>IF((D92*233.456*3%)&gt;7004,7004,(D92*233.456*3%))</f>
        <v>5077.6679999999997</v>
      </c>
      <c r="Q92" s="21">
        <f t="shared" si="5"/>
        <v>262824.25011999998</v>
      </c>
      <c r="R92" s="21">
        <v>194643.94</v>
      </c>
    </row>
    <row r="93" spans="1:18" ht="15.75" thickBot="1" x14ac:dyDescent="0.3">
      <c r="A93" s="21" t="s">
        <v>89</v>
      </c>
      <c r="B93" s="22" t="s">
        <v>99</v>
      </c>
      <c r="C93" s="22" t="s">
        <v>100</v>
      </c>
      <c r="D93" s="22">
        <v>705</v>
      </c>
      <c r="E93" s="22">
        <v>21</v>
      </c>
      <c r="F93" s="21">
        <f t="shared" si="3"/>
        <v>164586.47999999998</v>
      </c>
      <c r="G93" s="21">
        <f t="shared" si="4"/>
        <v>24687.971999999998</v>
      </c>
      <c r="H93" s="21">
        <v>60000</v>
      </c>
      <c r="I93" s="21">
        <v>15000</v>
      </c>
      <c r="J93" s="21">
        <v>15000</v>
      </c>
      <c r="K93" s="26"/>
      <c r="L93" s="21">
        <f>SUM(F93:K93)</f>
        <v>279274.45199999999</v>
      </c>
      <c r="M93" s="21">
        <v>27436.566215999999</v>
      </c>
      <c r="N93" s="21">
        <v>1783.9123199999995</v>
      </c>
      <c r="O93" s="21">
        <v>13710.053783999998</v>
      </c>
      <c r="P93" s="21">
        <f>IF((D93*233.456*3%)&gt;7004,7004,(D93*233.456*3%))</f>
        <v>4937.594399999999</v>
      </c>
      <c r="Q93" s="21">
        <f t="shared" si="5"/>
        <v>258842.891496</v>
      </c>
      <c r="R93" s="21">
        <v>189274.45199999999</v>
      </c>
    </row>
    <row r="94" spans="1:18" ht="15.75" thickBot="1" x14ac:dyDescent="0.3">
      <c r="A94" s="21" t="s">
        <v>89</v>
      </c>
      <c r="B94" s="22" t="s">
        <v>99</v>
      </c>
      <c r="C94" s="22" t="s">
        <v>100</v>
      </c>
      <c r="D94" s="22">
        <v>650</v>
      </c>
      <c r="E94" s="22">
        <v>33</v>
      </c>
      <c r="F94" s="21">
        <f t="shared" si="3"/>
        <v>151746.4</v>
      </c>
      <c r="G94" s="21">
        <f t="shared" si="4"/>
        <v>22761.96</v>
      </c>
      <c r="H94" s="21">
        <v>60000</v>
      </c>
      <c r="I94" s="21">
        <v>15000</v>
      </c>
      <c r="J94" s="21">
        <v>15000</v>
      </c>
      <c r="K94" s="26"/>
      <c r="L94" s="21">
        <f>SUM(F94:K94)</f>
        <v>264508.36</v>
      </c>
      <c r="M94" s="21">
        <v>25296.124880000003</v>
      </c>
      <c r="N94" s="21">
        <v>0</v>
      </c>
      <c r="O94" s="21">
        <v>12640.475119999999</v>
      </c>
      <c r="P94" s="21">
        <f>IF((D94*233.456*3%)&gt;7004,7004,(D94*233.456*3%))</f>
        <v>4552.3919999999998</v>
      </c>
      <c r="Q94" s="21">
        <f t="shared" si="5"/>
        <v>247315.49287999998</v>
      </c>
      <c r="R94" s="21">
        <v>174508.36</v>
      </c>
    </row>
    <row r="95" spans="1:18" ht="15.75" thickBot="1" x14ac:dyDescent="0.3">
      <c r="A95" s="21" t="s">
        <v>89</v>
      </c>
      <c r="B95" s="22" t="s">
        <v>99</v>
      </c>
      <c r="C95" s="22" t="s">
        <v>100</v>
      </c>
      <c r="D95" s="22">
        <v>630</v>
      </c>
      <c r="E95" s="22">
        <v>32</v>
      </c>
      <c r="F95" s="21">
        <f t="shared" si="3"/>
        <v>147077.28</v>
      </c>
      <c r="G95" s="21">
        <f t="shared" si="4"/>
        <v>22061.592000000001</v>
      </c>
      <c r="H95" s="21">
        <v>60000</v>
      </c>
      <c r="I95" s="21">
        <v>15000</v>
      </c>
      <c r="J95" s="21">
        <v>15000</v>
      </c>
      <c r="K95" s="26"/>
      <c r="L95" s="21">
        <f>SUM(F95:K95)</f>
        <v>259138.872</v>
      </c>
      <c r="M95" s="21">
        <v>24517.782576000001</v>
      </c>
      <c r="N95" s="21">
        <v>0</v>
      </c>
      <c r="O95" s="21">
        <v>12251.537424</v>
      </c>
      <c r="P95" s="21">
        <f>IF((D95*233.456*3%)&gt;7004,7004,(D95*233.456*3%))</f>
        <v>4412.3184000000001</v>
      </c>
      <c r="Q95" s="21">
        <f t="shared" si="5"/>
        <v>242475.016176</v>
      </c>
      <c r="R95" s="21">
        <v>169138.872</v>
      </c>
    </row>
    <row r="96" spans="1:18" ht="15.75" thickBot="1" x14ac:dyDescent="0.3">
      <c r="A96" s="21" t="s">
        <v>89</v>
      </c>
      <c r="B96" s="22" t="s">
        <v>99</v>
      </c>
      <c r="C96" s="22" t="s">
        <v>100</v>
      </c>
      <c r="D96" s="22">
        <v>605</v>
      </c>
      <c r="E96" s="22">
        <v>31</v>
      </c>
      <c r="F96" s="21">
        <f t="shared" si="3"/>
        <v>141240.88</v>
      </c>
      <c r="G96" s="21">
        <f t="shared" si="4"/>
        <v>21186.132000000001</v>
      </c>
      <c r="H96" s="21">
        <v>60000</v>
      </c>
      <c r="I96" s="21">
        <v>15000</v>
      </c>
      <c r="J96" s="21">
        <v>15000</v>
      </c>
      <c r="K96" s="26"/>
      <c r="L96" s="21">
        <f>SUM(F96:K96)</f>
        <v>252427.01200000002</v>
      </c>
      <c r="M96" s="21">
        <v>23544.854696000002</v>
      </c>
      <c r="N96" s="21">
        <v>0</v>
      </c>
      <c r="O96" s="21">
        <v>11765.365304000001</v>
      </c>
      <c r="P96" s="21">
        <f>IF((D96*233.456*3%)&gt;7004,7004,(D96*233.456*3%))</f>
        <v>4237.2263999999996</v>
      </c>
      <c r="Q96" s="21">
        <f t="shared" si="5"/>
        <v>236424.42029600003</v>
      </c>
      <c r="R96" s="21">
        <v>162427.01200000002</v>
      </c>
    </row>
    <row r="97" spans="1:18" ht="15.75" thickBot="1" x14ac:dyDescent="0.3">
      <c r="A97" s="21" t="s">
        <v>89</v>
      </c>
      <c r="B97" s="22" t="s">
        <v>99</v>
      </c>
      <c r="C97" s="22" t="s">
        <v>100</v>
      </c>
      <c r="D97" s="22">
        <v>560</v>
      </c>
      <c r="E97" s="22">
        <v>44</v>
      </c>
      <c r="F97" s="21">
        <f t="shared" si="3"/>
        <v>130735.36</v>
      </c>
      <c r="G97" s="21">
        <f t="shared" si="4"/>
        <v>19610.304</v>
      </c>
      <c r="H97" s="21">
        <v>60000</v>
      </c>
      <c r="I97" s="21">
        <v>15000</v>
      </c>
      <c r="J97" s="21">
        <v>15000</v>
      </c>
      <c r="K97" s="26"/>
      <c r="L97" s="21">
        <f>SUM(F97:K97)</f>
        <v>240345.66399999999</v>
      </c>
      <c r="M97" s="21">
        <v>21793.584512000001</v>
      </c>
      <c r="N97" s="21">
        <v>0</v>
      </c>
      <c r="O97" s="21">
        <v>10890.255488000001</v>
      </c>
      <c r="P97" s="21">
        <f>IF((D97*233.456*3%)&gt;7004,7004,(D97*233.456*3%))</f>
        <v>3922.0607999999997</v>
      </c>
      <c r="Q97" s="21">
        <f t="shared" si="5"/>
        <v>225533.34771199999</v>
      </c>
      <c r="R97" s="21">
        <v>150345.66399999999</v>
      </c>
    </row>
    <row r="98" spans="1:18" ht="15.75" thickBot="1" x14ac:dyDescent="0.3">
      <c r="A98" s="21" t="s">
        <v>89</v>
      </c>
      <c r="B98" s="22" t="s">
        <v>99</v>
      </c>
      <c r="C98" s="22" t="s">
        <v>100</v>
      </c>
      <c r="D98" s="22">
        <v>535</v>
      </c>
      <c r="E98" s="22">
        <v>43</v>
      </c>
      <c r="F98" s="21">
        <f t="shared" si="3"/>
        <v>124898.95999999999</v>
      </c>
      <c r="G98" s="21">
        <f t="shared" si="4"/>
        <v>18734.843999999997</v>
      </c>
      <c r="H98" s="21">
        <v>60000</v>
      </c>
      <c r="I98" s="21">
        <v>15000</v>
      </c>
      <c r="J98" s="21">
        <v>15000</v>
      </c>
      <c r="K98" s="26"/>
      <c r="L98" s="21">
        <f>SUM(F98:K98)</f>
        <v>233633.804</v>
      </c>
      <c r="M98" s="21">
        <v>20820.656632000002</v>
      </c>
      <c r="N98" s="21">
        <v>0</v>
      </c>
      <c r="O98" s="21">
        <v>10404.083368</v>
      </c>
      <c r="P98" s="21">
        <f>IF((D98*233.456*3%)&gt;7004,7004,(D98*233.456*3%))</f>
        <v>3746.9687999999996</v>
      </c>
      <c r="Q98" s="21">
        <f t="shared" si="5"/>
        <v>219482.75183200001</v>
      </c>
      <c r="R98" s="21">
        <v>143633.804</v>
      </c>
    </row>
    <row r="99" spans="1:18" ht="15.75" thickBot="1" x14ac:dyDescent="0.3">
      <c r="A99" s="21" t="s">
        <v>89</v>
      </c>
      <c r="B99" s="22" t="s">
        <v>99</v>
      </c>
      <c r="C99" s="22" t="s">
        <v>100</v>
      </c>
      <c r="D99" s="22">
        <v>510</v>
      </c>
      <c r="E99" s="22">
        <v>42</v>
      </c>
      <c r="F99" s="21">
        <f t="shared" si="3"/>
        <v>119062.56</v>
      </c>
      <c r="G99" s="21">
        <f t="shared" si="4"/>
        <v>17859.383999999998</v>
      </c>
      <c r="H99" s="21">
        <v>60000</v>
      </c>
      <c r="I99" s="21">
        <v>15000</v>
      </c>
      <c r="J99" s="21">
        <v>15000</v>
      </c>
      <c r="K99" s="26"/>
      <c r="L99" s="21">
        <f>SUM(F99:K99)</f>
        <v>226921.94399999999</v>
      </c>
      <c r="M99" s="21">
        <v>19847.728752000003</v>
      </c>
      <c r="N99" s="21">
        <v>0</v>
      </c>
      <c r="O99" s="21">
        <v>9917.9112480000003</v>
      </c>
      <c r="P99" s="21">
        <f>IF((D99*233.456*3%)&gt;7004,7004,(D99*233.456*3%))</f>
        <v>3571.8768</v>
      </c>
      <c r="Q99" s="21">
        <f t="shared" si="5"/>
        <v>213432.155952</v>
      </c>
      <c r="R99" s="21">
        <v>136921.94399999999</v>
      </c>
    </row>
    <row r="100" spans="1:18" ht="15.75" thickBot="1" x14ac:dyDescent="0.3">
      <c r="A100" s="21" t="s">
        <v>89</v>
      </c>
      <c r="B100" s="22" t="s">
        <v>99</v>
      </c>
      <c r="C100" s="22" t="s">
        <v>100</v>
      </c>
      <c r="D100" s="22">
        <v>485</v>
      </c>
      <c r="E100" s="22">
        <v>41</v>
      </c>
      <c r="F100" s="21">
        <f t="shared" si="3"/>
        <v>113226.15999999999</v>
      </c>
      <c r="G100" s="21">
        <f t="shared" si="4"/>
        <v>16983.923999999999</v>
      </c>
      <c r="H100" s="21">
        <v>60000</v>
      </c>
      <c r="I100" s="21">
        <v>15000</v>
      </c>
      <c r="J100" s="21">
        <v>15000</v>
      </c>
      <c r="K100" s="26"/>
      <c r="L100" s="21">
        <f>SUM(F100:K100)</f>
        <v>220210.08399999997</v>
      </c>
      <c r="M100" s="21">
        <v>18874.800872</v>
      </c>
      <c r="N100" s="21">
        <v>0</v>
      </c>
      <c r="O100" s="21">
        <v>9431.7391279999993</v>
      </c>
      <c r="P100" s="21">
        <f>IF((D100*233.456*3%)&gt;7004,7004,(D100*233.456*3%))</f>
        <v>3396.7847999999994</v>
      </c>
      <c r="Q100" s="21">
        <f t="shared" si="5"/>
        <v>207381.56007199996</v>
      </c>
      <c r="R100" s="21">
        <v>130210.08399999999</v>
      </c>
    </row>
    <row r="101" spans="1:18" ht="15.75" thickBot="1" x14ac:dyDescent="0.3">
      <c r="A101" s="21" t="s">
        <v>89</v>
      </c>
      <c r="B101" s="22" t="s">
        <v>99</v>
      </c>
      <c r="C101" s="22" t="s">
        <v>101</v>
      </c>
      <c r="D101" s="22">
        <v>695</v>
      </c>
      <c r="E101" s="22">
        <v>13</v>
      </c>
      <c r="F101" s="21">
        <f t="shared" si="3"/>
        <v>162251.91999999998</v>
      </c>
      <c r="G101" s="21">
        <f t="shared" si="4"/>
        <v>24337.787999999997</v>
      </c>
      <c r="H101" s="21">
        <v>60000</v>
      </c>
      <c r="I101" s="21">
        <v>15000</v>
      </c>
      <c r="J101" s="21">
        <v>15000</v>
      </c>
      <c r="K101" s="26"/>
      <c r="L101" s="21">
        <f>SUM(F101:K101)</f>
        <v>276589.70799999998</v>
      </c>
      <c r="M101" s="21">
        <v>27047.395064</v>
      </c>
      <c r="N101" s="21">
        <v>1354.3532799999994</v>
      </c>
      <c r="O101" s="21">
        <v>13515.584935999999</v>
      </c>
      <c r="P101" s="21">
        <f>IF((D101*233.456*3%)&gt;7004,7004,(D101*233.456*3%))</f>
        <v>4867.5575999999992</v>
      </c>
      <c r="Q101" s="21">
        <f t="shared" si="5"/>
        <v>256852.21218399997</v>
      </c>
      <c r="R101" s="21">
        <v>186589.70799999998</v>
      </c>
    </row>
    <row r="102" spans="1:18" ht="15.75" thickBot="1" x14ac:dyDescent="0.3">
      <c r="A102" s="21" t="s">
        <v>89</v>
      </c>
      <c r="B102" s="22" t="s">
        <v>99</v>
      </c>
      <c r="C102" s="22" t="s">
        <v>101</v>
      </c>
      <c r="D102" s="22">
        <v>680</v>
      </c>
      <c r="E102" s="22">
        <v>12</v>
      </c>
      <c r="F102" s="21">
        <f t="shared" si="3"/>
        <v>158750.07999999999</v>
      </c>
      <c r="G102" s="21">
        <f t="shared" si="4"/>
        <v>23812.511999999999</v>
      </c>
      <c r="H102" s="21">
        <v>60000</v>
      </c>
      <c r="I102" s="21">
        <v>15000</v>
      </c>
      <c r="J102" s="21">
        <v>15000</v>
      </c>
      <c r="K102" s="26"/>
      <c r="L102" s="21">
        <f>SUM(F102:K102)</f>
        <v>272562.59199999995</v>
      </c>
      <c r="M102" s="21">
        <v>26463.638336</v>
      </c>
      <c r="N102" s="21">
        <v>710.01471999999558</v>
      </c>
      <c r="O102" s="21">
        <v>13223.881663999999</v>
      </c>
      <c r="P102" s="21">
        <f>IF((D102*233.456*3%)&gt;7004,7004,(D102*233.456*3%))</f>
        <v>4762.5023999999994</v>
      </c>
      <c r="Q102" s="21">
        <f t="shared" si="5"/>
        <v>253866.19321599996</v>
      </c>
      <c r="R102" s="21">
        <v>182562.59199999998</v>
      </c>
    </row>
    <row r="103" spans="1:18" ht="15.75" thickBot="1" x14ac:dyDescent="0.3">
      <c r="A103" s="21" t="s">
        <v>89</v>
      </c>
      <c r="B103" s="22" t="s">
        <v>99</v>
      </c>
      <c r="C103" s="22" t="s">
        <v>101</v>
      </c>
      <c r="D103" s="22">
        <v>665</v>
      </c>
      <c r="E103" s="22">
        <v>11</v>
      </c>
      <c r="F103" s="21">
        <f t="shared" si="3"/>
        <v>155248.24</v>
      </c>
      <c r="G103" s="21">
        <f t="shared" si="4"/>
        <v>23287.235999999997</v>
      </c>
      <c r="H103" s="21">
        <v>60000</v>
      </c>
      <c r="I103" s="21">
        <v>15000</v>
      </c>
      <c r="J103" s="21">
        <v>15000</v>
      </c>
      <c r="K103" s="26"/>
      <c r="L103" s="21">
        <f>SUM(F103:K103)</f>
        <v>268535.47600000002</v>
      </c>
      <c r="M103" s="21">
        <v>25879.881608</v>
      </c>
      <c r="N103" s="21">
        <v>65.676159999999072</v>
      </c>
      <c r="O103" s="21">
        <v>12932.178392</v>
      </c>
      <c r="P103" s="21">
        <f>IF((D103*233.456*3%)&gt;7004,7004,(D103*233.456*3%))</f>
        <v>4657.4471999999996</v>
      </c>
      <c r="Q103" s="21">
        <f t="shared" si="5"/>
        <v>250880.17424800002</v>
      </c>
      <c r="R103" s="21">
        <v>178535.476</v>
      </c>
    </row>
    <row r="104" spans="1:18" ht="15.75" thickBot="1" x14ac:dyDescent="0.3">
      <c r="A104" s="21" t="s">
        <v>89</v>
      </c>
      <c r="B104" s="22" t="s">
        <v>99</v>
      </c>
      <c r="C104" s="22" t="s">
        <v>101</v>
      </c>
      <c r="D104" s="22">
        <v>650</v>
      </c>
      <c r="E104" s="22">
        <v>23</v>
      </c>
      <c r="F104" s="21">
        <f t="shared" si="3"/>
        <v>151746.4</v>
      </c>
      <c r="G104" s="21">
        <f t="shared" si="4"/>
        <v>22761.96</v>
      </c>
      <c r="H104" s="21">
        <v>60000</v>
      </c>
      <c r="I104" s="21">
        <v>15000</v>
      </c>
      <c r="J104" s="21">
        <v>15000</v>
      </c>
      <c r="K104" s="26"/>
      <c r="L104" s="21">
        <f>SUM(F104:K104)</f>
        <v>264508.36</v>
      </c>
      <c r="M104" s="21">
        <v>25296.124880000003</v>
      </c>
      <c r="N104" s="21">
        <v>0</v>
      </c>
      <c r="O104" s="21">
        <v>12640.475119999999</v>
      </c>
      <c r="P104" s="21">
        <f>IF((D104*233.456*3%)&gt;7004,7004,(D104*233.456*3%))</f>
        <v>4552.3919999999998</v>
      </c>
      <c r="Q104" s="21">
        <f t="shared" si="5"/>
        <v>247315.49287999998</v>
      </c>
      <c r="R104" s="21">
        <v>174508.36</v>
      </c>
    </row>
    <row r="105" spans="1:18" ht="15.75" thickBot="1" x14ac:dyDescent="0.3">
      <c r="A105" s="21" t="s">
        <v>89</v>
      </c>
      <c r="B105" s="22" t="s">
        <v>99</v>
      </c>
      <c r="C105" s="22" t="s">
        <v>101</v>
      </c>
      <c r="D105" s="22">
        <v>640</v>
      </c>
      <c r="E105" s="22">
        <v>22</v>
      </c>
      <c r="F105" s="21">
        <f t="shared" si="3"/>
        <v>149411.84</v>
      </c>
      <c r="G105" s="21">
        <f t="shared" si="4"/>
        <v>22411.775999999998</v>
      </c>
      <c r="H105" s="21">
        <v>60000</v>
      </c>
      <c r="I105" s="21">
        <v>15000</v>
      </c>
      <c r="J105" s="21">
        <v>15000</v>
      </c>
      <c r="K105" s="26"/>
      <c r="L105" s="21">
        <f>SUM(F105:K105)</f>
        <v>261823.61599999998</v>
      </c>
      <c r="M105" s="21">
        <v>24906.953728</v>
      </c>
      <c r="N105" s="21">
        <v>0</v>
      </c>
      <c r="O105" s="21">
        <v>12446.006271999999</v>
      </c>
      <c r="P105" s="21">
        <f>IF((D105*233.456*3%)&gt;7004,7004,(D105*233.456*3%))</f>
        <v>4482.3552</v>
      </c>
      <c r="Q105" s="21">
        <f t="shared" si="5"/>
        <v>244895.25452799999</v>
      </c>
      <c r="R105" s="21">
        <v>171823.61599999998</v>
      </c>
    </row>
    <row r="106" spans="1:18" ht="15.75" thickBot="1" x14ac:dyDescent="0.3">
      <c r="A106" s="21" t="s">
        <v>89</v>
      </c>
      <c r="B106" s="22" t="s">
        <v>99</v>
      </c>
      <c r="C106" s="22" t="s">
        <v>101</v>
      </c>
      <c r="D106" s="22">
        <v>625</v>
      </c>
      <c r="E106" s="22">
        <v>21</v>
      </c>
      <c r="F106" s="21">
        <f t="shared" si="3"/>
        <v>145910</v>
      </c>
      <c r="G106" s="21">
        <f t="shared" si="4"/>
        <v>21886.5</v>
      </c>
      <c r="H106" s="21">
        <v>60000</v>
      </c>
      <c r="I106" s="21">
        <v>15000</v>
      </c>
      <c r="J106" s="21">
        <v>15000</v>
      </c>
      <c r="K106" s="26"/>
      <c r="L106" s="21">
        <f>SUM(F106:K106)</f>
        <v>257796.5</v>
      </c>
      <c r="M106" s="21">
        <v>24323.197000000004</v>
      </c>
      <c r="N106" s="21">
        <v>0</v>
      </c>
      <c r="O106" s="21">
        <v>12154.303</v>
      </c>
      <c r="P106" s="21">
        <f>IF((D106*233.456*3%)&gt;7004,7004,(D106*233.456*3%))</f>
        <v>4377.3</v>
      </c>
      <c r="Q106" s="21">
        <f t="shared" si="5"/>
        <v>241264.897</v>
      </c>
      <c r="R106" s="21">
        <v>167796.5</v>
      </c>
    </row>
    <row r="107" spans="1:18" ht="15.75" thickBot="1" x14ac:dyDescent="0.3">
      <c r="A107" s="21" t="s">
        <v>89</v>
      </c>
      <c r="B107" s="22" t="s">
        <v>99</v>
      </c>
      <c r="C107" s="22" t="s">
        <v>101</v>
      </c>
      <c r="D107" s="22">
        <v>580</v>
      </c>
      <c r="E107" s="22">
        <v>33</v>
      </c>
      <c r="F107" s="21">
        <f t="shared" si="3"/>
        <v>135404.47999999998</v>
      </c>
      <c r="G107" s="21">
        <f t="shared" si="4"/>
        <v>20310.671999999995</v>
      </c>
      <c r="H107" s="21">
        <v>60000</v>
      </c>
      <c r="I107" s="21">
        <v>15000</v>
      </c>
      <c r="J107" s="21">
        <v>15000</v>
      </c>
      <c r="K107" s="26"/>
      <c r="L107" s="21">
        <f>SUM(F107:K107)</f>
        <v>245715.15199999997</v>
      </c>
      <c r="M107" s="21">
        <v>22571.926815999999</v>
      </c>
      <c r="N107" s="21">
        <v>0</v>
      </c>
      <c r="O107" s="21">
        <v>11279.193183999998</v>
      </c>
      <c r="P107" s="21">
        <f>IF((D107*233.456*3%)&gt;7004,7004,(D107*233.456*3%))</f>
        <v>4062.1343999999995</v>
      </c>
      <c r="Q107" s="21">
        <f t="shared" si="5"/>
        <v>230373.82441599999</v>
      </c>
      <c r="R107" s="21">
        <v>155715.15199999997</v>
      </c>
    </row>
    <row r="108" spans="1:18" ht="15.75" thickBot="1" x14ac:dyDescent="0.3">
      <c r="A108" s="21" t="s">
        <v>89</v>
      </c>
      <c r="B108" s="22" t="s">
        <v>99</v>
      </c>
      <c r="C108" s="22" t="s">
        <v>101</v>
      </c>
      <c r="D108" s="22">
        <v>570</v>
      </c>
      <c r="E108" s="22">
        <v>32</v>
      </c>
      <c r="F108" s="21">
        <f t="shared" si="3"/>
        <v>133069.91999999998</v>
      </c>
      <c r="G108" s="21">
        <f t="shared" si="4"/>
        <v>19960.487999999998</v>
      </c>
      <c r="H108" s="21">
        <v>60000</v>
      </c>
      <c r="I108" s="21">
        <v>15000</v>
      </c>
      <c r="J108" s="21">
        <v>15000</v>
      </c>
      <c r="K108" s="26"/>
      <c r="L108" s="21">
        <f>SUM(F108:K108)</f>
        <v>243030.408</v>
      </c>
      <c r="M108" s="21">
        <v>22182.755664</v>
      </c>
      <c r="N108" s="21">
        <v>0</v>
      </c>
      <c r="O108" s="21">
        <v>11084.724335999999</v>
      </c>
      <c r="P108" s="21">
        <f>IF((D108*233.456*3%)&gt;7004,7004,(D108*233.456*3%))</f>
        <v>3992.0975999999991</v>
      </c>
      <c r="Q108" s="21">
        <f t="shared" si="5"/>
        <v>227953.586064</v>
      </c>
      <c r="R108" s="21">
        <v>153030.408</v>
      </c>
    </row>
    <row r="109" spans="1:18" ht="15.75" thickBot="1" x14ac:dyDescent="0.3">
      <c r="A109" s="21" t="s">
        <v>89</v>
      </c>
      <c r="B109" s="22" t="s">
        <v>99</v>
      </c>
      <c r="C109" s="22" t="s">
        <v>101</v>
      </c>
      <c r="D109" s="22">
        <v>550</v>
      </c>
      <c r="E109" s="22">
        <v>31</v>
      </c>
      <c r="F109" s="21">
        <f t="shared" si="3"/>
        <v>128400.79999999999</v>
      </c>
      <c r="G109" s="21">
        <f t="shared" si="4"/>
        <v>19260.12</v>
      </c>
      <c r="H109" s="21">
        <v>60000</v>
      </c>
      <c r="I109" s="21">
        <v>15000</v>
      </c>
      <c r="J109" s="21">
        <v>15000</v>
      </c>
      <c r="K109" s="26"/>
      <c r="L109" s="21">
        <f>SUM(F109:K109)</f>
        <v>237660.91999999998</v>
      </c>
      <c r="M109" s="21">
        <v>21404.413359999999</v>
      </c>
      <c r="N109" s="21">
        <v>0</v>
      </c>
      <c r="O109" s="21">
        <v>10695.786639999998</v>
      </c>
      <c r="P109" s="21">
        <f>IF((D109*233.456*3%)&gt;7004,7004,(D109*233.456*3%))</f>
        <v>3852.0239999999994</v>
      </c>
      <c r="Q109" s="21">
        <f t="shared" si="5"/>
        <v>223113.10935999997</v>
      </c>
      <c r="R109" s="21">
        <v>147660.91999999998</v>
      </c>
    </row>
    <row r="110" spans="1:18" ht="15.75" thickBot="1" x14ac:dyDescent="0.3">
      <c r="A110" s="21" t="s">
        <v>89</v>
      </c>
      <c r="B110" s="22" t="s">
        <v>99</v>
      </c>
      <c r="C110" s="22" t="s">
        <v>101</v>
      </c>
      <c r="D110" s="22">
        <v>515</v>
      </c>
      <c r="E110" s="22">
        <v>44</v>
      </c>
      <c r="F110" s="21">
        <f t="shared" si="3"/>
        <v>120229.84</v>
      </c>
      <c r="G110" s="21">
        <f t="shared" si="4"/>
        <v>18034.475999999999</v>
      </c>
      <c r="H110" s="21">
        <v>60000</v>
      </c>
      <c r="I110" s="21">
        <v>15000</v>
      </c>
      <c r="J110" s="21">
        <v>15000</v>
      </c>
      <c r="K110" s="26"/>
      <c r="L110" s="21">
        <f>SUM(F110:K110)</f>
        <v>228264.31599999999</v>
      </c>
      <c r="M110" s="21">
        <v>20042.314328</v>
      </c>
      <c r="N110" s="21">
        <v>0</v>
      </c>
      <c r="O110" s="21">
        <v>10015.145671999999</v>
      </c>
      <c r="P110" s="21">
        <f>IF((D110*233.456*3%)&gt;7004,7004,(D110*233.456*3%))</f>
        <v>3606.8951999999999</v>
      </c>
      <c r="Q110" s="21">
        <f t="shared" si="5"/>
        <v>214642.27512800001</v>
      </c>
      <c r="R110" s="21">
        <v>138264.31599999999</v>
      </c>
    </row>
    <row r="111" spans="1:18" ht="15.75" thickBot="1" x14ac:dyDescent="0.3">
      <c r="A111" s="21" t="s">
        <v>89</v>
      </c>
      <c r="B111" s="22" t="s">
        <v>99</v>
      </c>
      <c r="C111" s="22" t="s">
        <v>101</v>
      </c>
      <c r="D111" s="22">
        <v>495</v>
      </c>
      <c r="E111" s="22">
        <v>43</v>
      </c>
      <c r="F111" s="21">
        <f t="shared" si="3"/>
        <v>115560.72</v>
      </c>
      <c r="G111" s="21">
        <f t="shared" si="4"/>
        <v>17334.108</v>
      </c>
      <c r="H111" s="21">
        <v>60000</v>
      </c>
      <c r="I111" s="21">
        <v>15000</v>
      </c>
      <c r="J111" s="21">
        <v>15000</v>
      </c>
      <c r="K111" s="26"/>
      <c r="L111" s="21">
        <f>SUM(F111:K111)</f>
        <v>222894.82800000001</v>
      </c>
      <c r="M111" s="21">
        <v>19263.972024000002</v>
      </c>
      <c r="N111" s="21">
        <v>0</v>
      </c>
      <c r="O111" s="21">
        <v>9626.2079759999997</v>
      </c>
      <c r="P111" s="21">
        <f>IF((D111*233.456*3%)&gt;7004,7004,(D111*233.456*3%))</f>
        <v>3466.8215999999998</v>
      </c>
      <c r="Q111" s="21">
        <f t="shared" si="5"/>
        <v>209801.79842400001</v>
      </c>
      <c r="R111" s="21">
        <v>132894.82800000001</v>
      </c>
    </row>
    <row r="112" spans="1:18" ht="15.75" thickBot="1" x14ac:dyDescent="0.3">
      <c r="A112" s="21" t="s">
        <v>89</v>
      </c>
      <c r="B112" s="22" t="s">
        <v>99</v>
      </c>
      <c r="C112" s="22" t="s">
        <v>101</v>
      </c>
      <c r="D112" s="22">
        <v>485</v>
      </c>
      <c r="E112" s="22">
        <v>42</v>
      </c>
      <c r="F112" s="21">
        <f t="shared" si="3"/>
        <v>113226.15999999999</v>
      </c>
      <c r="G112" s="21">
        <f t="shared" si="4"/>
        <v>16983.923999999999</v>
      </c>
      <c r="H112" s="21">
        <v>60000</v>
      </c>
      <c r="I112" s="21">
        <v>15000</v>
      </c>
      <c r="J112" s="21">
        <v>15000</v>
      </c>
      <c r="K112" s="26"/>
      <c r="L112" s="21">
        <f>SUM(F112:K112)</f>
        <v>220210.08399999997</v>
      </c>
      <c r="M112" s="21">
        <v>18874.800872</v>
      </c>
      <c r="N112" s="21">
        <v>0</v>
      </c>
      <c r="O112" s="21">
        <v>9431.7391279999993</v>
      </c>
      <c r="P112" s="21">
        <f>IF((D112*233.456*3%)&gt;7004,7004,(D112*233.456*3%))</f>
        <v>3396.7847999999994</v>
      </c>
      <c r="Q112" s="21">
        <f t="shared" si="5"/>
        <v>207381.56007199996</v>
      </c>
      <c r="R112" s="21">
        <v>130210.08399999999</v>
      </c>
    </row>
    <row r="113" spans="1:18" ht="15.75" thickBot="1" x14ac:dyDescent="0.3">
      <c r="A113" s="21" t="s">
        <v>89</v>
      </c>
      <c r="B113" s="22" t="s">
        <v>99</v>
      </c>
      <c r="C113" s="22" t="s">
        <v>101</v>
      </c>
      <c r="D113" s="22">
        <v>475</v>
      </c>
      <c r="E113" s="22">
        <v>41</v>
      </c>
      <c r="F113" s="21">
        <f t="shared" si="3"/>
        <v>110891.59999999999</v>
      </c>
      <c r="G113" s="21">
        <f t="shared" si="4"/>
        <v>16633.739999999998</v>
      </c>
      <c r="H113" s="21">
        <v>60000</v>
      </c>
      <c r="I113" s="21">
        <v>15000</v>
      </c>
      <c r="J113" s="21">
        <v>15000</v>
      </c>
      <c r="K113" s="26"/>
      <c r="L113" s="21">
        <f>SUM(F113:K113)</f>
        <v>217525.34</v>
      </c>
      <c r="M113" s="21">
        <v>18485.629720000001</v>
      </c>
      <c r="N113" s="21">
        <v>0</v>
      </c>
      <c r="O113" s="21">
        <v>9237.2702799999988</v>
      </c>
      <c r="P113" s="21">
        <f>IF((D113*233.456*3%)&gt;7004,7004,(D113*233.456*3%))</f>
        <v>3326.7479999999996</v>
      </c>
      <c r="Q113" s="21">
        <f t="shared" si="5"/>
        <v>204961.32172000001</v>
      </c>
      <c r="R113" s="21">
        <v>127525.34</v>
      </c>
    </row>
    <row r="114" spans="1:18" ht="15.75" thickBot="1" x14ac:dyDescent="0.3">
      <c r="A114" s="21" t="s">
        <v>89</v>
      </c>
      <c r="B114" s="22" t="s">
        <v>99</v>
      </c>
      <c r="C114" s="22" t="s">
        <v>102</v>
      </c>
      <c r="D114" s="22">
        <v>640</v>
      </c>
      <c r="E114" s="22">
        <v>13</v>
      </c>
      <c r="F114" s="21">
        <f t="shared" si="3"/>
        <v>149411.84</v>
      </c>
      <c r="G114" s="21">
        <f t="shared" si="4"/>
        <v>22411.775999999998</v>
      </c>
      <c r="H114" s="21">
        <v>60000</v>
      </c>
      <c r="I114" s="21">
        <v>15000</v>
      </c>
      <c r="J114" s="21">
        <v>15000</v>
      </c>
      <c r="K114" s="26"/>
      <c r="L114" s="21">
        <f>SUM(F114:K114)</f>
        <v>261823.61599999998</v>
      </c>
      <c r="M114" s="21">
        <v>24906.953728</v>
      </c>
      <c r="N114" s="21">
        <v>0</v>
      </c>
      <c r="O114" s="21">
        <v>12446.006271999999</v>
      </c>
      <c r="P114" s="21">
        <f>IF((D114*233.456*3%)&gt;7004,7004,(D114*233.456*3%))</f>
        <v>4482.3552</v>
      </c>
      <c r="Q114" s="21">
        <f t="shared" si="5"/>
        <v>244895.25452799999</v>
      </c>
      <c r="R114" s="21">
        <v>171823.61599999998</v>
      </c>
    </row>
    <row r="115" spans="1:18" ht="15.75" thickBot="1" x14ac:dyDescent="0.3">
      <c r="A115" s="21" t="s">
        <v>89</v>
      </c>
      <c r="B115" s="22" t="s">
        <v>99</v>
      </c>
      <c r="C115" s="22" t="s">
        <v>102</v>
      </c>
      <c r="D115" s="22">
        <v>625</v>
      </c>
      <c r="E115" s="22">
        <v>12</v>
      </c>
      <c r="F115" s="21">
        <f t="shared" si="3"/>
        <v>145910</v>
      </c>
      <c r="G115" s="21">
        <f t="shared" si="4"/>
        <v>21886.5</v>
      </c>
      <c r="H115" s="21">
        <v>60000</v>
      </c>
      <c r="I115" s="21">
        <v>15000</v>
      </c>
      <c r="J115" s="21">
        <v>15000</v>
      </c>
      <c r="K115" s="26"/>
      <c r="L115" s="21">
        <f>SUM(F115:K115)</f>
        <v>257796.5</v>
      </c>
      <c r="M115" s="21">
        <v>24323.197000000004</v>
      </c>
      <c r="N115" s="21">
        <v>0</v>
      </c>
      <c r="O115" s="21">
        <v>12154.303</v>
      </c>
      <c r="P115" s="21">
        <f>IF((D115*233.456*3%)&gt;7004,7004,(D115*233.456*3%))</f>
        <v>4377.3</v>
      </c>
      <c r="Q115" s="21">
        <f t="shared" si="5"/>
        <v>241264.897</v>
      </c>
      <c r="R115" s="21">
        <v>167796.5</v>
      </c>
    </row>
    <row r="116" spans="1:18" ht="15.75" thickBot="1" x14ac:dyDescent="0.3">
      <c r="A116" s="21" t="s">
        <v>89</v>
      </c>
      <c r="B116" s="22" t="s">
        <v>99</v>
      </c>
      <c r="C116" s="22" t="s">
        <v>102</v>
      </c>
      <c r="D116" s="22">
        <v>610</v>
      </c>
      <c r="E116" s="22">
        <v>11</v>
      </c>
      <c r="F116" s="21">
        <f t="shared" si="3"/>
        <v>142408.16</v>
      </c>
      <c r="G116" s="21">
        <f t="shared" si="4"/>
        <v>21361.223999999998</v>
      </c>
      <c r="H116" s="21">
        <v>60000</v>
      </c>
      <c r="I116" s="21">
        <v>15000</v>
      </c>
      <c r="J116" s="21">
        <v>15000</v>
      </c>
      <c r="K116" s="26"/>
      <c r="L116" s="21">
        <f>SUM(F116:K116)</f>
        <v>253769.38399999999</v>
      </c>
      <c r="M116" s="21">
        <v>23739.440272000003</v>
      </c>
      <c r="N116" s="21">
        <v>0</v>
      </c>
      <c r="O116" s="21">
        <v>11862.599728000001</v>
      </c>
      <c r="P116" s="21">
        <f>IF((D116*233.456*3%)&gt;7004,7004,(D116*233.456*3%))</f>
        <v>4272.2448000000004</v>
      </c>
      <c r="Q116" s="21">
        <f t="shared" si="5"/>
        <v>237634.53947199997</v>
      </c>
      <c r="R116" s="21">
        <v>163769.38399999999</v>
      </c>
    </row>
    <row r="117" spans="1:18" ht="15.75" thickBot="1" x14ac:dyDescent="0.3">
      <c r="A117" s="21" t="s">
        <v>89</v>
      </c>
      <c r="B117" s="22" t="s">
        <v>99</v>
      </c>
      <c r="C117" s="22" t="s">
        <v>102</v>
      </c>
      <c r="D117" s="22">
        <v>600</v>
      </c>
      <c r="E117" s="22">
        <v>23</v>
      </c>
      <c r="F117" s="21">
        <f t="shared" si="3"/>
        <v>140073.60000000001</v>
      </c>
      <c r="G117" s="21">
        <f t="shared" si="4"/>
        <v>21011.040000000001</v>
      </c>
      <c r="H117" s="21">
        <v>60000</v>
      </c>
      <c r="I117" s="21">
        <v>15000</v>
      </c>
      <c r="J117" s="21">
        <v>15000</v>
      </c>
      <c r="K117" s="26"/>
      <c r="L117" s="21">
        <f>SUM(F117:K117)</f>
        <v>251084.64</v>
      </c>
      <c r="M117" s="21">
        <v>23350.269120000004</v>
      </c>
      <c r="N117" s="21">
        <v>0</v>
      </c>
      <c r="O117" s="21">
        <v>11668.130880000001</v>
      </c>
      <c r="P117" s="21">
        <f>IF((D117*233.456*3%)&gt;7004,7004,(D117*233.456*3%))</f>
        <v>4202.2079999999996</v>
      </c>
      <c r="Q117" s="21">
        <f t="shared" si="5"/>
        <v>235214.30112000002</v>
      </c>
      <c r="R117" s="21">
        <v>161084.64000000001</v>
      </c>
    </row>
    <row r="118" spans="1:18" ht="15.75" thickBot="1" x14ac:dyDescent="0.3">
      <c r="A118" s="21" t="s">
        <v>89</v>
      </c>
      <c r="B118" s="22" t="s">
        <v>99</v>
      </c>
      <c r="C118" s="22" t="s">
        <v>102</v>
      </c>
      <c r="D118" s="22">
        <v>590</v>
      </c>
      <c r="E118" s="22">
        <v>22</v>
      </c>
      <c r="F118" s="21">
        <f t="shared" si="3"/>
        <v>137739.03999999998</v>
      </c>
      <c r="G118" s="21">
        <f t="shared" si="4"/>
        <v>20660.855999999996</v>
      </c>
      <c r="H118" s="21">
        <v>60000</v>
      </c>
      <c r="I118" s="21">
        <v>15000</v>
      </c>
      <c r="J118" s="21">
        <v>15000</v>
      </c>
      <c r="K118" s="26"/>
      <c r="L118" s="21">
        <f>SUM(F118:K118)</f>
        <v>248399.89599999998</v>
      </c>
      <c r="M118" s="21">
        <v>22961.097967999998</v>
      </c>
      <c r="N118" s="21">
        <v>0</v>
      </c>
      <c r="O118" s="21">
        <v>11473.662031999998</v>
      </c>
      <c r="P118" s="21">
        <f>IF((D118*233.456*3%)&gt;7004,7004,(D118*233.456*3%))</f>
        <v>4132.1711999999989</v>
      </c>
      <c r="Q118" s="21">
        <f t="shared" si="5"/>
        <v>232794.06276799997</v>
      </c>
      <c r="R118" s="21">
        <v>158399.89599999998</v>
      </c>
    </row>
    <row r="119" spans="1:18" ht="15.75" thickBot="1" x14ac:dyDescent="0.3">
      <c r="A119" s="21" t="s">
        <v>89</v>
      </c>
      <c r="B119" s="22" t="s">
        <v>99</v>
      </c>
      <c r="C119" s="22" t="s">
        <v>102</v>
      </c>
      <c r="D119" s="22">
        <v>580</v>
      </c>
      <c r="E119" s="22">
        <v>21</v>
      </c>
      <c r="F119" s="21">
        <f t="shared" si="3"/>
        <v>135404.47999999998</v>
      </c>
      <c r="G119" s="21">
        <f t="shared" si="4"/>
        <v>20310.671999999995</v>
      </c>
      <c r="H119" s="21">
        <v>60000</v>
      </c>
      <c r="I119" s="21">
        <v>15000</v>
      </c>
      <c r="J119" s="21">
        <v>15000</v>
      </c>
      <c r="K119" s="26"/>
      <c r="L119" s="21">
        <f>SUM(F119:K119)</f>
        <v>245715.15199999997</v>
      </c>
      <c r="M119" s="21">
        <v>22571.926815999999</v>
      </c>
      <c r="N119" s="21">
        <v>0</v>
      </c>
      <c r="O119" s="21">
        <v>11279.193183999998</v>
      </c>
      <c r="P119" s="21">
        <f>IF((D119*233.456*3%)&gt;7004,7004,(D119*233.456*3%))</f>
        <v>4062.1343999999995</v>
      </c>
      <c r="Q119" s="21">
        <f t="shared" si="5"/>
        <v>230373.82441599999</v>
      </c>
      <c r="R119" s="21">
        <v>155715.15199999997</v>
      </c>
    </row>
    <row r="120" spans="1:18" ht="15.75" thickBot="1" x14ac:dyDescent="0.3">
      <c r="A120" s="21" t="s">
        <v>89</v>
      </c>
      <c r="B120" s="22" t="s">
        <v>99</v>
      </c>
      <c r="C120" s="22" t="s">
        <v>102</v>
      </c>
      <c r="D120" s="22">
        <v>545</v>
      </c>
      <c r="E120" s="22">
        <v>33</v>
      </c>
      <c r="F120" s="21">
        <f t="shared" si="3"/>
        <v>127233.51999999999</v>
      </c>
      <c r="G120" s="21">
        <f t="shared" si="4"/>
        <v>19085.027999999998</v>
      </c>
      <c r="H120" s="21">
        <v>60000</v>
      </c>
      <c r="I120" s="21">
        <v>15000</v>
      </c>
      <c r="J120" s="21">
        <v>15000</v>
      </c>
      <c r="K120" s="26"/>
      <c r="L120" s="21">
        <f>SUM(F120:K120)</f>
        <v>236318.54799999998</v>
      </c>
      <c r="M120" s="21">
        <v>21209.827784000001</v>
      </c>
      <c r="N120" s="21">
        <v>0</v>
      </c>
      <c r="O120" s="21">
        <v>10598.552215999998</v>
      </c>
      <c r="P120" s="21">
        <f>IF((D120*233.456*3%)&gt;7004,7004,(D120*233.456*3%))</f>
        <v>3817.0055999999995</v>
      </c>
      <c r="Q120" s="21">
        <f t="shared" si="5"/>
        <v>221902.99018399999</v>
      </c>
      <c r="R120" s="21">
        <v>146318.54799999998</v>
      </c>
    </row>
    <row r="121" spans="1:18" ht="15.75" thickBot="1" x14ac:dyDescent="0.3">
      <c r="A121" s="21" t="s">
        <v>89</v>
      </c>
      <c r="B121" s="22" t="s">
        <v>99</v>
      </c>
      <c r="C121" s="22" t="s">
        <v>102</v>
      </c>
      <c r="D121" s="22">
        <v>525</v>
      </c>
      <c r="E121" s="22">
        <v>32</v>
      </c>
      <c r="F121" s="21">
        <f t="shared" si="3"/>
        <v>122564.4</v>
      </c>
      <c r="G121" s="21">
        <f t="shared" si="4"/>
        <v>18384.66</v>
      </c>
      <c r="H121" s="21">
        <v>60000</v>
      </c>
      <c r="I121" s="21">
        <v>15000</v>
      </c>
      <c r="J121" s="21">
        <v>15000</v>
      </c>
      <c r="K121" s="26"/>
      <c r="L121" s="21">
        <f>SUM(F121:K121)</f>
        <v>230949.06</v>
      </c>
      <c r="M121" s="21">
        <v>20431.485479999999</v>
      </c>
      <c r="N121" s="21">
        <v>0</v>
      </c>
      <c r="O121" s="21">
        <v>10209.614519999999</v>
      </c>
      <c r="P121" s="21">
        <f>IF((D121*233.456*3%)&gt;7004,7004,(D121*233.456*3%))</f>
        <v>3676.9319999999998</v>
      </c>
      <c r="Q121" s="21">
        <f t="shared" si="5"/>
        <v>217062.51347999999</v>
      </c>
      <c r="R121" s="21">
        <v>140949.06</v>
      </c>
    </row>
    <row r="122" spans="1:18" ht="15.75" thickBot="1" x14ac:dyDescent="0.3">
      <c r="A122" s="21" t="s">
        <v>89</v>
      </c>
      <c r="B122" s="22" t="s">
        <v>99</v>
      </c>
      <c r="C122" s="22" t="s">
        <v>102</v>
      </c>
      <c r="D122" s="22">
        <v>515</v>
      </c>
      <c r="E122" s="22">
        <v>31</v>
      </c>
      <c r="F122" s="21">
        <f t="shared" si="3"/>
        <v>120229.84</v>
      </c>
      <c r="G122" s="21">
        <f t="shared" si="4"/>
        <v>18034.475999999999</v>
      </c>
      <c r="H122" s="21">
        <v>60000</v>
      </c>
      <c r="I122" s="21">
        <v>15000</v>
      </c>
      <c r="J122" s="21">
        <v>15000</v>
      </c>
      <c r="K122" s="26"/>
      <c r="L122" s="21">
        <f>SUM(F122:K122)</f>
        <v>228264.31599999999</v>
      </c>
      <c r="M122" s="21">
        <v>20042.314328</v>
      </c>
      <c r="N122" s="21">
        <v>0</v>
      </c>
      <c r="O122" s="21">
        <v>10015.145671999999</v>
      </c>
      <c r="P122" s="21">
        <f>IF((D122*233.456*3%)&gt;7004,7004,(D122*233.456*3%))</f>
        <v>3606.8951999999999</v>
      </c>
      <c r="Q122" s="21">
        <f t="shared" si="5"/>
        <v>214642.27512800001</v>
      </c>
      <c r="R122" s="21">
        <v>138264.31599999999</v>
      </c>
    </row>
    <row r="123" spans="1:18" ht="15.75" thickBot="1" x14ac:dyDescent="0.3">
      <c r="A123" s="21" t="s">
        <v>89</v>
      </c>
      <c r="B123" s="22" t="s">
        <v>99</v>
      </c>
      <c r="C123" s="22" t="s">
        <v>102</v>
      </c>
      <c r="D123" s="22">
        <v>490</v>
      </c>
      <c r="E123" s="22">
        <v>44</v>
      </c>
      <c r="F123" s="21">
        <f t="shared" si="3"/>
        <v>114393.43999999999</v>
      </c>
      <c r="G123" s="21">
        <f t="shared" si="4"/>
        <v>17159.015999999996</v>
      </c>
      <c r="H123" s="21">
        <v>60000</v>
      </c>
      <c r="I123" s="21">
        <v>15000</v>
      </c>
      <c r="J123" s="21">
        <v>15000</v>
      </c>
      <c r="K123" s="26"/>
      <c r="L123" s="21">
        <f>SUM(F123:K123)</f>
        <v>221552.45599999998</v>
      </c>
      <c r="M123" s="21">
        <v>19069.386448000001</v>
      </c>
      <c r="N123" s="21">
        <v>0</v>
      </c>
      <c r="O123" s="21">
        <v>9528.9735519999995</v>
      </c>
      <c r="P123" s="21">
        <f>IF((D123*233.456*3%)&gt;7004,7004,(D123*233.456*3%))</f>
        <v>3431.8031999999994</v>
      </c>
      <c r="Q123" s="21">
        <f t="shared" si="5"/>
        <v>208591.67924799997</v>
      </c>
      <c r="R123" s="21">
        <v>131552.45599999998</v>
      </c>
    </row>
    <row r="124" spans="1:18" ht="15.75" thickBot="1" x14ac:dyDescent="0.3">
      <c r="A124" s="21" t="s">
        <v>89</v>
      </c>
      <c r="B124" s="22" t="s">
        <v>99</v>
      </c>
      <c r="C124" s="22" t="s">
        <v>102</v>
      </c>
      <c r="D124" s="22">
        <v>480</v>
      </c>
      <c r="E124" s="22">
        <v>43</v>
      </c>
      <c r="F124" s="21">
        <f t="shared" si="3"/>
        <v>112058.87999999999</v>
      </c>
      <c r="G124" s="21">
        <f t="shared" si="4"/>
        <v>16808.831999999999</v>
      </c>
      <c r="H124" s="21">
        <v>60000</v>
      </c>
      <c r="I124" s="21">
        <v>15000</v>
      </c>
      <c r="J124" s="21">
        <v>15000</v>
      </c>
      <c r="K124" s="26"/>
      <c r="L124" s="21">
        <f>SUM(F124:K124)</f>
        <v>218867.712</v>
      </c>
      <c r="M124" s="21">
        <v>18680.215295999998</v>
      </c>
      <c r="N124" s="21">
        <v>0</v>
      </c>
      <c r="O124" s="21">
        <v>9334.504703999999</v>
      </c>
      <c r="P124" s="21">
        <f>IF((D124*233.456*3%)&gt;7004,7004,(D124*233.456*3%))</f>
        <v>3361.7663999999995</v>
      </c>
      <c r="Q124" s="21">
        <f t="shared" si="5"/>
        <v>206171.44089600001</v>
      </c>
      <c r="R124" s="21">
        <v>128867.71199999998</v>
      </c>
    </row>
    <row r="125" spans="1:18" ht="15.75" thickBot="1" x14ac:dyDescent="0.3">
      <c r="A125" s="21" t="s">
        <v>89</v>
      </c>
      <c r="B125" s="22" t="s">
        <v>99</v>
      </c>
      <c r="C125" s="22" t="s">
        <v>102</v>
      </c>
      <c r="D125" s="22">
        <v>470</v>
      </c>
      <c r="E125" s="22">
        <v>42</v>
      </c>
      <c r="F125" s="21">
        <f t="shared" si="3"/>
        <v>109724.31999999999</v>
      </c>
      <c r="G125" s="21">
        <f t="shared" si="4"/>
        <v>16458.647999999997</v>
      </c>
      <c r="H125" s="21">
        <v>60000</v>
      </c>
      <c r="I125" s="21">
        <v>15000</v>
      </c>
      <c r="J125" s="21">
        <v>15000</v>
      </c>
      <c r="K125" s="26"/>
      <c r="L125" s="21">
        <f>SUM(F125:K125)</f>
        <v>216182.96799999999</v>
      </c>
      <c r="M125" s="21">
        <v>18291.044144</v>
      </c>
      <c r="N125" s="21">
        <v>0</v>
      </c>
      <c r="O125" s="21">
        <v>9140.0358559999986</v>
      </c>
      <c r="P125" s="21">
        <f>IF((D125*233.456*3%)&gt;7004,7004,(D125*233.456*3%))</f>
        <v>3291.7295999999997</v>
      </c>
      <c r="Q125" s="21">
        <f t="shared" si="5"/>
        <v>203751.202544</v>
      </c>
      <c r="R125" s="21">
        <v>126182.96799999999</v>
      </c>
    </row>
    <row r="126" spans="1:18" ht="15.75" thickBot="1" x14ac:dyDescent="0.3">
      <c r="A126" s="21" t="s">
        <v>89</v>
      </c>
      <c r="B126" s="22" t="s">
        <v>99</v>
      </c>
      <c r="C126" s="22" t="s">
        <v>102</v>
      </c>
      <c r="D126" s="22">
        <v>460</v>
      </c>
      <c r="E126" s="22">
        <v>41</v>
      </c>
      <c r="F126" s="21">
        <f t="shared" si="3"/>
        <v>107389.75999999999</v>
      </c>
      <c r="G126" s="21">
        <f t="shared" si="4"/>
        <v>16108.463999999998</v>
      </c>
      <c r="H126" s="21">
        <v>60000</v>
      </c>
      <c r="I126" s="21">
        <v>15000</v>
      </c>
      <c r="J126" s="21">
        <v>15000</v>
      </c>
      <c r="K126" s="26"/>
      <c r="L126" s="21">
        <f>SUM(F126:K126)</f>
        <v>213498.22399999999</v>
      </c>
      <c r="M126" s="21">
        <v>17901.872992000001</v>
      </c>
      <c r="N126" s="21">
        <v>0</v>
      </c>
      <c r="O126" s="21">
        <v>8945.567008</v>
      </c>
      <c r="P126" s="21">
        <f>IF((D126*233.456*3%)&gt;7004,7004,(D126*233.456*3%))</f>
        <v>3221.6927999999998</v>
      </c>
      <c r="Q126" s="21">
        <f t="shared" si="5"/>
        <v>201330.96419199998</v>
      </c>
      <c r="R126" s="21">
        <v>123498.22399999999</v>
      </c>
    </row>
    <row r="127" spans="1:18" ht="15.75" thickBot="1" x14ac:dyDescent="0.3">
      <c r="A127" s="21" t="s">
        <v>89</v>
      </c>
      <c r="B127" s="22" t="s">
        <v>103</v>
      </c>
      <c r="C127" s="22" t="s">
        <v>104</v>
      </c>
      <c r="D127" s="22">
        <v>590</v>
      </c>
      <c r="E127" s="22">
        <v>13</v>
      </c>
      <c r="F127" s="21">
        <f t="shared" si="3"/>
        <v>137739.03999999998</v>
      </c>
      <c r="G127" s="21">
        <f t="shared" si="4"/>
        <v>20660.855999999996</v>
      </c>
      <c r="H127" s="21">
        <v>60000</v>
      </c>
      <c r="I127" s="21">
        <v>15000</v>
      </c>
      <c r="J127" s="21">
        <v>15000</v>
      </c>
      <c r="K127" s="26"/>
      <c r="L127" s="21">
        <f>SUM(F127:K127)</f>
        <v>248399.89599999998</v>
      </c>
      <c r="M127" s="21">
        <v>22961.097967999998</v>
      </c>
      <c r="N127" s="21">
        <v>0</v>
      </c>
      <c r="O127" s="21">
        <v>11473.662031999998</v>
      </c>
      <c r="P127" s="21">
        <f>IF((D127*233.456*3%)&gt;7004,7004,(D127*233.456*3%))</f>
        <v>4132.1711999999989</v>
      </c>
      <c r="Q127" s="21">
        <f t="shared" si="5"/>
        <v>232794.06276799997</v>
      </c>
      <c r="R127" s="21">
        <v>158399.89599999998</v>
      </c>
    </row>
    <row r="128" spans="1:18" ht="15.75" thickBot="1" x14ac:dyDescent="0.3">
      <c r="A128" s="21" t="s">
        <v>89</v>
      </c>
      <c r="B128" s="22" t="s">
        <v>103</v>
      </c>
      <c r="C128" s="22" t="s">
        <v>104</v>
      </c>
      <c r="D128" s="22">
        <v>585</v>
      </c>
      <c r="E128" s="22">
        <v>12</v>
      </c>
      <c r="F128" s="21">
        <f t="shared" si="3"/>
        <v>136571.75999999998</v>
      </c>
      <c r="G128" s="21">
        <f t="shared" si="4"/>
        <v>20485.763999999996</v>
      </c>
      <c r="H128" s="21">
        <v>60000</v>
      </c>
      <c r="I128" s="21">
        <v>15000</v>
      </c>
      <c r="J128" s="21">
        <v>15000</v>
      </c>
      <c r="K128" s="26"/>
      <c r="L128" s="21">
        <f>SUM(F128:K128)</f>
        <v>247057.52399999998</v>
      </c>
      <c r="M128" s="21">
        <v>22766.512391999997</v>
      </c>
      <c r="N128" s="21">
        <v>0</v>
      </c>
      <c r="O128" s="21">
        <v>11376.427607999998</v>
      </c>
      <c r="P128" s="21">
        <f>IF((D128*233.456*3%)&gt;7004,7004,(D128*233.456*3%))</f>
        <v>4097.1527999999989</v>
      </c>
      <c r="Q128" s="21">
        <f t="shared" si="5"/>
        <v>231583.94359199997</v>
      </c>
      <c r="R128" s="21">
        <v>157057.52399999998</v>
      </c>
    </row>
    <row r="129" spans="1:18" ht="15.75" thickBot="1" x14ac:dyDescent="0.3">
      <c r="A129" s="21" t="s">
        <v>89</v>
      </c>
      <c r="B129" s="22" t="s">
        <v>103</v>
      </c>
      <c r="C129" s="22" t="s">
        <v>104</v>
      </c>
      <c r="D129" s="22">
        <v>575</v>
      </c>
      <c r="E129" s="22">
        <v>11</v>
      </c>
      <c r="F129" s="21">
        <f t="shared" si="3"/>
        <v>134237.19999999998</v>
      </c>
      <c r="G129" s="21">
        <f t="shared" si="4"/>
        <v>20135.579999999998</v>
      </c>
      <c r="H129" s="21">
        <v>60000</v>
      </c>
      <c r="I129" s="21">
        <v>15000</v>
      </c>
      <c r="J129" s="21">
        <v>15000</v>
      </c>
      <c r="K129" s="26"/>
      <c r="L129" s="21">
        <f>SUM(F129:K129)</f>
        <v>244372.77999999997</v>
      </c>
      <c r="M129" s="21">
        <v>22377.341239999998</v>
      </c>
      <c r="N129" s="21">
        <v>0</v>
      </c>
      <c r="O129" s="21">
        <v>11181.958759999998</v>
      </c>
      <c r="P129" s="21">
        <f>IF((D129*233.456*3%)&gt;7004,7004,(D129*233.456*3%))</f>
        <v>4027.1159999999995</v>
      </c>
      <c r="Q129" s="21">
        <f t="shared" si="5"/>
        <v>229163.70523999998</v>
      </c>
      <c r="R129" s="21">
        <v>154372.77999999997</v>
      </c>
    </row>
    <row r="130" spans="1:18" ht="15.75" thickBot="1" x14ac:dyDescent="0.3">
      <c r="A130" s="21" t="s">
        <v>89</v>
      </c>
      <c r="B130" s="22" t="s">
        <v>103</v>
      </c>
      <c r="C130" s="22" t="s">
        <v>104</v>
      </c>
      <c r="D130" s="22">
        <v>560</v>
      </c>
      <c r="E130" s="22">
        <v>23</v>
      </c>
      <c r="F130" s="21">
        <f t="shared" si="3"/>
        <v>130735.36</v>
      </c>
      <c r="G130" s="21">
        <f t="shared" si="4"/>
        <v>19610.304</v>
      </c>
      <c r="H130" s="21">
        <v>60000</v>
      </c>
      <c r="I130" s="21">
        <v>15000</v>
      </c>
      <c r="J130" s="21">
        <v>15000</v>
      </c>
      <c r="K130" s="26"/>
      <c r="L130" s="21">
        <f>SUM(F130:K130)</f>
        <v>240345.66399999999</v>
      </c>
      <c r="M130" s="21">
        <v>21793.584512000001</v>
      </c>
      <c r="N130" s="21">
        <v>0</v>
      </c>
      <c r="O130" s="21">
        <v>10890.255488000001</v>
      </c>
      <c r="P130" s="21">
        <f>IF((D130*233.456*3%)&gt;7004,7004,(D130*233.456*3%))</f>
        <v>3922.0607999999997</v>
      </c>
      <c r="Q130" s="21">
        <f t="shared" si="5"/>
        <v>225533.34771199999</v>
      </c>
      <c r="R130" s="21">
        <v>150345.66399999999</v>
      </c>
    </row>
    <row r="131" spans="1:18" ht="15.75" thickBot="1" x14ac:dyDescent="0.3">
      <c r="A131" s="21" t="s">
        <v>89</v>
      </c>
      <c r="B131" s="22" t="s">
        <v>103</v>
      </c>
      <c r="C131" s="22" t="s">
        <v>104</v>
      </c>
      <c r="D131" s="22">
        <v>550</v>
      </c>
      <c r="E131" s="22">
        <v>22</v>
      </c>
      <c r="F131" s="21">
        <f t="shared" ref="F131:F194" si="6">D131*233.456</f>
        <v>128400.79999999999</v>
      </c>
      <c r="G131" s="21">
        <f t="shared" ref="G131:G194" si="7">F131*15%</f>
        <v>19260.12</v>
      </c>
      <c r="H131" s="21">
        <v>60000</v>
      </c>
      <c r="I131" s="21">
        <v>15000</v>
      </c>
      <c r="J131" s="21">
        <v>15000</v>
      </c>
      <c r="K131" s="26"/>
      <c r="L131" s="21">
        <f>SUM(F131:K131)</f>
        <v>237660.91999999998</v>
      </c>
      <c r="M131" s="21">
        <v>21404.413359999999</v>
      </c>
      <c r="N131" s="21">
        <v>0</v>
      </c>
      <c r="O131" s="21">
        <v>10695.786639999998</v>
      </c>
      <c r="P131" s="21">
        <f>IF((D131*233.456*3%)&gt;7004,7004,(D131*233.456*3%))</f>
        <v>3852.0239999999994</v>
      </c>
      <c r="Q131" s="21">
        <f t="shared" ref="Q131:Q194" si="8">L131-SUM(N131:P131)</f>
        <v>223113.10935999997</v>
      </c>
      <c r="R131" s="21">
        <v>147660.91999999998</v>
      </c>
    </row>
    <row r="132" spans="1:18" ht="15.75" thickBot="1" x14ac:dyDescent="0.3">
      <c r="A132" s="21" t="s">
        <v>89</v>
      </c>
      <c r="B132" s="22" t="s">
        <v>103</v>
      </c>
      <c r="C132" s="22" t="s">
        <v>104</v>
      </c>
      <c r="D132" s="22">
        <v>535</v>
      </c>
      <c r="E132" s="22">
        <v>21</v>
      </c>
      <c r="F132" s="21">
        <f t="shared" si="6"/>
        <v>124898.95999999999</v>
      </c>
      <c r="G132" s="21">
        <f t="shared" si="7"/>
        <v>18734.843999999997</v>
      </c>
      <c r="H132" s="21">
        <v>60000</v>
      </c>
      <c r="I132" s="21">
        <v>15000</v>
      </c>
      <c r="J132" s="21">
        <v>15000</v>
      </c>
      <c r="K132" s="26"/>
      <c r="L132" s="21">
        <f>SUM(F132:K132)</f>
        <v>233633.804</v>
      </c>
      <c r="M132" s="21">
        <v>20820.656632000002</v>
      </c>
      <c r="N132" s="21">
        <v>0</v>
      </c>
      <c r="O132" s="21">
        <v>10404.083368</v>
      </c>
      <c r="P132" s="21">
        <f>IF((D132*233.456*3%)&gt;7004,7004,(D132*233.456*3%))</f>
        <v>3746.9687999999996</v>
      </c>
      <c r="Q132" s="21">
        <f t="shared" si="8"/>
        <v>219482.75183200001</v>
      </c>
      <c r="R132" s="21">
        <v>143633.804</v>
      </c>
    </row>
    <row r="133" spans="1:18" ht="15.75" thickBot="1" x14ac:dyDescent="0.3">
      <c r="A133" s="21" t="s">
        <v>89</v>
      </c>
      <c r="B133" s="22" t="s">
        <v>103</v>
      </c>
      <c r="C133" s="22" t="s">
        <v>104</v>
      </c>
      <c r="D133" s="22">
        <v>510</v>
      </c>
      <c r="E133" s="22">
        <v>33</v>
      </c>
      <c r="F133" s="21">
        <f t="shared" si="6"/>
        <v>119062.56</v>
      </c>
      <c r="G133" s="21">
        <f t="shared" si="7"/>
        <v>17859.383999999998</v>
      </c>
      <c r="H133" s="21">
        <v>60000</v>
      </c>
      <c r="I133" s="21">
        <v>15000</v>
      </c>
      <c r="J133" s="21">
        <v>15000</v>
      </c>
      <c r="K133" s="26"/>
      <c r="L133" s="21">
        <f>SUM(F133:K133)</f>
        <v>226921.94399999999</v>
      </c>
      <c r="M133" s="21">
        <v>19847.728752000003</v>
      </c>
      <c r="N133" s="21">
        <v>0</v>
      </c>
      <c r="O133" s="21">
        <v>9917.9112480000003</v>
      </c>
      <c r="P133" s="21">
        <f>IF((D133*233.456*3%)&gt;7004,7004,(D133*233.456*3%))</f>
        <v>3571.8768</v>
      </c>
      <c r="Q133" s="21">
        <f t="shared" si="8"/>
        <v>213432.155952</v>
      </c>
      <c r="R133" s="21">
        <v>136921.94399999999</v>
      </c>
    </row>
    <row r="134" spans="1:18" ht="15.75" thickBot="1" x14ac:dyDescent="0.3">
      <c r="A134" s="21" t="s">
        <v>89</v>
      </c>
      <c r="B134" s="22" t="s">
        <v>103</v>
      </c>
      <c r="C134" s="22" t="s">
        <v>104</v>
      </c>
      <c r="D134" s="22">
        <v>495</v>
      </c>
      <c r="E134" s="22">
        <v>32</v>
      </c>
      <c r="F134" s="21">
        <f t="shared" si="6"/>
        <v>115560.72</v>
      </c>
      <c r="G134" s="21">
        <f t="shared" si="7"/>
        <v>17334.108</v>
      </c>
      <c r="H134" s="21">
        <v>60000</v>
      </c>
      <c r="I134" s="21">
        <v>15000</v>
      </c>
      <c r="J134" s="21">
        <v>15000</v>
      </c>
      <c r="K134" s="26"/>
      <c r="L134" s="21">
        <f>SUM(F134:K134)</f>
        <v>222894.82800000001</v>
      </c>
      <c r="M134" s="21">
        <v>19263.972024000002</v>
      </c>
      <c r="N134" s="21">
        <v>0</v>
      </c>
      <c r="O134" s="21">
        <v>9626.2079759999997</v>
      </c>
      <c r="P134" s="21">
        <f>IF((D134*233.456*3%)&gt;7004,7004,(D134*233.456*3%))</f>
        <v>3466.8215999999998</v>
      </c>
      <c r="Q134" s="21">
        <f t="shared" si="8"/>
        <v>209801.79842400001</v>
      </c>
      <c r="R134" s="21">
        <v>132894.82800000001</v>
      </c>
    </row>
    <row r="135" spans="1:18" ht="15.75" thickBot="1" x14ac:dyDescent="0.3">
      <c r="A135" s="21" t="s">
        <v>89</v>
      </c>
      <c r="B135" s="22" t="s">
        <v>103</v>
      </c>
      <c r="C135" s="22" t="s">
        <v>104</v>
      </c>
      <c r="D135" s="22">
        <v>485</v>
      </c>
      <c r="E135" s="22">
        <v>31</v>
      </c>
      <c r="F135" s="21">
        <f t="shared" si="6"/>
        <v>113226.15999999999</v>
      </c>
      <c r="G135" s="21">
        <f t="shared" si="7"/>
        <v>16983.923999999999</v>
      </c>
      <c r="H135" s="21">
        <v>60000</v>
      </c>
      <c r="I135" s="21">
        <v>15000</v>
      </c>
      <c r="J135" s="21">
        <v>15000</v>
      </c>
      <c r="K135" s="26"/>
      <c r="L135" s="21">
        <f>SUM(F135:K135)</f>
        <v>220210.08399999997</v>
      </c>
      <c r="M135" s="21">
        <v>18874.800872</v>
      </c>
      <c r="N135" s="21">
        <v>0</v>
      </c>
      <c r="O135" s="21">
        <v>9431.7391279999993</v>
      </c>
      <c r="P135" s="21">
        <f>IF((D135*233.456*3%)&gt;7004,7004,(D135*233.456*3%))</f>
        <v>3396.7847999999994</v>
      </c>
      <c r="Q135" s="21">
        <f t="shared" si="8"/>
        <v>207381.56007199996</v>
      </c>
      <c r="R135" s="21">
        <v>130210.08399999999</v>
      </c>
    </row>
    <row r="136" spans="1:18" ht="15.75" thickBot="1" x14ac:dyDescent="0.3">
      <c r="A136" s="21" t="s">
        <v>89</v>
      </c>
      <c r="B136" s="22" t="s">
        <v>103</v>
      </c>
      <c r="C136" s="22" t="s">
        <v>104</v>
      </c>
      <c r="D136" s="22">
        <v>470</v>
      </c>
      <c r="E136" s="22">
        <v>44</v>
      </c>
      <c r="F136" s="21">
        <f t="shared" si="6"/>
        <v>109724.31999999999</v>
      </c>
      <c r="G136" s="21">
        <f t="shared" si="7"/>
        <v>16458.647999999997</v>
      </c>
      <c r="H136" s="21">
        <v>60000</v>
      </c>
      <c r="I136" s="21">
        <v>15000</v>
      </c>
      <c r="J136" s="21">
        <v>15000</v>
      </c>
      <c r="K136" s="26"/>
      <c r="L136" s="21">
        <f>SUM(F136:K136)</f>
        <v>216182.96799999999</v>
      </c>
      <c r="M136" s="21">
        <v>18291.044144</v>
      </c>
      <c r="N136" s="21">
        <v>0</v>
      </c>
      <c r="O136" s="21">
        <v>9140.0358559999986</v>
      </c>
      <c r="P136" s="21">
        <f>IF((D136*233.456*3%)&gt;7004,7004,(D136*233.456*3%))</f>
        <v>3291.7295999999997</v>
      </c>
      <c r="Q136" s="21">
        <f t="shared" si="8"/>
        <v>203751.202544</v>
      </c>
      <c r="R136" s="21">
        <v>126182.96799999999</v>
      </c>
    </row>
    <row r="137" spans="1:18" ht="15.75" thickBot="1" x14ac:dyDescent="0.3">
      <c r="A137" s="21" t="s">
        <v>89</v>
      </c>
      <c r="B137" s="22" t="s">
        <v>103</v>
      </c>
      <c r="C137" s="22" t="s">
        <v>104</v>
      </c>
      <c r="D137" s="22">
        <v>460</v>
      </c>
      <c r="E137" s="22">
        <v>43</v>
      </c>
      <c r="F137" s="21">
        <f t="shared" si="6"/>
        <v>107389.75999999999</v>
      </c>
      <c r="G137" s="21">
        <f t="shared" si="7"/>
        <v>16108.463999999998</v>
      </c>
      <c r="H137" s="21">
        <v>60000</v>
      </c>
      <c r="I137" s="21">
        <v>15000</v>
      </c>
      <c r="J137" s="21">
        <v>15000</v>
      </c>
      <c r="K137" s="26"/>
      <c r="L137" s="21">
        <f>SUM(F137:K137)</f>
        <v>213498.22399999999</v>
      </c>
      <c r="M137" s="21">
        <v>17901.872992000001</v>
      </c>
      <c r="N137" s="21">
        <v>0</v>
      </c>
      <c r="O137" s="21">
        <v>8945.567008</v>
      </c>
      <c r="P137" s="21">
        <f>IF((D137*233.456*3%)&gt;7004,7004,(D137*233.456*3%))</f>
        <v>3221.6927999999998</v>
      </c>
      <c r="Q137" s="21">
        <f t="shared" si="8"/>
        <v>201330.96419199998</v>
      </c>
      <c r="R137" s="21">
        <v>123498.22399999999</v>
      </c>
    </row>
    <row r="138" spans="1:18" ht="15.75" thickBot="1" x14ac:dyDescent="0.3">
      <c r="A138" s="21" t="s">
        <v>89</v>
      </c>
      <c r="B138" s="22" t="s">
        <v>103</v>
      </c>
      <c r="C138" s="22" t="s">
        <v>104</v>
      </c>
      <c r="D138" s="22">
        <v>450</v>
      </c>
      <c r="E138" s="22">
        <v>42</v>
      </c>
      <c r="F138" s="21">
        <f t="shared" si="6"/>
        <v>105055.2</v>
      </c>
      <c r="G138" s="21">
        <f t="shared" si="7"/>
        <v>15758.279999999999</v>
      </c>
      <c r="H138" s="21">
        <v>60000</v>
      </c>
      <c r="I138" s="21">
        <v>15000</v>
      </c>
      <c r="J138" s="21">
        <v>15000</v>
      </c>
      <c r="K138" s="26"/>
      <c r="L138" s="21">
        <f>SUM(F138:K138)</f>
        <v>210813.47999999998</v>
      </c>
      <c r="M138" s="21">
        <v>17512.701840000002</v>
      </c>
      <c r="N138" s="21">
        <v>0</v>
      </c>
      <c r="O138" s="21">
        <v>8751.0981599999996</v>
      </c>
      <c r="P138" s="21">
        <f>IF((D138*233.456*3%)&gt;7004,7004,(D138*233.456*3%))</f>
        <v>3151.6559999999999</v>
      </c>
      <c r="Q138" s="21">
        <f t="shared" si="8"/>
        <v>198910.72583999997</v>
      </c>
      <c r="R138" s="21">
        <v>120813.48</v>
      </c>
    </row>
    <row r="139" spans="1:18" ht="15.75" thickBot="1" x14ac:dyDescent="0.3">
      <c r="A139" s="21" t="s">
        <v>89</v>
      </c>
      <c r="B139" s="22" t="s">
        <v>103</v>
      </c>
      <c r="C139" s="22" t="s">
        <v>104</v>
      </c>
      <c r="D139" s="22">
        <v>440</v>
      </c>
      <c r="E139" s="22">
        <v>41</v>
      </c>
      <c r="F139" s="21">
        <f t="shared" si="6"/>
        <v>102720.64</v>
      </c>
      <c r="G139" s="21">
        <f t="shared" si="7"/>
        <v>15408.096</v>
      </c>
      <c r="H139" s="21">
        <v>60000</v>
      </c>
      <c r="I139" s="21">
        <v>15000</v>
      </c>
      <c r="J139" s="21">
        <v>15000</v>
      </c>
      <c r="K139" s="26"/>
      <c r="L139" s="21">
        <f>SUM(F139:K139)</f>
        <v>208128.736</v>
      </c>
      <c r="M139" s="21">
        <v>17123.530688000003</v>
      </c>
      <c r="N139" s="21">
        <v>0</v>
      </c>
      <c r="O139" s="21">
        <v>8556.6293119999991</v>
      </c>
      <c r="P139" s="21">
        <f>IF((D139*233.456*3%)&gt;7004,7004,(D139*233.456*3%))</f>
        <v>3081.6192000000001</v>
      </c>
      <c r="Q139" s="21">
        <f t="shared" si="8"/>
        <v>196490.48748800001</v>
      </c>
      <c r="R139" s="21">
        <v>118128.736</v>
      </c>
    </row>
    <row r="140" spans="1:18" ht="15.75" thickBot="1" x14ac:dyDescent="0.3">
      <c r="A140" s="21" t="s">
        <v>89</v>
      </c>
      <c r="B140" s="22" t="s">
        <v>103</v>
      </c>
      <c r="C140" s="22" t="s">
        <v>105</v>
      </c>
      <c r="D140" s="22">
        <v>555</v>
      </c>
      <c r="E140" s="22">
        <v>13</v>
      </c>
      <c r="F140" s="21">
        <f t="shared" si="6"/>
        <v>129568.07999999999</v>
      </c>
      <c r="G140" s="21">
        <f t="shared" si="7"/>
        <v>19435.211999999996</v>
      </c>
      <c r="H140" s="21">
        <v>60000</v>
      </c>
      <c r="I140" s="21">
        <v>15000</v>
      </c>
      <c r="J140" s="21">
        <v>15000</v>
      </c>
      <c r="K140" s="26"/>
      <c r="L140" s="21">
        <f>SUM(F140:K140)</f>
        <v>239003.29199999999</v>
      </c>
      <c r="M140" s="21">
        <v>21598.998936</v>
      </c>
      <c r="N140" s="21">
        <v>0</v>
      </c>
      <c r="O140" s="21">
        <v>10793.021063999999</v>
      </c>
      <c r="P140" s="21">
        <f>IF((D140*233.456*3%)&gt;7004,7004,(D140*233.456*3%))</f>
        <v>3887.0423999999994</v>
      </c>
      <c r="Q140" s="21">
        <f t="shared" si="8"/>
        <v>224323.22853599998</v>
      </c>
      <c r="R140" s="21">
        <v>149003.29199999999</v>
      </c>
    </row>
    <row r="141" spans="1:18" ht="15.75" thickBot="1" x14ac:dyDescent="0.3">
      <c r="A141" s="21" t="s">
        <v>89</v>
      </c>
      <c r="B141" s="22" t="s">
        <v>103</v>
      </c>
      <c r="C141" s="22" t="s">
        <v>105</v>
      </c>
      <c r="D141" s="22">
        <v>550</v>
      </c>
      <c r="E141" s="22">
        <v>12</v>
      </c>
      <c r="F141" s="21">
        <f t="shared" si="6"/>
        <v>128400.79999999999</v>
      </c>
      <c r="G141" s="21">
        <f t="shared" si="7"/>
        <v>19260.12</v>
      </c>
      <c r="H141" s="21">
        <v>60000</v>
      </c>
      <c r="I141" s="21">
        <v>15000</v>
      </c>
      <c r="J141" s="21">
        <v>15000</v>
      </c>
      <c r="K141" s="26"/>
      <c r="L141" s="21">
        <f>SUM(F141:K141)</f>
        <v>237660.91999999998</v>
      </c>
      <c r="M141" s="21">
        <v>21404.413359999999</v>
      </c>
      <c r="N141" s="21">
        <v>0</v>
      </c>
      <c r="O141" s="21">
        <v>10695.786639999998</v>
      </c>
      <c r="P141" s="21">
        <f>IF((D141*233.456*3%)&gt;7004,7004,(D141*233.456*3%))</f>
        <v>3852.0239999999994</v>
      </c>
      <c r="Q141" s="21">
        <f t="shared" si="8"/>
        <v>223113.10935999997</v>
      </c>
      <c r="R141" s="21">
        <v>147660.91999999998</v>
      </c>
    </row>
    <row r="142" spans="1:18" ht="15.75" thickBot="1" x14ac:dyDescent="0.3">
      <c r="A142" s="21" t="s">
        <v>89</v>
      </c>
      <c r="B142" s="22" t="s">
        <v>103</v>
      </c>
      <c r="C142" s="22" t="s">
        <v>105</v>
      </c>
      <c r="D142" s="22">
        <v>545</v>
      </c>
      <c r="E142" s="22">
        <v>11</v>
      </c>
      <c r="F142" s="21">
        <f t="shared" si="6"/>
        <v>127233.51999999999</v>
      </c>
      <c r="G142" s="21">
        <f t="shared" si="7"/>
        <v>19085.027999999998</v>
      </c>
      <c r="H142" s="21">
        <v>60000</v>
      </c>
      <c r="I142" s="21">
        <v>15000</v>
      </c>
      <c r="J142" s="21">
        <v>15000</v>
      </c>
      <c r="K142" s="26"/>
      <c r="L142" s="21">
        <f>SUM(F142:K142)</f>
        <v>236318.54799999998</v>
      </c>
      <c r="M142" s="21">
        <v>21209.827784000001</v>
      </c>
      <c r="N142" s="21">
        <v>0</v>
      </c>
      <c r="O142" s="21">
        <v>10598.552215999998</v>
      </c>
      <c r="P142" s="21">
        <f>IF((D142*233.456*3%)&gt;7004,7004,(D142*233.456*3%))</f>
        <v>3817.0055999999995</v>
      </c>
      <c r="Q142" s="21">
        <f t="shared" si="8"/>
        <v>221902.99018399999</v>
      </c>
      <c r="R142" s="21">
        <v>146318.54799999998</v>
      </c>
    </row>
    <row r="143" spans="1:18" ht="15.75" thickBot="1" x14ac:dyDescent="0.3">
      <c r="A143" s="21" t="s">
        <v>89</v>
      </c>
      <c r="B143" s="22" t="s">
        <v>103</v>
      </c>
      <c r="C143" s="22" t="s">
        <v>105</v>
      </c>
      <c r="D143" s="22">
        <v>525</v>
      </c>
      <c r="E143" s="22">
        <v>23</v>
      </c>
      <c r="F143" s="21">
        <f t="shared" si="6"/>
        <v>122564.4</v>
      </c>
      <c r="G143" s="21">
        <f t="shared" si="7"/>
        <v>18384.66</v>
      </c>
      <c r="H143" s="21">
        <v>60000</v>
      </c>
      <c r="I143" s="21">
        <v>15000</v>
      </c>
      <c r="J143" s="21">
        <v>15000</v>
      </c>
      <c r="K143" s="26"/>
      <c r="L143" s="21">
        <f>SUM(F143:K143)</f>
        <v>230949.06</v>
      </c>
      <c r="M143" s="21">
        <v>20431.485479999999</v>
      </c>
      <c r="N143" s="21">
        <v>0</v>
      </c>
      <c r="O143" s="21">
        <v>10209.614519999999</v>
      </c>
      <c r="P143" s="21">
        <f>IF((D143*233.456*3%)&gt;7004,7004,(D143*233.456*3%))</f>
        <v>3676.9319999999998</v>
      </c>
      <c r="Q143" s="21">
        <f t="shared" si="8"/>
        <v>217062.51347999999</v>
      </c>
      <c r="R143" s="21">
        <v>140949.06</v>
      </c>
    </row>
    <row r="144" spans="1:18" ht="15.75" thickBot="1" x14ac:dyDescent="0.3">
      <c r="A144" s="21" t="s">
        <v>89</v>
      </c>
      <c r="B144" s="22" t="s">
        <v>103</v>
      </c>
      <c r="C144" s="22" t="s">
        <v>105</v>
      </c>
      <c r="D144" s="22">
        <v>510</v>
      </c>
      <c r="E144" s="22">
        <v>22</v>
      </c>
      <c r="F144" s="21">
        <f t="shared" si="6"/>
        <v>119062.56</v>
      </c>
      <c r="G144" s="21">
        <f t="shared" si="7"/>
        <v>17859.383999999998</v>
      </c>
      <c r="H144" s="21">
        <v>60000</v>
      </c>
      <c r="I144" s="21">
        <v>15000</v>
      </c>
      <c r="J144" s="21">
        <v>15000</v>
      </c>
      <c r="K144" s="26"/>
      <c r="L144" s="21">
        <f>SUM(F144:K144)</f>
        <v>226921.94399999999</v>
      </c>
      <c r="M144" s="21">
        <v>19847.728752000003</v>
      </c>
      <c r="N144" s="21">
        <v>0</v>
      </c>
      <c r="O144" s="21">
        <v>9917.9112480000003</v>
      </c>
      <c r="P144" s="21">
        <f>IF((D144*233.456*3%)&gt;7004,7004,(D144*233.456*3%))</f>
        <v>3571.8768</v>
      </c>
      <c r="Q144" s="21">
        <f t="shared" si="8"/>
        <v>213432.155952</v>
      </c>
      <c r="R144" s="21">
        <v>136921.94399999999</v>
      </c>
    </row>
    <row r="145" spans="1:18" ht="15.75" thickBot="1" x14ac:dyDescent="0.3">
      <c r="A145" s="21" t="s">
        <v>89</v>
      </c>
      <c r="B145" s="22" t="s">
        <v>103</v>
      </c>
      <c r="C145" s="22" t="s">
        <v>105</v>
      </c>
      <c r="D145" s="22">
        <v>495</v>
      </c>
      <c r="E145" s="22">
        <v>21</v>
      </c>
      <c r="F145" s="21">
        <f t="shared" si="6"/>
        <v>115560.72</v>
      </c>
      <c r="G145" s="21">
        <f t="shared" si="7"/>
        <v>17334.108</v>
      </c>
      <c r="H145" s="21">
        <v>60000</v>
      </c>
      <c r="I145" s="21">
        <v>15000</v>
      </c>
      <c r="J145" s="21">
        <v>15000</v>
      </c>
      <c r="K145" s="26"/>
      <c r="L145" s="21">
        <f>SUM(F145:K145)</f>
        <v>222894.82800000001</v>
      </c>
      <c r="M145" s="21">
        <v>19263.972024000002</v>
      </c>
      <c r="N145" s="21">
        <v>0</v>
      </c>
      <c r="O145" s="21">
        <v>9626.2079759999997</v>
      </c>
      <c r="P145" s="21">
        <f>IF((D145*233.456*3%)&gt;7004,7004,(D145*233.456*3%))</f>
        <v>3466.8215999999998</v>
      </c>
      <c r="Q145" s="21">
        <f t="shared" si="8"/>
        <v>209801.79842400001</v>
      </c>
      <c r="R145" s="21">
        <v>132894.82800000001</v>
      </c>
    </row>
    <row r="146" spans="1:18" ht="15.75" thickBot="1" x14ac:dyDescent="0.3">
      <c r="A146" s="21" t="s">
        <v>89</v>
      </c>
      <c r="B146" s="22" t="s">
        <v>103</v>
      </c>
      <c r="C146" s="22" t="s">
        <v>105</v>
      </c>
      <c r="D146" s="22">
        <v>475</v>
      </c>
      <c r="E146" s="22">
        <v>33</v>
      </c>
      <c r="F146" s="21">
        <f t="shared" si="6"/>
        <v>110891.59999999999</v>
      </c>
      <c r="G146" s="21">
        <f t="shared" si="7"/>
        <v>16633.739999999998</v>
      </c>
      <c r="H146" s="21">
        <v>60000</v>
      </c>
      <c r="I146" s="21">
        <v>15000</v>
      </c>
      <c r="J146" s="21">
        <v>15000</v>
      </c>
      <c r="K146" s="26"/>
      <c r="L146" s="21">
        <f>SUM(F146:K146)</f>
        <v>217525.34</v>
      </c>
      <c r="M146" s="21">
        <v>18485.629720000001</v>
      </c>
      <c r="N146" s="21">
        <v>0</v>
      </c>
      <c r="O146" s="21">
        <v>9237.2702799999988</v>
      </c>
      <c r="P146" s="21">
        <f>IF((D146*233.456*3%)&gt;7004,7004,(D146*233.456*3%))</f>
        <v>3326.7479999999996</v>
      </c>
      <c r="Q146" s="21">
        <f t="shared" si="8"/>
        <v>204961.32172000001</v>
      </c>
      <c r="R146" s="21">
        <v>127525.34</v>
      </c>
    </row>
    <row r="147" spans="1:18" ht="15.75" thickBot="1" x14ac:dyDescent="0.3">
      <c r="A147" s="21" t="s">
        <v>89</v>
      </c>
      <c r="B147" s="22" t="s">
        <v>103</v>
      </c>
      <c r="C147" s="22" t="s">
        <v>105</v>
      </c>
      <c r="D147" s="22">
        <v>465</v>
      </c>
      <c r="E147" s="22">
        <v>32</v>
      </c>
      <c r="F147" s="21">
        <f t="shared" si="6"/>
        <v>108557.04</v>
      </c>
      <c r="G147" s="21">
        <f t="shared" si="7"/>
        <v>16283.555999999999</v>
      </c>
      <c r="H147" s="21">
        <v>60000</v>
      </c>
      <c r="I147" s="21">
        <v>15000</v>
      </c>
      <c r="J147" s="21">
        <v>15000</v>
      </c>
      <c r="K147" s="26"/>
      <c r="L147" s="21">
        <f>SUM(F147:K147)</f>
        <v>214840.59599999999</v>
      </c>
      <c r="M147" s="21">
        <v>18096.458568000002</v>
      </c>
      <c r="N147" s="21">
        <v>0</v>
      </c>
      <c r="O147" s="21">
        <v>9042.8014320000002</v>
      </c>
      <c r="P147" s="21">
        <f>IF((D147*233.456*3%)&gt;7004,7004,(D147*233.456*3%))</f>
        <v>3256.7111999999997</v>
      </c>
      <c r="Q147" s="21">
        <f t="shared" si="8"/>
        <v>202541.08336799999</v>
      </c>
      <c r="R147" s="21">
        <v>124840.59599999999</v>
      </c>
    </row>
    <row r="148" spans="1:18" ht="15.75" thickBot="1" x14ac:dyDescent="0.3">
      <c r="A148" s="21" t="s">
        <v>89</v>
      </c>
      <c r="B148" s="22" t="s">
        <v>103</v>
      </c>
      <c r="C148" s="22" t="s">
        <v>105</v>
      </c>
      <c r="D148" s="22">
        <v>450</v>
      </c>
      <c r="E148" s="22">
        <v>31</v>
      </c>
      <c r="F148" s="21">
        <f t="shared" si="6"/>
        <v>105055.2</v>
      </c>
      <c r="G148" s="21">
        <f t="shared" si="7"/>
        <v>15758.279999999999</v>
      </c>
      <c r="H148" s="21">
        <v>60000</v>
      </c>
      <c r="I148" s="21">
        <v>15000</v>
      </c>
      <c r="J148" s="21">
        <v>15000</v>
      </c>
      <c r="K148" s="26"/>
      <c r="L148" s="21">
        <f>SUM(F148:K148)</f>
        <v>210813.47999999998</v>
      </c>
      <c r="M148" s="21">
        <v>17512.701840000002</v>
      </c>
      <c r="N148" s="21">
        <v>0</v>
      </c>
      <c r="O148" s="21">
        <v>8751.0981599999996</v>
      </c>
      <c r="P148" s="21">
        <f>IF((D148*233.456*3%)&gt;7004,7004,(D148*233.456*3%))</f>
        <v>3151.6559999999999</v>
      </c>
      <c r="Q148" s="21">
        <f t="shared" si="8"/>
        <v>198910.72583999997</v>
      </c>
      <c r="R148" s="21">
        <v>120813.48</v>
      </c>
    </row>
    <row r="149" spans="1:18" ht="15.75" thickBot="1" x14ac:dyDescent="0.3">
      <c r="A149" s="21" t="s">
        <v>89</v>
      </c>
      <c r="B149" s="22" t="s">
        <v>103</v>
      </c>
      <c r="C149" s="22" t="s">
        <v>105</v>
      </c>
      <c r="D149" s="22">
        <v>435</v>
      </c>
      <c r="E149" s="22">
        <v>44</v>
      </c>
      <c r="F149" s="21">
        <f t="shared" si="6"/>
        <v>101553.36</v>
      </c>
      <c r="G149" s="21">
        <f t="shared" si="7"/>
        <v>15233.003999999999</v>
      </c>
      <c r="H149" s="21">
        <v>60000</v>
      </c>
      <c r="I149" s="21">
        <v>15000</v>
      </c>
      <c r="J149" s="21">
        <v>15000</v>
      </c>
      <c r="K149" s="26"/>
      <c r="L149" s="21">
        <f>SUM(F149:K149)</f>
        <v>206786.364</v>
      </c>
      <c r="M149" s="21">
        <v>16928.945112000001</v>
      </c>
      <c r="N149" s="21">
        <v>0</v>
      </c>
      <c r="O149" s="21">
        <v>8459.3948880000007</v>
      </c>
      <c r="P149" s="21">
        <f>IF((D149*233.456*3%)&gt;7004,7004,(D149*233.456*3%))</f>
        <v>3046.6007999999997</v>
      </c>
      <c r="Q149" s="21">
        <f t="shared" si="8"/>
        <v>195280.36831200001</v>
      </c>
      <c r="R149" s="21">
        <v>116786.364</v>
      </c>
    </row>
    <row r="150" spans="1:18" ht="15.75" thickBot="1" x14ac:dyDescent="0.3">
      <c r="A150" s="21" t="s">
        <v>89</v>
      </c>
      <c r="B150" s="22" t="s">
        <v>103</v>
      </c>
      <c r="C150" s="22" t="s">
        <v>105</v>
      </c>
      <c r="D150" s="22">
        <v>425</v>
      </c>
      <c r="E150" s="22">
        <v>43</v>
      </c>
      <c r="F150" s="21">
        <f t="shared" si="6"/>
        <v>99218.799999999988</v>
      </c>
      <c r="G150" s="21">
        <f t="shared" si="7"/>
        <v>14882.819999999998</v>
      </c>
      <c r="H150" s="21">
        <v>60000</v>
      </c>
      <c r="I150" s="21">
        <v>15000</v>
      </c>
      <c r="J150" s="21">
        <v>15000</v>
      </c>
      <c r="K150" s="26"/>
      <c r="L150" s="21">
        <f>SUM(F150:K150)</f>
        <v>204101.62</v>
      </c>
      <c r="M150" s="21">
        <v>16539.773959999999</v>
      </c>
      <c r="N150" s="21">
        <v>0</v>
      </c>
      <c r="O150" s="21">
        <v>8264.9260399999985</v>
      </c>
      <c r="P150" s="21">
        <f>IF((D150*233.456*3%)&gt;7004,7004,(D150*233.456*3%))</f>
        <v>2976.5639999999994</v>
      </c>
      <c r="Q150" s="21">
        <f t="shared" si="8"/>
        <v>192860.12995999999</v>
      </c>
      <c r="R150" s="21">
        <v>114101.61999999998</v>
      </c>
    </row>
    <row r="151" spans="1:18" ht="15.75" thickBot="1" x14ac:dyDescent="0.3">
      <c r="A151" s="21" t="s">
        <v>89</v>
      </c>
      <c r="B151" s="22" t="s">
        <v>103</v>
      </c>
      <c r="C151" s="22" t="s">
        <v>105</v>
      </c>
      <c r="D151" s="22">
        <v>420</v>
      </c>
      <c r="E151" s="22">
        <v>42</v>
      </c>
      <c r="F151" s="21">
        <f t="shared" si="6"/>
        <v>98051.51999999999</v>
      </c>
      <c r="G151" s="21">
        <f t="shared" si="7"/>
        <v>14707.727999999997</v>
      </c>
      <c r="H151" s="21">
        <v>60000</v>
      </c>
      <c r="I151" s="21">
        <v>15000</v>
      </c>
      <c r="J151" s="21">
        <v>15000</v>
      </c>
      <c r="K151" s="26"/>
      <c r="L151" s="21">
        <f>SUM(F151:K151)</f>
        <v>202759.24799999999</v>
      </c>
      <c r="M151" s="21">
        <v>16345.188383999999</v>
      </c>
      <c r="N151" s="21">
        <v>0</v>
      </c>
      <c r="O151" s="21">
        <v>8167.6916159999992</v>
      </c>
      <c r="P151" s="21">
        <f>IF((D151*233.456*3%)&gt;7004,7004,(D151*233.456*3%))</f>
        <v>2941.5455999999995</v>
      </c>
      <c r="Q151" s="21">
        <f t="shared" si="8"/>
        <v>191650.01078399998</v>
      </c>
      <c r="R151" s="21">
        <v>112759.24799999999</v>
      </c>
    </row>
    <row r="152" spans="1:18" ht="15.75" thickBot="1" x14ac:dyDescent="0.3">
      <c r="A152" s="21" t="s">
        <v>89</v>
      </c>
      <c r="B152" s="22" t="s">
        <v>103</v>
      </c>
      <c r="C152" s="22" t="s">
        <v>105</v>
      </c>
      <c r="D152" s="22">
        <v>415</v>
      </c>
      <c r="E152" s="22">
        <v>41</v>
      </c>
      <c r="F152" s="21">
        <f t="shared" si="6"/>
        <v>96884.239999999991</v>
      </c>
      <c r="G152" s="21">
        <f t="shared" si="7"/>
        <v>14532.635999999999</v>
      </c>
      <c r="H152" s="21">
        <v>60000</v>
      </c>
      <c r="I152" s="21">
        <v>15000</v>
      </c>
      <c r="J152" s="21">
        <v>15000</v>
      </c>
      <c r="K152" s="26"/>
      <c r="L152" s="21">
        <f>SUM(F152:K152)</f>
        <v>201416.87599999999</v>
      </c>
      <c r="M152" s="21">
        <v>16150.602808</v>
      </c>
      <c r="N152" s="21">
        <v>0</v>
      </c>
      <c r="O152" s="21">
        <v>8070.4571919999989</v>
      </c>
      <c r="P152" s="21">
        <f>IF((D152*233.456*3%)&gt;7004,7004,(D152*233.456*3%))</f>
        <v>2906.5271999999995</v>
      </c>
      <c r="Q152" s="21">
        <f t="shared" si="8"/>
        <v>190439.89160799998</v>
      </c>
      <c r="R152" s="21">
        <v>111416.87599999999</v>
      </c>
    </row>
    <row r="153" spans="1:18" ht="15.75" thickBot="1" x14ac:dyDescent="0.3">
      <c r="A153" s="21" t="s">
        <v>106</v>
      </c>
      <c r="B153" s="22" t="s">
        <v>90</v>
      </c>
      <c r="C153" s="22" t="s">
        <v>91</v>
      </c>
      <c r="D153" s="22">
        <v>2350</v>
      </c>
      <c r="E153" s="22">
        <v>21</v>
      </c>
      <c r="F153" s="21">
        <f t="shared" si="6"/>
        <v>548621.6</v>
      </c>
      <c r="G153" s="21">
        <f t="shared" si="7"/>
        <v>82293.239999999991</v>
      </c>
      <c r="H153" s="21">
        <v>90000</v>
      </c>
      <c r="I153" s="21">
        <v>15000</v>
      </c>
      <c r="J153" s="21">
        <v>15000</v>
      </c>
      <c r="K153" s="26">
        <v>259586.47999999998</v>
      </c>
      <c r="L153" s="21">
        <f>SUM(F153:K153)</f>
        <v>1010501.32</v>
      </c>
      <c r="M153" s="21">
        <v>91455.220719999998</v>
      </c>
      <c r="N153" s="21">
        <v>91992.116399999984</v>
      </c>
      <c r="O153" s="21">
        <v>45700.179279999997</v>
      </c>
      <c r="P153" s="21">
        <f>IF((D153*233.456*3%)&gt;7004,7004,(D153*233.456*3%))</f>
        <v>7004</v>
      </c>
      <c r="Q153" s="21">
        <f t="shared" si="8"/>
        <v>865805.02431999997</v>
      </c>
      <c r="R153" s="21">
        <v>630914.84</v>
      </c>
    </row>
    <row r="154" spans="1:18" ht="15.75" thickBot="1" x14ac:dyDescent="0.3">
      <c r="A154" s="21" t="s">
        <v>106</v>
      </c>
      <c r="B154" s="22" t="s">
        <v>90</v>
      </c>
      <c r="C154" s="22" t="s">
        <v>91</v>
      </c>
      <c r="D154" s="22">
        <v>2295</v>
      </c>
      <c r="E154" s="22">
        <v>33</v>
      </c>
      <c r="F154" s="21">
        <f t="shared" si="6"/>
        <v>535781.52</v>
      </c>
      <c r="G154" s="21">
        <f t="shared" si="7"/>
        <v>80367.228000000003</v>
      </c>
      <c r="H154" s="21">
        <v>90000</v>
      </c>
      <c r="I154" s="21">
        <v>15000</v>
      </c>
      <c r="J154" s="21">
        <v>15000</v>
      </c>
      <c r="K154" s="26">
        <v>255734.45600000001</v>
      </c>
      <c r="L154" s="21">
        <f>SUM(F154:K154)</f>
        <v>991883.20400000003</v>
      </c>
      <c r="M154" s="21">
        <v>89314.779384000009</v>
      </c>
      <c r="N154" s="21">
        <v>88891.237080000006</v>
      </c>
      <c r="O154" s="21">
        <v>44630.600616000003</v>
      </c>
      <c r="P154" s="21">
        <f>IF((D154*233.456*3%)&gt;7004,7004,(D154*233.456*3%))</f>
        <v>7004</v>
      </c>
      <c r="Q154" s="21">
        <f t="shared" si="8"/>
        <v>851357.36630400002</v>
      </c>
      <c r="R154" s="21">
        <v>616148.74800000002</v>
      </c>
    </row>
    <row r="155" spans="1:18" ht="15.75" thickBot="1" x14ac:dyDescent="0.3">
      <c r="A155" s="21" t="s">
        <v>106</v>
      </c>
      <c r="B155" s="22" t="s">
        <v>90</v>
      </c>
      <c r="C155" s="22" t="s">
        <v>91</v>
      </c>
      <c r="D155" s="22">
        <v>2255</v>
      </c>
      <c r="E155" s="22">
        <v>32</v>
      </c>
      <c r="F155" s="21">
        <f t="shared" si="6"/>
        <v>526443.28</v>
      </c>
      <c r="G155" s="21">
        <f t="shared" si="7"/>
        <v>78966.491999999998</v>
      </c>
      <c r="H155" s="21">
        <v>90000</v>
      </c>
      <c r="I155" s="21">
        <v>15000</v>
      </c>
      <c r="J155" s="21">
        <v>15000</v>
      </c>
      <c r="K155" s="26">
        <v>252932.984</v>
      </c>
      <c r="L155" s="21">
        <f>SUM(F155:K155)</f>
        <v>978342.75600000005</v>
      </c>
      <c r="M155" s="21">
        <v>87758.094776000013</v>
      </c>
      <c r="N155" s="21">
        <v>86636.052119999993</v>
      </c>
      <c r="O155" s="21">
        <v>43852.725224000002</v>
      </c>
      <c r="P155" s="21">
        <f>IF((D155*233.456*3%)&gt;7004,7004,(D155*233.456*3%))</f>
        <v>7004</v>
      </c>
      <c r="Q155" s="21">
        <f t="shared" si="8"/>
        <v>840849.97865599999</v>
      </c>
      <c r="R155" s="21">
        <v>605409.772</v>
      </c>
    </row>
    <row r="156" spans="1:18" ht="15.75" thickBot="1" x14ac:dyDescent="0.3">
      <c r="A156" s="21" t="s">
        <v>106</v>
      </c>
      <c r="B156" s="22" t="s">
        <v>90</v>
      </c>
      <c r="C156" s="22" t="s">
        <v>91</v>
      </c>
      <c r="D156" s="22">
        <v>2170</v>
      </c>
      <c r="E156" s="22">
        <v>31</v>
      </c>
      <c r="F156" s="21">
        <f t="shared" si="6"/>
        <v>506599.51999999996</v>
      </c>
      <c r="G156" s="21">
        <f t="shared" si="7"/>
        <v>75989.927999999985</v>
      </c>
      <c r="H156" s="21">
        <v>90000</v>
      </c>
      <c r="I156" s="21">
        <v>15000</v>
      </c>
      <c r="J156" s="21">
        <v>15000</v>
      </c>
      <c r="K156" s="26">
        <v>246979.856</v>
      </c>
      <c r="L156" s="21">
        <f>SUM(F156:K156)</f>
        <v>949569.304</v>
      </c>
      <c r="M156" s="21">
        <v>84450.139983999994</v>
      </c>
      <c r="N156" s="21">
        <v>81843.784079999998</v>
      </c>
      <c r="O156" s="21">
        <v>42199.740015999996</v>
      </c>
      <c r="P156" s="21">
        <f>IF((D156*233.456*3%)&gt;7004,7004,(D156*233.456*3%))</f>
        <v>7004</v>
      </c>
      <c r="Q156" s="21">
        <f t="shared" si="8"/>
        <v>818521.779904</v>
      </c>
      <c r="R156" s="21">
        <v>582589.44799999997</v>
      </c>
    </row>
    <row r="157" spans="1:18" ht="15.75" thickBot="1" x14ac:dyDescent="0.3">
      <c r="A157" s="21" t="s">
        <v>106</v>
      </c>
      <c r="B157" s="22" t="s">
        <v>90</v>
      </c>
      <c r="C157" s="22" t="s">
        <v>91</v>
      </c>
      <c r="D157" s="22">
        <v>2135</v>
      </c>
      <c r="E157" s="22">
        <v>44</v>
      </c>
      <c r="F157" s="21">
        <f t="shared" si="6"/>
        <v>498428.56</v>
      </c>
      <c r="G157" s="21">
        <f t="shared" si="7"/>
        <v>74764.284</v>
      </c>
      <c r="H157" s="21">
        <v>90000</v>
      </c>
      <c r="I157" s="21">
        <v>15000</v>
      </c>
      <c r="J157" s="21">
        <v>15000</v>
      </c>
      <c r="K157" s="26">
        <v>244528.568</v>
      </c>
      <c r="L157" s="21">
        <f>SUM(F157:K157)</f>
        <v>937721.41200000001</v>
      </c>
      <c r="M157" s="21">
        <v>83088.04095200001</v>
      </c>
      <c r="N157" s="21">
        <v>79870.497240000012</v>
      </c>
      <c r="O157" s="21">
        <v>41519.099047999996</v>
      </c>
      <c r="P157" s="21">
        <f>IF((D157*233.456*3%)&gt;7004,7004,(D157*233.456*3%))</f>
        <v>7004</v>
      </c>
      <c r="Q157" s="21">
        <f t="shared" si="8"/>
        <v>809327.81571200001</v>
      </c>
      <c r="R157" s="21">
        <v>573192.84400000004</v>
      </c>
    </row>
    <row r="158" spans="1:18" ht="15.75" thickBot="1" x14ac:dyDescent="0.3">
      <c r="A158" s="21" t="s">
        <v>106</v>
      </c>
      <c r="B158" s="22" t="s">
        <v>90</v>
      </c>
      <c r="C158" s="22" t="s">
        <v>91</v>
      </c>
      <c r="D158" s="22">
        <v>2090</v>
      </c>
      <c r="E158" s="22">
        <v>43</v>
      </c>
      <c r="F158" s="21">
        <f t="shared" si="6"/>
        <v>487923.04</v>
      </c>
      <c r="G158" s="21">
        <f t="shared" si="7"/>
        <v>73188.455999999991</v>
      </c>
      <c r="H158" s="21">
        <v>90000</v>
      </c>
      <c r="I158" s="21">
        <v>15000</v>
      </c>
      <c r="J158" s="21">
        <v>15000</v>
      </c>
      <c r="K158" s="26">
        <v>241376.91199999998</v>
      </c>
      <c r="L158" s="21">
        <f>SUM(F158:K158)</f>
        <v>922488.40799999994</v>
      </c>
      <c r="M158" s="21">
        <v>81336.770768000002</v>
      </c>
      <c r="N158" s="21">
        <v>77333.414159999986</v>
      </c>
      <c r="O158" s="21">
        <v>40643.989232</v>
      </c>
      <c r="P158" s="21">
        <f>IF((D158*233.456*3%)&gt;7004,7004,(D158*233.456*3%))</f>
        <v>7004</v>
      </c>
      <c r="Q158" s="21">
        <f t="shared" si="8"/>
        <v>797507.00460799993</v>
      </c>
      <c r="R158" s="21">
        <v>561111.49599999993</v>
      </c>
    </row>
    <row r="159" spans="1:18" ht="15.75" thickBot="1" x14ac:dyDescent="0.3">
      <c r="A159" s="21" t="s">
        <v>106</v>
      </c>
      <c r="B159" s="22" t="s">
        <v>90</v>
      </c>
      <c r="C159" s="22" t="s">
        <v>91</v>
      </c>
      <c r="D159" s="22">
        <v>2015</v>
      </c>
      <c r="E159" s="22">
        <v>42</v>
      </c>
      <c r="F159" s="21">
        <f t="shared" si="6"/>
        <v>470413.83999999997</v>
      </c>
      <c r="G159" s="21">
        <f t="shared" si="7"/>
        <v>70562.075999999986</v>
      </c>
      <c r="H159" s="21">
        <v>90000</v>
      </c>
      <c r="I159" s="21">
        <v>15000</v>
      </c>
      <c r="J159" s="21">
        <v>15000</v>
      </c>
      <c r="K159" s="26">
        <v>236124.152</v>
      </c>
      <c r="L159" s="21">
        <f>SUM(F159:K159)</f>
        <v>897100.06799999997</v>
      </c>
      <c r="M159" s="21">
        <v>78417.987128000008</v>
      </c>
      <c r="N159" s="21">
        <v>73104.942359999986</v>
      </c>
      <c r="O159" s="21">
        <v>39185.472871999998</v>
      </c>
      <c r="P159" s="21">
        <f>IF((D159*233.456*3%)&gt;7004,7004,(D159*233.456*3%))</f>
        <v>7004</v>
      </c>
      <c r="Q159" s="21">
        <f t="shared" si="8"/>
        <v>777805.65276800003</v>
      </c>
      <c r="R159" s="21">
        <v>540975.91599999997</v>
      </c>
    </row>
    <row r="160" spans="1:18" ht="15.75" thickBot="1" x14ac:dyDescent="0.3">
      <c r="A160" s="21" t="s">
        <v>106</v>
      </c>
      <c r="B160" s="22" t="s">
        <v>90</v>
      </c>
      <c r="C160" s="22" t="s">
        <v>91</v>
      </c>
      <c r="D160" s="22">
        <v>1960</v>
      </c>
      <c r="E160" s="22">
        <v>41</v>
      </c>
      <c r="F160" s="21">
        <f t="shared" si="6"/>
        <v>457573.75999999995</v>
      </c>
      <c r="G160" s="21">
        <f t="shared" si="7"/>
        <v>68636.063999999984</v>
      </c>
      <c r="H160" s="21">
        <v>90000</v>
      </c>
      <c r="I160" s="21">
        <v>15000</v>
      </c>
      <c r="J160" s="21">
        <v>15000</v>
      </c>
      <c r="K160" s="26">
        <v>232272.128</v>
      </c>
      <c r="L160" s="21">
        <f>SUM(F160:K160)</f>
        <v>878481.95199999993</v>
      </c>
      <c r="M160" s="21">
        <v>76277.545792000004</v>
      </c>
      <c r="N160" s="21">
        <v>70004.063039999979</v>
      </c>
      <c r="O160" s="21">
        <v>38115.894207999998</v>
      </c>
      <c r="P160" s="21">
        <f>IF((D160*233.456*3%)&gt;7004,7004,(D160*233.456*3%))</f>
        <v>7004</v>
      </c>
      <c r="Q160" s="21">
        <f t="shared" si="8"/>
        <v>763357.99475199997</v>
      </c>
      <c r="R160" s="21">
        <v>526209.82399999991</v>
      </c>
    </row>
    <row r="161" spans="1:18" ht="15.75" thickBot="1" x14ac:dyDescent="0.3">
      <c r="A161" s="21" t="s">
        <v>106</v>
      </c>
      <c r="B161" s="22" t="s">
        <v>90</v>
      </c>
      <c r="C161" s="22" t="s">
        <v>92</v>
      </c>
      <c r="D161" s="22">
        <v>2145</v>
      </c>
      <c r="E161" s="22">
        <v>13</v>
      </c>
      <c r="F161" s="21">
        <f t="shared" si="6"/>
        <v>500763.12</v>
      </c>
      <c r="G161" s="21">
        <f t="shared" si="7"/>
        <v>75114.467999999993</v>
      </c>
      <c r="H161" s="21">
        <v>90000</v>
      </c>
      <c r="I161" s="21">
        <v>15000</v>
      </c>
      <c r="J161" s="21">
        <v>15000</v>
      </c>
      <c r="K161" s="26">
        <v>245228.93599999999</v>
      </c>
      <c r="L161" s="21">
        <f>SUM(F161:K161)</f>
        <v>941106.52399999998</v>
      </c>
      <c r="M161" s="21">
        <v>83477.212104000006</v>
      </c>
      <c r="N161" s="21">
        <v>80434.293479999993</v>
      </c>
      <c r="O161" s="21">
        <v>41713.567896</v>
      </c>
      <c r="P161" s="21">
        <f>IF((D161*233.456*3%)&gt;7004,7004,(D161*233.456*3%))</f>
        <v>7004</v>
      </c>
      <c r="Q161" s="21">
        <f t="shared" si="8"/>
        <v>811954.66262399999</v>
      </c>
      <c r="R161" s="21">
        <v>575877.58799999999</v>
      </c>
    </row>
    <row r="162" spans="1:18" ht="15.75" thickBot="1" x14ac:dyDescent="0.3">
      <c r="A162" s="21" t="s">
        <v>106</v>
      </c>
      <c r="B162" s="22" t="s">
        <v>90</v>
      </c>
      <c r="C162" s="22" t="s">
        <v>92</v>
      </c>
      <c r="D162" s="22">
        <v>2130</v>
      </c>
      <c r="E162" s="22">
        <v>12</v>
      </c>
      <c r="F162" s="21">
        <f t="shared" si="6"/>
        <v>497261.27999999997</v>
      </c>
      <c r="G162" s="21">
        <f t="shared" si="7"/>
        <v>74589.191999999995</v>
      </c>
      <c r="H162" s="21">
        <v>90000</v>
      </c>
      <c r="I162" s="21">
        <v>15000</v>
      </c>
      <c r="J162" s="21">
        <v>15000</v>
      </c>
      <c r="K162" s="26">
        <v>244178.38399999999</v>
      </c>
      <c r="L162" s="21">
        <f>SUM(F162:K162)</f>
        <v>936028.85599999991</v>
      </c>
      <c r="M162" s="21">
        <v>82893.455375999998</v>
      </c>
      <c r="N162" s="21">
        <v>79588.599119999984</v>
      </c>
      <c r="O162" s="21">
        <v>41421.864623999994</v>
      </c>
      <c r="P162" s="21">
        <f>IF((D162*233.456*3%)&gt;7004,7004,(D162*233.456*3%))</f>
        <v>7004</v>
      </c>
      <c r="Q162" s="21">
        <f t="shared" si="8"/>
        <v>808014.39225599996</v>
      </c>
      <c r="R162" s="21">
        <v>571850.47199999995</v>
      </c>
    </row>
    <row r="163" spans="1:18" ht="15.75" thickBot="1" x14ac:dyDescent="0.3">
      <c r="A163" s="21" t="s">
        <v>106</v>
      </c>
      <c r="B163" s="22" t="s">
        <v>90</v>
      </c>
      <c r="C163" s="22" t="s">
        <v>92</v>
      </c>
      <c r="D163" s="22">
        <v>2055</v>
      </c>
      <c r="E163" s="22">
        <v>11</v>
      </c>
      <c r="F163" s="21">
        <f t="shared" si="6"/>
        <v>479752.07999999996</v>
      </c>
      <c r="G163" s="21">
        <f t="shared" si="7"/>
        <v>71962.811999999991</v>
      </c>
      <c r="H163" s="21">
        <v>90000</v>
      </c>
      <c r="I163" s="21">
        <v>15000</v>
      </c>
      <c r="J163" s="21">
        <v>15000</v>
      </c>
      <c r="K163" s="26">
        <v>238925.62399999998</v>
      </c>
      <c r="L163" s="21">
        <f>SUM(F163:K163)</f>
        <v>910640.51599999995</v>
      </c>
      <c r="M163" s="21">
        <v>79974.671736000004</v>
      </c>
      <c r="N163" s="21">
        <v>75360.12732</v>
      </c>
      <c r="O163" s="21">
        <v>39963.348263999993</v>
      </c>
      <c r="P163" s="21">
        <f>IF((D163*233.456*3%)&gt;7004,7004,(D163*233.456*3%))</f>
        <v>7004</v>
      </c>
      <c r="Q163" s="21">
        <f t="shared" si="8"/>
        <v>788313.04041599995</v>
      </c>
      <c r="R163" s="21">
        <v>551714.89199999999</v>
      </c>
    </row>
    <row r="164" spans="1:18" ht="15.75" thickBot="1" x14ac:dyDescent="0.3">
      <c r="A164" s="21" t="s">
        <v>106</v>
      </c>
      <c r="B164" s="22" t="s">
        <v>90</v>
      </c>
      <c r="C164" s="22" t="s">
        <v>92</v>
      </c>
      <c r="D164" s="22">
        <v>1980</v>
      </c>
      <c r="E164" s="22">
        <v>23</v>
      </c>
      <c r="F164" s="21">
        <f t="shared" si="6"/>
        <v>462242.88</v>
      </c>
      <c r="G164" s="21">
        <f t="shared" si="7"/>
        <v>69336.432000000001</v>
      </c>
      <c r="H164" s="21">
        <v>90000</v>
      </c>
      <c r="I164" s="21">
        <v>15000</v>
      </c>
      <c r="J164" s="21">
        <v>15000</v>
      </c>
      <c r="K164" s="26">
        <v>233672.864</v>
      </c>
      <c r="L164" s="21">
        <f>SUM(F164:K164)</f>
        <v>885252.17599999998</v>
      </c>
      <c r="M164" s="21">
        <v>77055.88809600001</v>
      </c>
      <c r="N164" s="21">
        <v>71131.65552</v>
      </c>
      <c r="O164" s="21">
        <v>38504.831903999999</v>
      </c>
      <c r="P164" s="21">
        <f>IF((D164*233.456*3%)&gt;7004,7004,(D164*233.456*3%))</f>
        <v>7004</v>
      </c>
      <c r="Q164" s="21">
        <f t="shared" si="8"/>
        <v>768611.68857600004</v>
      </c>
      <c r="R164" s="21">
        <v>531579.31200000003</v>
      </c>
    </row>
    <row r="165" spans="1:18" ht="15.75" thickBot="1" x14ac:dyDescent="0.3">
      <c r="A165" s="21" t="s">
        <v>106</v>
      </c>
      <c r="B165" s="22" t="s">
        <v>90</v>
      </c>
      <c r="C165" s="22" t="s">
        <v>92</v>
      </c>
      <c r="D165" s="22">
        <v>1955</v>
      </c>
      <c r="E165" s="22">
        <v>22</v>
      </c>
      <c r="F165" s="21">
        <f t="shared" si="6"/>
        <v>456406.48</v>
      </c>
      <c r="G165" s="21">
        <f t="shared" si="7"/>
        <v>68460.971999999994</v>
      </c>
      <c r="H165" s="21">
        <v>90000</v>
      </c>
      <c r="I165" s="21">
        <v>15000</v>
      </c>
      <c r="J165" s="21">
        <v>15000</v>
      </c>
      <c r="K165" s="26">
        <v>231921.94399999999</v>
      </c>
      <c r="L165" s="21">
        <f>SUM(F165:K165)</f>
        <v>876789.39599999995</v>
      </c>
      <c r="M165" s="21">
        <v>76082.960216000007</v>
      </c>
      <c r="N165" s="21">
        <v>69722.164919999981</v>
      </c>
      <c r="O165" s="21">
        <v>38018.659783999996</v>
      </c>
      <c r="P165" s="21">
        <f>IF((D165*233.456*3%)&gt;7004,7004,(D165*233.456*3%))</f>
        <v>7004</v>
      </c>
      <c r="Q165" s="21">
        <f t="shared" si="8"/>
        <v>762044.57129599992</v>
      </c>
      <c r="R165" s="21">
        <v>524867.45199999993</v>
      </c>
    </row>
    <row r="166" spans="1:18" ht="15.75" thickBot="1" x14ac:dyDescent="0.3">
      <c r="A166" s="21" t="s">
        <v>106</v>
      </c>
      <c r="B166" s="22" t="s">
        <v>90</v>
      </c>
      <c r="C166" s="22" t="s">
        <v>92</v>
      </c>
      <c r="D166" s="22">
        <v>1880</v>
      </c>
      <c r="E166" s="22">
        <v>21</v>
      </c>
      <c r="F166" s="21">
        <f t="shared" si="6"/>
        <v>438897.27999999997</v>
      </c>
      <c r="G166" s="21">
        <f t="shared" si="7"/>
        <v>65834.59199999999</v>
      </c>
      <c r="H166" s="21">
        <v>90000</v>
      </c>
      <c r="I166" s="21">
        <v>15000</v>
      </c>
      <c r="J166" s="21">
        <v>15000</v>
      </c>
      <c r="K166" s="26">
        <v>226669.18399999998</v>
      </c>
      <c r="L166" s="21">
        <f>SUM(F166:K166)</f>
        <v>851401.05599999998</v>
      </c>
      <c r="M166" s="21">
        <v>73164.176575999998</v>
      </c>
      <c r="N166" s="21">
        <v>65493.693119999982</v>
      </c>
      <c r="O166" s="21">
        <v>36560.143423999994</v>
      </c>
      <c r="P166" s="21">
        <f>IF((D166*233.456*3%)&gt;7004,7004,(D166*233.456*3%))</f>
        <v>7004</v>
      </c>
      <c r="Q166" s="21">
        <f t="shared" si="8"/>
        <v>742343.21945600002</v>
      </c>
      <c r="R166" s="21">
        <v>504731.87199999997</v>
      </c>
    </row>
    <row r="167" spans="1:18" ht="15.75" thickBot="1" x14ac:dyDescent="0.3">
      <c r="A167" s="21" t="s">
        <v>106</v>
      </c>
      <c r="B167" s="22" t="s">
        <v>90</v>
      </c>
      <c r="C167" s="22" t="s">
        <v>92</v>
      </c>
      <c r="D167" s="22">
        <v>1765</v>
      </c>
      <c r="E167" s="22">
        <v>33</v>
      </c>
      <c r="F167" s="21">
        <f t="shared" si="6"/>
        <v>412049.83999999997</v>
      </c>
      <c r="G167" s="21">
        <f t="shared" si="7"/>
        <v>61807.475999999995</v>
      </c>
      <c r="H167" s="21">
        <v>90000</v>
      </c>
      <c r="I167" s="21">
        <v>15000</v>
      </c>
      <c r="J167" s="21">
        <v>15000</v>
      </c>
      <c r="K167" s="26">
        <v>218614.95199999999</v>
      </c>
      <c r="L167" s="21">
        <f>SUM(F167:K167)</f>
        <v>812472.26799999992</v>
      </c>
      <c r="M167" s="21">
        <v>68688.708328000008</v>
      </c>
      <c r="N167" s="21">
        <v>59010.036359999998</v>
      </c>
      <c r="O167" s="21">
        <v>34323.751671999999</v>
      </c>
      <c r="P167" s="21">
        <f>IF((D167*233.456*3%)&gt;7004,7004,(D167*233.456*3%))</f>
        <v>7004</v>
      </c>
      <c r="Q167" s="21">
        <f t="shared" si="8"/>
        <v>712134.47996799997</v>
      </c>
      <c r="R167" s="21">
        <v>473857.31599999999</v>
      </c>
    </row>
    <row r="168" spans="1:18" ht="15.75" thickBot="1" x14ac:dyDescent="0.3">
      <c r="A168" s="21" t="s">
        <v>106</v>
      </c>
      <c r="B168" s="22" t="s">
        <v>90</v>
      </c>
      <c r="C168" s="22" t="s">
        <v>92</v>
      </c>
      <c r="D168" s="22">
        <v>1655</v>
      </c>
      <c r="E168" s="22">
        <v>32</v>
      </c>
      <c r="F168" s="21">
        <f t="shared" si="6"/>
        <v>386369.68</v>
      </c>
      <c r="G168" s="21">
        <f t="shared" si="7"/>
        <v>57955.451999999997</v>
      </c>
      <c r="H168" s="21">
        <v>90000</v>
      </c>
      <c r="I168" s="21">
        <v>15000</v>
      </c>
      <c r="J168" s="21">
        <v>15000</v>
      </c>
      <c r="K168" s="26">
        <v>210910.90399999998</v>
      </c>
      <c r="L168" s="21">
        <f>SUM(F168:K168)</f>
        <v>775236.03599999996</v>
      </c>
      <c r="M168" s="21">
        <v>64407.825656000008</v>
      </c>
      <c r="N168" s="21">
        <v>52808.277719999998</v>
      </c>
      <c r="O168" s="21">
        <v>32184.594343999997</v>
      </c>
      <c r="P168" s="21">
        <f>IF((D168*233.456*3%)&gt;7004,7004,(D168*233.456*3%))</f>
        <v>7004</v>
      </c>
      <c r="Q168" s="21">
        <f t="shared" si="8"/>
        <v>683239.16393599997</v>
      </c>
      <c r="R168" s="21">
        <v>444325.13199999998</v>
      </c>
    </row>
    <row r="169" spans="1:18" ht="15.75" thickBot="1" x14ac:dyDescent="0.3">
      <c r="A169" s="21" t="s">
        <v>106</v>
      </c>
      <c r="B169" s="22" t="s">
        <v>90</v>
      </c>
      <c r="C169" s="22" t="s">
        <v>92</v>
      </c>
      <c r="D169" s="22">
        <v>1580</v>
      </c>
      <c r="E169" s="22">
        <v>31</v>
      </c>
      <c r="F169" s="21">
        <f t="shared" si="6"/>
        <v>368860.48</v>
      </c>
      <c r="G169" s="21">
        <f t="shared" si="7"/>
        <v>55329.071999999993</v>
      </c>
      <c r="H169" s="21">
        <v>90000</v>
      </c>
      <c r="I169" s="21">
        <v>15000</v>
      </c>
      <c r="J169" s="21">
        <v>15000</v>
      </c>
      <c r="K169" s="26">
        <v>205658.144</v>
      </c>
      <c r="L169" s="21">
        <f>SUM(F169:K169)</f>
        <v>749847.69599999988</v>
      </c>
      <c r="M169" s="21">
        <v>61489.042015999999</v>
      </c>
      <c r="N169" s="21">
        <v>48579.805919999992</v>
      </c>
      <c r="O169" s="21">
        <v>30726.077984</v>
      </c>
      <c r="P169" s="21">
        <f>IF((D169*233.456*3%)&gt;7004,7004,(D169*233.456*3%))</f>
        <v>7004</v>
      </c>
      <c r="Q169" s="21">
        <f t="shared" si="8"/>
        <v>663537.81209599995</v>
      </c>
      <c r="R169" s="21">
        <v>424189.55199999997</v>
      </c>
    </row>
    <row r="170" spans="1:18" ht="15.75" thickBot="1" x14ac:dyDescent="0.3">
      <c r="A170" s="21" t="s">
        <v>106</v>
      </c>
      <c r="B170" s="22" t="s">
        <v>90</v>
      </c>
      <c r="C170" s="22" t="s">
        <v>92</v>
      </c>
      <c r="D170" s="22">
        <v>1485</v>
      </c>
      <c r="E170" s="22">
        <v>44</v>
      </c>
      <c r="F170" s="21">
        <f t="shared" si="6"/>
        <v>346682.16</v>
      </c>
      <c r="G170" s="21">
        <f t="shared" si="7"/>
        <v>52002.323999999993</v>
      </c>
      <c r="H170" s="21">
        <v>90000</v>
      </c>
      <c r="I170" s="21">
        <v>15000</v>
      </c>
      <c r="J170" s="21">
        <v>15000</v>
      </c>
      <c r="K170" s="26">
        <v>199004.64799999999</v>
      </c>
      <c r="L170" s="21">
        <f>SUM(F170:K170)</f>
        <v>717689.13199999998</v>
      </c>
      <c r="M170" s="21">
        <v>57791.916072</v>
      </c>
      <c r="N170" s="21">
        <v>43223.741639999986</v>
      </c>
      <c r="O170" s="21">
        <v>28878.623927999997</v>
      </c>
      <c r="P170" s="21">
        <f>IF((D170*233.456*3%)&gt;7004,7004,(D170*233.456*3%))</f>
        <v>7004</v>
      </c>
      <c r="Q170" s="21">
        <f t="shared" si="8"/>
        <v>638582.76643199997</v>
      </c>
      <c r="R170" s="21">
        <v>398684.48399999994</v>
      </c>
    </row>
    <row r="171" spans="1:18" ht="15.75" thickBot="1" x14ac:dyDescent="0.3">
      <c r="A171" s="21" t="s">
        <v>106</v>
      </c>
      <c r="B171" s="22" t="s">
        <v>90</v>
      </c>
      <c r="C171" s="22" t="s">
        <v>92</v>
      </c>
      <c r="D171" s="22">
        <v>1410</v>
      </c>
      <c r="E171" s="22">
        <v>43</v>
      </c>
      <c r="F171" s="21">
        <f t="shared" si="6"/>
        <v>329172.95999999996</v>
      </c>
      <c r="G171" s="21">
        <f t="shared" si="7"/>
        <v>49375.943999999996</v>
      </c>
      <c r="H171" s="21">
        <v>90000</v>
      </c>
      <c r="I171" s="21">
        <v>15000</v>
      </c>
      <c r="J171" s="21">
        <v>15000</v>
      </c>
      <c r="K171" s="26">
        <v>193751.88799999998</v>
      </c>
      <c r="L171" s="21">
        <f>SUM(F171:K171)</f>
        <v>692300.7919999999</v>
      </c>
      <c r="M171" s="21">
        <v>54873.132431999999</v>
      </c>
      <c r="N171" s="21">
        <v>38995.269839999994</v>
      </c>
      <c r="O171" s="21">
        <v>27420.107567999996</v>
      </c>
      <c r="P171" s="21">
        <f>IF((D171*233.456*3%)&gt;7004,7004,(D171*233.456*3%))</f>
        <v>7004</v>
      </c>
      <c r="Q171" s="21">
        <f t="shared" si="8"/>
        <v>618881.41459199996</v>
      </c>
      <c r="R171" s="21">
        <v>378548.90399999998</v>
      </c>
    </row>
    <row r="172" spans="1:18" ht="15.75" thickBot="1" x14ac:dyDescent="0.3">
      <c r="A172" s="21" t="s">
        <v>106</v>
      </c>
      <c r="B172" s="22" t="s">
        <v>90</v>
      </c>
      <c r="C172" s="22" t="s">
        <v>92</v>
      </c>
      <c r="D172" s="22">
        <v>1360</v>
      </c>
      <c r="E172" s="22">
        <v>42</v>
      </c>
      <c r="F172" s="21">
        <f t="shared" si="6"/>
        <v>317500.15999999997</v>
      </c>
      <c r="G172" s="21">
        <f t="shared" si="7"/>
        <v>47625.023999999998</v>
      </c>
      <c r="H172" s="21">
        <v>90000</v>
      </c>
      <c r="I172" s="21">
        <v>15000</v>
      </c>
      <c r="J172" s="21">
        <v>15000</v>
      </c>
      <c r="K172" s="26">
        <v>190250.04800000001</v>
      </c>
      <c r="L172" s="21">
        <f>SUM(F172:K172)</f>
        <v>675375.23199999996</v>
      </c>
      <c r="M172" s="21">
        <v>52927.276672</v>
      </c>
      <c r="N172" s="21">
        <v>36176.288639999984</v>
      </c>
      <c r="O172" s="21">
        <v>26447.763327999997</v>
      </c>
      <c r="P172" s="21">
        <f>IF((D172*233.456*3%)&gt;7004,7004,(D172*233.456*3%))</f>
        <v>7004</v>
      </c>
      <c r="Q172" s="21">
        <f t="shared" si="8"/>
        <v>605747.18003199995</v>
      </c>
      <c r="R172" s="21">
        <v>365125.18399999995</v>
      </c>
    </row>
    <row r="173" spans="1:18" ht="15.75" thickBot="1" x14ac:dyDescent="0.3">
      <c r="A173" s="21" t="s">
        <v>106</v>
      </c>
      <c r="B173" s="22" t="s">
        <v>90</v>
      </c>
      <c r="C173" s="22" t="s">
        <v>92</v>
      </c>
      <c r="D173" s="22">
        <v>1315</v>
      </c>
      <c r="E173" s="22">
        <v>41</v>
      </c>
      <c r="F173" s="21">
        <f t="shared" si="6"/>
        <v>306994.64</v>
      </c>
      <c r="G173" s="21">
        <f t="shared" si="7"/>
        <v>46049.196000000004</v>
      </c>
      <c r="H173" s="21">
        <v>90000</v>
      </c>
      <c r="I173" s="21">
        <v>15000</v>
      </c>
      <c r="J173" s="21">
        <v>15000</v>
      </c>
      <c r="K173" s="26">
        <v>187098.39199999999</v>
      </c>
      <c r="L173" s="21">
        <f>SUM(F173:K173)</f>
        <v>660142.228</v>
      </c>
      <c r="M173" s="21">
        <v>51176.006488000006</v>
      </c>
      <c r="N173" s="21">
        <v>33639.205560000002</v>
      </c>
      <c r="O173" s="21">
        <v>25572.653512000001</v>
      </c>
      <c r="P173" s="21">
        <f>IF((D173*233.456*3%)&gt;7004,7004,(D173*233.456*3%))</f>
        <v>7004</v>
      </c>
      <c r="Q173" s="21">
        <f t="shared" si="8"/>
        <v>593926.36892799998</v>
      </c>
      <c r="R173" s="21">
        <v>353043.83600000001</v>
      </c>
    </row>
    <row r="174" spans="1:18" ht="15.75" thickBot="1" x14ac:dyDescent="0.3">
      <c r="A174" s="21" t="s">
        <v>106</v>
      </c>
      <c r="B174" s="22" t="s">
        <v>90</v>
      </c>
      <c r="C174" s="22" t="s">
        <v>93</v>
      </c>
      <c r="D174" s="22">
        <v>2115</v>
      </c>
      <c r="E174" s="22">
        <v>13</v>
      </c>
      <c r="F174" s="21">
        <f t="shared" si="6"/>
        <v>493759.44</v>
      </c>
      <c r="G174" s="21">
        <f t="shared" si="7"/>
        <v>74063.915999999997</v>
      </c>
      <c r="H174" s="21">
        <v>90000</v>
      </c>
      <c r="I174" s="21">
        <v>15000</v>
      </c>
      <c r="J174" s="21">
        <v>15000</v>
      </c>
      <c r="K174" s="26">
        <v>243127.83199999999</v>
      </c>
      <c r="L174" s="21">
        <f>SUM(F174:K174)</f>
        <v>930951.18800000008</v>
      </c>
      <c r="M174" s="21">
        <v>82309.698648000005</v>
      </c>
      <c r="N174" s="21">
        <v>78742.904760000005</v>
      </c>
      <c r="O174" s="21">
        <v>41130.161352000003</v>
      </c>
      <c r="P174" s="21">
        <f>IF((D174*233.456*3%)&gt;7004,7004,(D174*233.456*3%))</f>
        <v>7004</v>
      </c>
      <c r="Q174" s="21">
        <f t="shared" si="8"/>
        <v>804074.12188800005</v>
      </c>
      <c r="R174" s="21">
        <v>567823.35600000003</v>
      </c>
    </row>
    <row r="175" spans="1:18" ht="15.75" thickBot="1" x14ac:dyDescent="0.3">
      <c r="A175" s="21" t="s">
        <v>106</v>
      </c>
      <c r="B175" s="22" t="s">
        <v>90</v>
      </c>
      <c r="C175" s="22" t="s">
        <v>93</v>
      </c>
      <c r="D175" s="22">
        <v>2105</v>
      </c>
      <c r="E175" s="22">
        <v>12</v>
      </c>
      <c r="F175" s="21">
        <f t="shared" si="6"/>
        <v>491424.88</v>
      </c>
      <c r="G175" s="21">
        <f t="shared" si="7"/>
        <v>73713.732000000004</v>
      </c>
      <c r="H175" s="21">
        <v>90000</v>
      </c>
      <c r="I175" s="21">
        <v>15000</v>
      </c>
      <c r="J175" s="21">
        <v>15000</v>
      </c>
      <c r="K175" s="26">
        <v>242427.46400000001</v>
      </c>
      <c r="L175" s="21">
        <f>SUM(F175:K175)</f>
        <v>927566.076</v>
      </c>
      <c r="M175" s="21">
        <v>81920.52749600001</v>
      </c>
      <c r="N175" s="21">
        <v>78179.108519999994</v>
      </c>
      <c r="O175" s="21">
        <v>40935.692503999999</v>
      </c>
      <c r="P175" s="21">
        <f>IF((D175*233.456*3%)&gt;7004,7004,(D175*233.456*3%))</f>
        <v>7004</v>
      </c>
      <c r="Q175" s="21">
        <f t="shared" si="8"/>
        <v>801447.27497599996</v>
      </c>
      <c r="R175" s="21">
        <v>565138.61199999996</v>
      </c>
    </row>
    <row r="176" spans="1:18" ht="15.75" thickBot="1" x14ac:dyDescent="0.3">
      <c r="A176" s="21" t="s">
        <v>106</v>
      </c>
      <c r="B176" s="22" t="s">
        <v>90</v>
      </c>
      <c r="C176" s="22" t="s">
        <v>93</v>
      </c>
      <c r="D176" s="22">
        <v>2040</v>
      </c>
      <c r="E176" s="22">
        <v>11</v>
      </c>
      <c r="F176" s="21">
        <f t="shared" si="6"/>
        <v>476250.24</v>
      </c>
      <c r="G176" s="21">
        <f t="shared" si="7"/>
        <v>71437.535999999993</v>
      </c>
      <c r="H176" s="21">
        <v>90000</v>
      </c>
      <c r="I176" s="21">
        <v>15000</v>
      </c>
      <c r="J176" s="21">
        <v>15000</v>
      </c>
      <c r="K176" s="26">
        <v>237875.07199999999</v>
      </c>
      <c r="L176" s="21">
        <f>SUM(F176:K176)</f>
        <v>905562.848</v>
      </c>
      <c r="M176" s="21">
        <v>79390.915008000011</v>
      </c>
      <c r="N176" s="21">
        <v>74514.432959999991</v>
      </c>
      <c r="O176" s="21">
        <v>39671.644992000001</v>
      </c>
      <c r="P176" s="21">
        <f>IF((D176*233.456*3%)&gt;7004,7004,(D176*233.456*3%))</f>
        <v>7004</v>
      </c>
      <c r="Q176" s="21">
        <f t="shared" si="8"/>
        <v>784372.77004800003</v>
      </c>
      <c r="R176" s="21">
        <v>547687.77599999995</v>
      </c>
    </row>
    <row r="177" spans="1:18" ht="15.75" thickBot="1" x14ac:dyDescent="0.3">
      <c r="A177" s="21" t="s">
        <v>106</v>
      </c>
      <c r="B177" s="22" t="s">
        <v>90</v>
      </c>
      <c r="C177" s="22" t="s">
        <v>93</v>
      </c>
      <c r="D177" s="22">
        <v>1905</v>
      </c>
      <c r="E177" s="22">
        <v>23</v>
      </c>
      <c r="F177" s="21">
        <f t="shared" si="6"/>
        <v>444733.68</v>
      </c>
      <c r="G177" s="21">
        <f t="shared" si="7"/>
        <v>66710.051999999996</v>
      </c>
      <c r="H177" s="21">
        <v>90000</v>
      </c>
      <c r="I177" s="21">
        <v>15000</v>
      </c>
      <c r="J177" s="21">
        <v>15000</v>
      </c>
      <c r="K177" s="26">
        <v>228420.10399999999</v>
      </c>
      <c r="L177" s="21">
        <f>SUM(F177:K177)</f>
        <v>859863.83599999989</v>
      </c>
      <c r="M177" s="21">
        <v>74137.104456000001</v>
      </c>
      <c r="N177" s="21">
        <v>66903.183719999986</v>
      </c>
      <c r="O177" s="21">
        <v>37046.315543999997</v>
      </c>
      <c r="P177" s="21">
        <f>IF((D177*233.456*3%)&gt;7004,7004,(D177*233.456*3%))</f>
        <v>7004</v>
      </c>
      <c r="Q177" s="21">
        <f t="shared" si="8"/>
        <v>748910.33673599991</v>
      </c>
      <c r="R177" s="21">
        <v>511443.73199999996</v>
      </c>
    </row>
    <row r="178" spans="1:18" ht="15.75" thickBot="1" x14ac:dyDescent="0.3">
      <c r="A178" s="21" t="s">
        <v>106</v>
      </c>
      <c r="B178" s="22" t="s">
        <v>90</v>
      </c>
      <c r="C178" s="22" t="s">
        <v>93</v>
      </c>
      <c r="D178" s="22">
        <v>1810</v>
      </c>
      <c r="E178" s="22">
        <v>22</v>
      </c>
      <c r="F178" s="21">
        <f t="shared" si="6"/>
        <v>422555.36</v>
      </c>
      <c r="G178" s="21">
        <f t="shared" si="7"/>
        <v>63383.303999999996</v>
      </c>
      <c r="H178" s="21">
        <v>90000</v>
      </c>
      <c r="I178" s="21">
        <v>15000</v>
      </c>
      <c r="J178" s="21">
        <v>15000</v>
      </c>
      <c r="K178" s="26">
        <v>221766.60800000001</v>
      </c>
      <c r="L178" s="21">
        <f>SUM(F178:K178)</f>
        <v>827705.272</v>
      </c>
      <c r="M178" s="21">
        <v>70439.978512000002</v>
      </c>
      <c r="N178" s="21">
        <v>61547.119439999995</v>
      </c>
      <c r="O178" s="21">
        <v>35198.861487999995</v>
      </c>
      <c r="P178" s="21">
        <f>IF((D178*233.456*3%)&gt;7004,7004,(D178*233.456*3%))</f>
        <v>7004</v>
      </c>
      <c r="Q178" s="21">
        <f t="shared" si="8"/>
        <v>723955.29107200005</v>
      </c>
      <c r="R178" s="21">
        <v>485938.66399999999</v>
      </c>
    </row>
    <row r="179" spans="1:18" ht="15.75" thickBot="1" x14ac:dyDescent="0.3">
      <c r="A179" s="21" t="s">
        <v>106</v>
      </c>
      <c r="B179" s="22" t="s">
        <v>90</v>
      </c>
      <c r="C179" s="22" t="s">
        <v>93</v>
      </c>
      <c r="D179" s="22">
        <v>1680</v>
      </c>
      <c r="E179" s="22">
        <v>21</v>
      </c>
      <c r="F179" s="21">
        <f t="shared" si="6"/>
        <v>392206.07999999996</v>
      </c>
      <c r="G179" s="21">
        <f t="shared" si="7"/>
        <v>58830.911999999989</v>
      </c>
      <c r="H179" s="21">
        <v>90000</v>
      </c>
      <c r="I179" s="21">
        <v>15000</v>
      </c>
      <c r="J179" s="21">
        <v>15000</v>
      </c>
      <c r="K179" s="26">
        <v>212661.82399999999</v>
      </c>
      <c r="L179" s="21">
        <f>SUM(F179:K179)</f>
        <v>783698.81599999999</v>
      </c>
      <c r="M179" s="21">
        <v>65380.753535999997</v>
      </c>
      <c r="N179" s="21">
        <v>54217.768319999988</v>
      </c>
      <c r="O179" s="21">
        <v>32670.766463999997</v>
      </c>
      <c r="P179" s="21">
        <f>IF((D179*233.456*3%)&gt;7004,7004,(D179*233.456*3%))</f>
        <v>7004</v>
      </c>
      <c r="Q179" s="21">
        <f t="shared" si="8"/>
        <v>689806.28121599997</v>
      </c>
      <c r="R179" s="21">
        <v>451036.99199999997</v>
      </c>
    </row>
    <row r="180" spans="1:18" ht="15.75" thickBot="1" x14ac:dyDescent="0.3">
      <c r="A180" s="21" t="s">
        <v>106</v>
      </c>
      <c r="B180" s="22" t="s">
        <v>90</v>
      </c>
      <c r="C180" s="22" t="s">
        <v>93</v>
      </c>
      <c r="D180" s="22">
        <v>1520</v>
      </c>
      <c r="E180" s="22">
        <v>33</v>
      </c>
      <c r="F180" s="21">
        <f t="shared" si="6"/>
        <v>354853.12</v>
      </c>
      <c r="G180" s="21">
        <f t="shared" si="7"/>
        <v>53227.968000000001</v>
      </c>
      <c r="H180" s="21">
        <v>90000</v>
      </c>
      <c r="I180" s="21">
        <v>15000</v>
      </c>
      <c r="J180" s="21">
        <v>15000</v>
      </c>
      <c r="K180" s="26">
        <v>201455.93599999999</v>
      </c>
      <c r="L180" s="21">
        <f>SUM(F180:K180)</f>
        <v>729537.02399999998</v>
      </c>
      <c r="M180" s="21">
        <v>59154.015104000006</v>
      </c>
      <c r="N180" s="21">
        <v>45197.028479999994</v>
      </c>
      <c r="O180" s="21">
        <v>29559.264896000001</v>
      </c>
      <c r="P180" s="21">
        <f>IF((D180*233.456*3%)&gt;7004,7004,(D180*233.456*3%))</f>
        <v>7004</v>
      </c>
      <c r="Q180" s="21">
        <f t="shared" si="8"/>
        <v>647776.73062399996</v>
      </c>
      <c r="R180" s="21">
        <v>408081.08799999999</v>
      </c>
    </row>
    <row r="181" spans="1:18" ht="15.75" thickBot="1" x14ac:dyDescent="0.3">
      <c r="A181" s="21" t="s">
        <v>106</v>
      </c>
      <c r="B181" s="22" t="s">
        <v>90</v>
      </c>
      <c r="C181" s="22" t="s">
        <v>93</v>
      </c>
      <c r="D181" s="22">
        <v>1390</v>
      </c>
      <c r="E181" s="22">
        <v>32</v>
      </c>
      <c r="F181" s="21">
        <f t="shared" si="6"/>
        <v>324503.83999999997</v>
      </c>
      <c r="G181" s="21">
        <f t="shared" si="7"/>
        <v>48675.575999999994</v>
      </c>
      <c r="H181" s="21">
        <v>90000</v>
      </c>
      <c r="I181" s="21">
        <v>15000</v>
      </c>
      <c r="J181" s="21">
        <v>15000</v>
      </c>
      <c r="K181" s="26">
        <v>192351.152</v>
      </c>
      <c r="L181" s="21">
        <f>SUM(F181:K181)</f>
        <v>685530.56799999997</v>
      </c>
      <c r="M181" s="21">
        <v>54094.790128000001</v>
      </c>
      <c r="N181" s="21">
        <v>37867.677359999987</v>
      </c>
      <c r="O181" s="21">
        <v>27031.169871999999</v>
      </c>
      <c r="P181" s="21">
        <f>IF((D181*233.456*3%)&gt;7004,7004,(D181*233.456*3%))</f>
        <v>7004</v>
      </c>
      <c r="Q181" s="21">
        <f t="shared" si="8"/>
        <v>613627.720768</v>
      </c>
      <c r="R181" s="21">
        <v>373179.41599999997</v>
      </c>
    </row>
    <row r="182" spans="1:18" ht="15.75" thickBot="1" x14ac:dyDescent="0.3">
      <c r="A182" s="21" t="s">
        <v>106</v>
      </c>
      <c r="B182" s="22" t="s">
        <v>90</v>
      </c>
      <c r="C182" s="22" t="s">
        <v>93</v>
      </c>
      <c r="D182" s="22">
        <v>1295</v>
      </c>
      <c r="E182" s="22">
        <v>31</v>
      </c>
      <c r="F182" s="21">
        <f t="shared" si="6"/>
        <v>302325.51999999996</v>
      </c>
      <c r="G182" s="21">
        <f t="shared" si="7"/>
        <v>45348.827999999994</v>
      </c>
      <c r="H182" s="21">
        <v>90000</v>
      </c>
      <c r="I182" s="21">
        <v>15000</v>
      </c>
      <c r="J182" s="21">
        <v>15000</v>
      </c>
      <c r="K182" s="26">
        <v>185697.65600000002</v>
      </c>
      <c r="L182" s="21">
        <f>SUM(F182:K182)</f>
        <v>653372.00399999996</v>
      </c>
      <c r="M182" s="21">
        <v>50397.664184000001</v>
      </c>
      <c r="N182" s="21">
        <v>32511.613079999988</v>
      </c>
      <c r="O182" s="21">
        <v>25183.715815999996</v>
      </c>
      <c r="P182" s="21">
        <f>IF((D182*233.456*3%)&gt;7004,7004,(D182*233.456*3%))</f>
        <v>7004</v>
      </c>
      <c r="Q182" s="21">
        <f t="shared" si="8"/>
        <v>588672.67510400002</v>
      </c>
      <c r="R182" s="21">
        <v>347674.34799999994</v>
      </c>
    </row>
    <row r="183" spans="1:18" ht="15.75" thickBot="1" x14ac:dyDescent="0.3">
      <c r="A183" s="21" t="s">
        <v>106</v>
      </c>
      <c r="B183" s="22" t="s">
        <v>90</v>
      </c>
      <c r="C183" s="22" t="s">
        <v>93</v>
      </c>
      <c r="D183" s="22">
        <v>1165</v>
      </c>
      <c r="E183" s="22">
        <v>44</v>
      </c>
      <c r="F183" s="21">
        <f t="shared" si="6"/>
        <v>271976.24</v>
      </c>
      <c r="G183" s="21">
        <f t="shared" si="7"/>
        <v>40796.435999999994</v>
      </c>
      <c r="H183" s="21">
        <v>90000</v>
      </c>
      <c r="I183" s="21">
        <v>15000</v>
      </c>
      <c r="J183" s="21">
        <v>15000</v>
      </c>
      <c r="K183" s="26">
        <v>176592.872</v>
      </c>
      <c r="L183" s="21">
        <f>SUM(F183:K183)</f>
        <v>609365.54799999995</v>
      </c>
      <c r="M183" s="21">
        <v>45338.439208000003</v>
      </c>
      <c r="N183" s="21">
        <v>25182.261959999996</v>
      </c>
      <c r="O183" s="21">
        <v>22655.620791999998</v>
      </c>
      <c r="P183" s="21">
        <f>IF((D183*233.456*3%)&gt;7004,7004,(D183*233.456*3%))</f>
        <v>7004</v>
      </c>
      <c r="Q183" s="21">
        <f t="shared" si="8"/>
        <v>554523.66524799995</v>
      </c>
      <c r="R183" s="21">
        <v>312772.67599999998</v>
      </c>
    </row>
    <row r="184" spans="1:18" ht="15.75" thickBot="1" x14ac:dyDescent="0.3">
      <c r="A184" s="21" t="s">
        <v>106</v>
      </c>
      <c r="B184" s="22" t="s">
        <v>90</v>
      </c>
      <c r="C184" s="22" t="s">
        <v>93</v>
      </c>
      <c r="D184" s="22">
        <v>1070</v>
      </c>
      <c r="E184" s="22">
        <v>43</v>
      </c>
      <c r="F184" s="21">
        <f t="shared" si="6"/>
        <v>249797.91999999998</v>
      </c>
      <c r="G184" s="21">
        <f t="shared" si="7"/>
        <v>37469.687999999995</v>
      </c>
      <c r="H184" s="21">
        <v>90000</v>
      </c>
      <c r="I184" s="21">
        <v>15000</v>
      </c>
      <c r="J184" s="21">
        <v>15000</v>
      </c>
      <c r="K184" s="26">
        <v>169939.37599999999</v>
      </c>
      <c r="L184" s="21">
        <f>SUM(F184:K184)</f>
        <v>577206.98399999994</v>
      </c>
      <c r="M184" s="21">
        <v>41641.313264000004</v>
      </c>
      <c r="N184" s="21">
        <v>19826.197679999997</v>
      </c>
      <c r="O184" s="21">
        <v>20808.166735999999</v>
      </c>
      <c r="P184" s="21">
        <f>IF((D184*233.456*3%)&gt;7004,7004,(D184*233.456*3%))</f>
        <v>7004</v>
      </c>
      <c r="Q184" s="21">
        <f t="shared" si="8"/>
        <v>529568.61958399997</v>
      </c>
      <c r="R184" s="21">
        <v>287267.60800000001</v>
      </c>
    </row>
    <row r="185" spans="1:18" ht="15.75" thickBot="1" x14ac:dyDescent="0.3">
      <c r="A185" s="21" t="s">
        <v>106</v>
      </c>
      <c r="B185" s="22" t="s">
        <v>90</v>
      </c>
      <c r="C185" s="22" t="s">
        <v>93</v>
      </c>
      <c r="D185" s="22">
        <v>1005</v>
      </c>
      <c r="E185" s="22">
        <v>42</v>
      </c>
      <c r="F185" s="21">
        <f t="shared" si="6"/>
        <v>234623.28</v>
      </c>
      <c r="G185" s="21">
        <f t="shared" si="7"/>
        <v>35193.491999999998</v>
      </c>
      <c r="H185" s="21">
        <v>90000</v>
      </c>
      <c r="I185" s="21">
        <v>15000</v>
      </c>
      <c r="J185" s="21">
        <v>15000</v>
      </c>
      <c r="K185" s="26">
        <v>165386.984</v>
      </c>
      <c r="L185" s="21">
        <f>SUM(F185:K185)</f>
        <v>555203.75600000005</v>
      </c>
      <c r="M185" s="21">
        <v>39111.700776000005</v>
      </c>
      <c r="N185" s="21">
        <v>16161.522120000001</v>
      </c>
      <c r="O185" s="21">
        <v>19544.119223999998</v>
      </c>
      <c r="P185" s="21">
        <f>IF((D185*233.456*3%)&gt;7004,7004,(D185*233.456*3%))</f>
        <v>7004</v>
      </c>
      <c r="Q185" s="21">
        <f t="shared" si="8"/>
        <v>512494.11465600005</v>
      </c>
      <c r="R185" s="21">
        <v>269816.772</v>
      </c>
    </row>
    <row r="186" spans="1:18" ht="15.75" thickBot="1" x14ac:dyDescent="0.3">
      <c r="A186" s="21" t="s">
        <v>106</v>
      </c>
      <c r="B186" s="22" t="s">
        <v>90</v>
      </c>
      <c r="C186" s="22" t="s">
        <v>93</v>
      </c>
      <c r="D186" s="22">
        <v>965</v>
      </c>
      <c r="E186" s="22">
        <v>41</v>
      </c>
      <c r="F186" s="21">
        <f t="shared" si="6"/>
        <v>225285.03999999998</v>
      </c>
      <c r="G186" s="21">
        <f t="shared" si="7"/>
        <v>33792.755999999994</v>
      </c>
      <c r="H186" s="21">
        <v>90000</v>
      </c>
      <c r="I186" s="21">
        <v>15000</v>
      </c>
      <c r="J186" s="21">
        <v>15000</v>
      </c>
      <c r="K186" s="26">
        <v>162585.51199999999</v>
      </c>
      <c r="L186" s="21">
        <f>SUM(F186:K186)</f>
        <v>541663.30799999996</v>
      </c>
      <c r="M186" s="21">
        <v>37555.016168000002</v>
      </c>
      <c r="N186" s="21">
        <v>13906.337159999995</v>
      </c>
      <c r="O186" s="21">
        <v>18766.243831999996</v>
      </c>
      <c r="P186" s="21">
        <f>IF((D186*233.456*3%)&gt;7004,7004,(D186*233.456*3%))</f>
        <v>6758.551199999999</v>
      </c>
      <c r="Q186" s="21">
        <f t="shared" si="8"/>
        <v>502232.17580799997</v>
      </c>
      <c r="R186" s="21">
        <v>259077.79599999997</v>
      </c>
    </row>
    <row r="187" spans="1:18" ht="15.75" thickBot="1" x14ac:dyDescent="0.3">
      <c r="A187" s="21" t="s">
        <v>106</v>
      </c>
      <c r="B187" s="22" t="s">
        <v>90</v>
      </c>
      <c r="C187" s="22" t="s">
        <v>94</v>
      </c>
      <c r="D187" s="22">
        <v>2095</v>
      </c>
      <c r="E187" s="22">
        <v>13</v>
      </c>
      <c r="F187" s="21">
        <f t="shared" si="6"/>
        <v>489090.31999999995</v>
      </c>
      <c r="G187" s="21">
        <f t="shared" si="7"/>
        <v>73363.547999999995</v>
      </c>
      <c r="H187" s="21">
        <v>70000</v>
      </c>
      <c r="I187" s="21">
        <v>15000</v>
      </c>
      <c r="J187" s="21">
        <v>15000</v>
      </c>
      <c r="K187" s="26">
        <v>241727.09599999999</v>
      </c>
      <c r="L187" s="21">
        <f>SUM(F187:K187)</f>
        <v>904180.96399999992</v>
      </c>
      <c r="M187" s="21">
        <v>81531.356344</v>
      </c>
      <c r="N187" s="21">
        <v>77615.312279999984</v>
      </c>
      <c r="O187" s="21">
        <v>40741.223655999995</v>
      </c>
      <c r="P187" s="21">
        <f>IF((D187*233.456*3%)&gt;7004,7004,(D187*233.456*3%))</f>
        <v>7004</v>
      </c>
      <c r="Q187" s="21">
        <f t="shared" si="8"/>
        <v>778820.42806399998</v>
      </c>
      <c r="R187" s="21">
        <v>562453.8679999999</v>
      </c>
    </row>
    <row r="188" spans="1:18" ht="15.75" thickBot="1" x14ac:dyDescent="0.3">
      <c r="A188" s="21" t="s">
        <v>106</v>
      </c>
      <c r="B188" s="22" t="s">
        <v>90</v>
      </c>
      <c r="C188" s="22" t="s">
        <v>94</v>
      </c>
      <c r="D188" s="22">
        <v>2065</v>
      </c>
      <c r="E188" s="22">
        <v>12</v>
      </c>
      <c r="F188" s="21">
        <f t="shared" si="6"/>
        <v>482086.63999999996</v>
      </c>
      <c r="G188" s="21">
        <f t="shared" si="7"/>
        <v>72312.995999999985</v>
      </c>
      <c r="H188" s="21">
        <v>70000</v>
      </c>
      <c r="I188" s="21">
        <v>15000</v>
      </c>
      <c r="J188" s="21">
        <v>15000</v>
      </c>
      <c r="K188" s="26">
        <v>239625.992</v>
      </c>
      <c r="L188" s="21">
        <f>SUM(F188:K188)</f>
        <v>894025.62799999991</v>
      </c>
      <c r="M188" s="21">
        <v>80363.842887999999</v>
      </c>
      <c r="N188" s="21">
        <v>75923.923559999981</v>
      </c>
      <c r="O188" s="21">
        <v>40157.817111999997</v>
      </c>
      <c r="P188" s="21">
        <f>IF((D188*233.456*3%)&gt;7004,7004,(D188*233.456*3%))</f>
        <v>7004</v>
      </c>
      <c r="Q188" s="21">
        <f t="shared" si="8"/>
        <v>770939.88732799992</v>
      </c>
      <c r="R188" s="21">
        <v>554399.63599999994</v>
      </c>
    </row>
    <row r="189" spans="1:18" ht="15.75" thickBot="1" x14ac:dyDescent="0.3">
      <c r="A189" s="21" t="s">
        <v>106</v>
      </c>
      <c r="B189" s="22" t="s">
        <v>90</v>
      </c>
      <c r="C189" s="22" t="s">
        <v>94</v>
      </c>
      <c r="D189" s="22">
        <v>2015</v>
      </c>
      <c r="E189" s="22">
        <v>11</v>
      </c>
      <c r="F189" s="21">
        <f t="shared" si="6"/>
        <v>470413.83999999997</v>
      </c>
      <c r="G189" s="21">
        <f t="shared" si="7"/>
        <v>70562.075999999986</v>
      </c>
      <c r="H189" s="21">
        <v>70000</v>
      </c>
      <c r="I189" s="21">
        <v>15000</v>
      </c>
      <c r="J189" s="21">
        <v>15000</v>
      </c>
      <c r="K189" s="26">
        <v>236124.152</v>
      </c>
      <c r="L189" s="21">
        <f>SUM(F189:K189)</f>
        <v>877100.06799999997</v>
      </c>
      <c r="M189" s="21">
        <v>78417.987128000008</v>
      </c>
      <c r="N189" s="21">
        <v>73104.942359999986</v>
      </c>
      <c r="O189" s="21">
        <v>39185.472871999998</v>
      </c>
      <c r="P189" s="21">
        <f>IF((D189*233.456*3%)&gt;7004,7004,(D189*233.456*3%))</f>
        <v>7004</v>
      </c>
      <c r="Q189" s="21">
        <f t="shared" si="8"/>
        <v>757805.65276800003</v>
      </c>
      <c r="R189" s="21">
        <v>540975.91599999997</v>
      </c>
    </row>
    <row r="190" spans="1:18" ht="15.75" thickBot="1" x14ac:dyDescent="0.3">
      <c r="A190" s="21" t="s">
        <v>106</v>
      </c>
      <c r="B190" s="22" t="s">
        <v>90</v>
      </c>
      <c r="C190" s="22" t="s">
        <v>94</v>
      </c>
      <c r="D190" s="22">
        <v>1890</v>
      </c>
      <c r="E190" s="22">
        <v>23</v>
      </c>
      <c r="F190" s="21">
        <f t="shared" si="6"/>
        <v>441231.83999999997</v>
      </c>
      <c r="G190" s="21">
        <f t="shared" si="7"/>
        <v>66184.775999999998</v>
      </c>
      <c r="H190" s="21">
        <v>70000</v>
      </c>
      <c r="I190" s="21">
        <v>15000</v>
      </c>
      <c r="J190" s="21">
        <v>15000</v>
      </c>
      <c r="K190" s="26">
        <v>227369.552</v>
      </c>
      <c r="L190" s="21">
        <f>SUM(F190:K190)</f>
        <v>834786.16799999995</v>
      </c>
      <c r="M190" s="21">
        <v>73553.347728000008</v>
      </c>
      <c r="N190" s="21">
        <v>66057.489359999992</v>
      </c>
      <c r="O190" s="21">
        <v>36754.612271999998</v>
      </c>
      <c r="P190" s="21">
        <f>IF((D190*233.456*3%)&gt;7004,7004,(D190*233.456*3%))</f>
        <v>7004</v>
      </c>
      <c r="Q190" s="21">
        <f t="shared" si="8"/>
        <v>724970.066368</v>
      </c>
      <c r="R190" s="21">
        <v>507416.61599999998</v>
      </c>
    </row>
    <row r="191" spans="1:18" ht="15.75" thickBot="1" x14ac:dyDescent="0.3">
      <c r="A191" s="21" t="s">
        <v>106</v>
      </c>
      <c r="B191" s="22" t="s">
        <v>90</v>
      </c>
      <c r="C191" s="22" t="s">
        <v>94</v>
      </c>
      <c r="D191" s="22">
        <v>1735</v>
      </c>
      <c r="E191" s="22">
        <v>22</v>
      </c>
      <c r="F191" s="21">
        <f t="shared" si="6"/>
        <v>405046.16</v>
      </c>
      <c r="G191" s="21">
        <f t="shared" si="7"/>
        <v>60756.923999999992</v>
      </c>
      <c r="H191" s="21">
        <v>70000</v>
      </c>
      <c r="I191" s="21">
        <v>15000</v>
      </c>
      <c r="J191" s="21">
        <v>15000</v>
      </c>
      <c r="K191" s="26">
        <v>216513.848</v>
      </c>
      <c r="L191" s="21">
        <f>SUM(F191:K191)</f>
        <v>782316.93200000003</v>
      </c>
      <c r="M191" s="21">
        <v>67521.194872000007</v>
      </c>
      <c r="N191" s="21">
        <v>57318.647639999996</v>
      </c>
      <c r="O191" s="21">
        <v>33740.345128000001</v>
      </c>
      <c r="P191" s="21">
        <f>IF((D191*233.456*3%)&gt;7004,7004,(D191*233.456*3%))</f>
        <v>7004</v>
      </c>
      <c r="Q191" s="21">
        <f t="shared" si="8"/>
        <v>684253.93923200003</v>
      </c>
      <c r="R191" s="21">
        <v>465803.08399999997</v>
      </c>
    </row>
    <row r="192" spans="1:18" ht="15.75" thickBot="1" x14ac:dyDescent="0.3">
      <c r="A192" s="21" t="s">
        <v>106</v>
      </c>
      <c r="B192" s="22" t="s">
        <v>90</v>
      </c>
      <c r="C192" s="22" t="s">
        <v>94</v>
      </c>
      <c r="D192" s="22">
        <v>1605</v>
      </c>
      <c r="E192" s="22">
        <v>21</v>
      </c>
      <c r="F192" s="21">
        <f t="shared" si="6"/>
        <v>374696.88</v>
      </c>
      <c r="G192" s="21">
        <f t="shared" si="7"/>
        <v>56204.531999999999</v>
      </c>
      <c r="H192" s="21">
        <v>70000</v>
      </c>
      <c r="I192" s="21">
        <v>15000</v>
      </c>
      <c r="J192" s="21">
        <v>15000</v>
      </c>
      <c r="K192" s="26">
        <v>207409.06400000001</v>
      </c>
      <c r="L192" s="21">
        <f>SUM(F192:K192)</f>
        <v>738310.47600000002</v>
      </c>
      <c r="M192" s="21">
        <v>62461.96989600001</v>
      </c>
      <c r="N192" s="21">
        <v>49989.296520000004</v>
      </c>
      <c r="O192" s="21">
        <v>31212.250103999999</v>
      </c>
      <c r="P192" s="21">
        <f>IF((D192*233.456*3%)&gt;7004,7004,(D192*233.456*3%))</f>
        <v>7004</v>
      </c>
      <c r="Q192" s="21">
        <f t="shared" si="8"/>
        <v>650104.92937600007</v>
      </c>
      <c r="R192" s="21">
        <v>430901.41200000001</v>
      </c>
    </row>
    <row r="193" spans="1:18" ht="15.75" thickBot="1" x14ac:dyDescent="0.3">
      <c r="A193" s="21" t="s">
        <v>106</v>
      </c>
      <c r="B193" s="22" t="s">
        <v>90</v>
      </c>
      <c r="C193" s="22" t="s">
        <v>94</v>
      </c>
      <c r="D193" s="22">
        <v>1440</v>
      </c>
      <c r="E193" s="22">
        <v>33</v>
      </c>
      <c r="F193" s="21">
        <f t="shared" si="6"/>
        <v>336176.63999999996</v>
      </c>
      <c r="G193" s="21">
        <f t="shared" si="7"/>
        <v>50426.495999999992</v>
      </c>
      <c r="H193" s="21">
        <v>70000</v>
      </c>
      <c r="I193" s="21">
        <v>15000</v>
      </c>
      <c r="J193" s="21">
        <v>15000</v>
      </c>
      <c r="K193" s="26">
        <v>195852.992</v>
      </c>
      <c r="L193" s="21">
        <f>SUM(F193:K193)</f>
        <v>682456.12799999991</v>
      </c>
      <c r="M193" s="21">
        <v>56040.645887999999</v>
      </c>
      <c r="N193" s="21">
        <v>40686.658559999982</v>
      </c>
      <c r="O193" s="21">
        <v>28003.514111999997</v>
      </c>
      <c r="P193" s="21">
        <f>IF((D193*233.456*3%)&gt;7004,7004,(D193*233.456*3%))</f>
        <v>7004</v>
      </c>
      <c r="Q193" s="21">
        <f t="shared" si="8"/>
        <v>606761.95532799989</v>
      </c>
      <c r="R193" s="21">
        <v>386603.13599999994</v>
      </c>
    </row>
    <row r="194" spans="1:18" ht="15.75" thickBot="1" x14ac:dyDescent="0.3">
      <c r="A194" s="21" t="s">
        <v>106</v>
      </c>
      <c r="B194" s="22" t="s">
        <v>90</v>
      </c>
      <c r="C194" s="22" t="s">
        <v>94</v>
      </c>
      <c r="D194" s="22">
        <v>1315</v>
      </c>
      <c r="E194" s="22">
        <v>32</v>
      </c>
      <c r="F194" s="21">
        <f t="shared" si="6"/>
        <v>306994.64</v>
      </c>
      <c r="G194" s="21">
        <f t="shared" si="7"/>
        <v>46049.196000000004</v>
      </c>
      <c r="H194" s="21">
        <v>70000</v>
      </c>
      <c r="I194" s="21">
        <v>15000</v>
      </c>
      <c r="J194" s="21">
        <v>15000</v>
      </c>
      <c r="K194" s="26">
        <v>187098.39199999999</v>
      </c>
      <c r="L194" s="21">
        <f>SUM(F194:K194)</f>
        <v>640142.228</v>
      </c>
      <c r="M194" s="21">
        <v>51176.006488000006</v>
      </c>
      <c r="N194" s="21">
        <v>33639.205560000002</v>
      </c>
      <c r="O194" s="21">
        <v>25572.653512000001</v>
      </c>
      <c r="P194" s="21">
        <f>IF((D194*233.456*3%)&gt;7004,7004,(D194*233.456*3%))</f>
        <v>7004</v>
      </c>
      <c r="Q194" s="21">
        <f t="shared" si="8"/>
        <v>573926.36892799998</v>
      </c>
      <c r="R194" s="21">
        <v>353043.83600000001</v>
      </c>
    </row>
    <row r="195" spans="1:18" ht="15.75" thickBot="1" x14ac:dyDescent="0.3">
      <c r="A195" s="21" t="s">
        <v>106</v>
      </c>
      <c r="B195" s="22" t="s">
        <v>90</v>
      </c>
      <c r="C195" s="22" t="s">
        <v>94</v>
      </c>
      <c r="D195" s="22">
        <v>1220</v>
      </c>
      <c r="E195" s="22">
        <v>31</v>
      </c>
      <c r="F195" s="21">
        <f t="shared" ref="F195:F258" si="9">D195*233.456</f>
        <v>284816.32</v>
      </c>
      <c r="G195" s="21">
        <f t="shared" ref="G195:G258" si="10">F195*15%</f>
        <v>42722.447999999997</v>
      </c>
      <c r="H195" s="21">
        <v>70000</v>
      </c>
      <c r="I195" s="21">
        <v>15000</v>
      </c>
      <c r="J195" s="21">
        <v>15000</v>
      </c>
      <c r="K195" s="26">
        <v>180444.89600000001</v>
      </c>
      <c r="L195" s="21">
        <f>SUM(F195:K195)</f>
        <v>607983.66399999999</v>
      </c>
      <c r="M195" s="21">
        <v>47478.880544000007</v>
      </c>
      <c r="N195" s="21">
        <v>28283.141279999996</v>
      </c>
      <c r="O195" s="21">
        <v>23725.199456000002</v>
      </c>
      <c r="P195" s="21">
        <f>IF((D195*233.456*3%)&gt;7004,7004,(D195*233.456*3%))</f>
        <v>7004</v>
      </c>
      <c r="Q195" s="21">
        <f t="shared" ref="Q195:Q258" si="11">L195-SUM(N195:P195)</f>
        <v>548971.32326400001</v>
      </c>
      <c r="R195" s="21">
        <v>327538.76799999998</v>
      </c>
    </row>
    <row r="196" spans="1:18" ht="15.75" thickBot="1" x14ac:dyDescent="0.3">
      <c r="A196" s="21" t="s">
        <v>106</v>
      </c>
      <c r="B196" s="22" t="s">
        <v>90</v>
      </c>
      <c r="C196" s="22" t="s">
        <v>94</v>
      </c>
      <c r="D196" s="22">
        <v>1100</v>
      </c>
      <c r="E196" s="22">
        <v>44</v>
      </c>
      <c r="F196" s="21">
        <f t="shared" si="9"/>
        <v>256801.59999999998</v>
      </c>
      <c r="G196" s="21">
        <f t="shared" si="10"/>
        <v>38520.239999999998</v>
      </c>
      <c r="H196" s="21">
        <v>70000</v>
      </c>
      <c r="I196" s="21">
        <v>15000</v>
      </c>
      <c r="J196" s="21">
        <v>15000</v>
      </c>
      <c r="K196" s="26">
        <v>172040.47999999998</v>
      </c>
      <c r="L196" s="21">
        <f>SUM(F196:K196)</f>
        <v>567362.31999999995</v>
      </c>
      <c r="M196" s="21">
        <v>42808.826719999997</v>
      </c>
      <c r="N196" s="21">
        <v>21517.586399999993</v>
      </c>
      <c r="O196" s="21">
        <v>21391.573279999997</v>
      </c>
      <c r="P196" s="21">
        <f>IF((D196*233.456*3%)&gt;7004,7004,(D196*233.456*3%))</f>
        <v>7004</v>
      </c>
      <c r="Q196" s="21">
        <f t="shared" si="11"/>
        <v>517449.16031999997</v>
      </c>
      <c r="R196" s="21">
        <v>295321.83999999997</v>
      </c>
    </row>
    <row r="197" spans="1:18" ht="15.75" thickBot="1" x14ac:dyDescent="0.3">
      <c r="A197" s="21" t="s">
        <v>106</v>
      </c>
      <c r="B197" s="22" t="s">
        <v>90</v>
      </c>
      <c r="C197" s="22" t="s">
        <v>94</v>
      </c>
      <c r="D197" s="22">
        <v>1000</v>
      </c>
      <c r="E197" s="22">
        <v>43</v>
      </c>
      <c r="F197" s="21">
        <f t="shared" si="9"/>
        <v>233456</v>
      </c>
      <c r="G197" s="21">
        <f t="shared" si="10"/>
        <v>35018.400000000001</v>
      </c>
      <c r="H197" s="21">
        <v>70000</v>
      </c>
      <c r="I197" s="21">
        <v>15000</v>
      </c>
      <c r="J197" s="21">
        <v>15000</v>
      </c>
      <c r="K197" s="26">
        <v>165036.79999999999</v>
      </c>
      <c r="L197" s="21">
        <f>SUM(F197:K197)</f>
        <v>533511.19999999995</v>
      </c>
      <c r="M197" s="21">
        <v>38917.1152</v>
      </c>
      <c r="N197" s="21">
        <v>15879.624000000003</v>
      </c>
      <c r="O197" s="21">
        <v>19446.8848</v>
      </c>
      <c r="P197" s="21">
        <f>IF((D197*233.456*3%)&gt;7004,7004,(D197*233.456*3%))</f>
        <v>7003.6799999999994</v>
      </c>
      <c r="Q197" s="21">
        <f t="shared" si="11"/>
        <v>491181.01119999995</v>
      </c>
      <c r="R197" s="21">
        <v>268474.40000000002</v>
      </c>
    </row>
    <row r="198" spans="1:18" ht="15.75" thickBot="1" x14ac:dyDescent="0.3">
      <c r="A198" s="21" t="s">
        <v>106</v>
      </c>
      <c r="B198" s="22" t="s">
        <v>90</v>
      </c>
      <c r="C198" s="22" t="s">
        <v>94</v>
      </c>
      <c r="D198" s="22">
        <v>940</v>
      </c>
      <c r="E198" s="22">
        <v>42</v>
      </c>
      <c r="F198" s="21">
        <f t="shared" si="9"/>
        <v>219448.63999999998</v>
      </c>
      <c r="G198" s="21">
        <f t="shared" si="10"/>
        <v>32917.295999999995</v>
      </c>
      <c r="H198" s="21">
        <v>70000</v>
      </c>
      <c r="I198" s="21">
        <v>15000</v>
      </c>
      <c r="J198" s="21">
        <v>15000</v>
      </c>
      <c r="K198" s="26">
        <v>160834.592</v>
      </c>
      <c r="L198" s="21">
        <f>SUM(F198:K198)</f>
        <v>513200.52799999999</v>
      </c>
      <c r="M198" s="21">
        <v>36582.088287999999</v>
      </c>
      <c r="N198" s="21">
        <v>12496.846559999998</v>
      </c>
      <c r="O198" s="21">
        <v>18280.071711999997</v>
      </c>
      <c r="P198" s="21">
        <f>IF((D198*233.456*3%)&gt;7004,7004,(D198*233.456*3%))</f>
        <v>6583.4591999999993</v>
      </c>
      <c r="Q198" s="21">
        <f t="shared" si="11"/>
        <v>475840.15052799997</v>
      </c>
      <c r="R198" s="21">
        <v>252365.93599999999</v>
      </c>
    </row>
    <row r="199" spans="1:18" ht="15.75" thickBot="1" x14ac:dyDescent="0.3">
      <c r="A199" s="21" t="s">
        <v>106</v>
      </c>
      <c r="B199" s="22" t="s">
        <v>90</v>
      </c>
      <c r="C199" s="22" t="s">
        <v>94</v>
      </c>
      <c r="D199" s="22">
        <v>895</v>
      </c>
      <c r="E199" s="22">
        <v>41</v>
      </c>
      <c r="F199" s="21">
        <f t="shared" si="9"/>
        <v>208943.12</v>
      </c>
      <c r="G199" s="21">
        <f t="shared" si="10"/>
        <v>31341.467999999997</v>
      </c>
      <c r="H199" s="21">
        <v>70000</v>
      </c>
      <c r="I199" s="21">
        <v>15000</v>
      </c>
      <c r="J199" s="21">
        <v>15000</v>
      </c>
      <c r="K199" s="26">
        <v>157682.93599999999</v>
      </c>
      <c r="L199" s="21">
        <f>SUM(F199:K199)</f>
        <v>497967.52399999998</v>
      </c>
      <c r="M199" s="21">
        <v>34830.818104000005</v>
      </c>
      <c r="N199" s="21">
        <v>9959.7634799999978</v>
      </c>
      <c r="O199" s="21">
        <v>17404.961896000001</v>
      </c>
      <c r="P199" s="21">
        <f>IF((D199*233.456*3%)&gt;7004,7004,(D199*233.456*3%))</f>
        <v>6268.2936</v>
      </c>
      <c r="Q199" s="21">
        <f t="shared" si="11"/>
        <v>464334.50502399995</v>
      </c>
      <c r="R199" s="21">
        <v>240284.58799999999</v>
      </c>
    </row>
    <row r="200" spans="1:18" ht="15.75" thickBot="1" x14ac:dyDescent="0.3">
      <c r="A200" s="21" t="s">
        <v>106</v>
      </c>
      <c r="B200" s="22" t="s">
        <v>90</v>
      </c>
      <c r="C200" s="22" t="s">
        <v>95</v>
      </c>
      <c r="D200" s="22">
        <v>1790</v>
      </c>
      <c r="E200" s="22">
        <v>13</v>
      </c>
      <c r="F200" s="21">
        <f t="shared" si="9"/>
        <v>417886.24</v>
      </c>
      <c r="G200" s="21">
        <f t="shared" si="10"/>
        <v>62682.935999999994</v>
      </c>
      <c r="H200" s="21">
        <v>60000</v>
      </c>
      <c r="I200" s="21">
        <v>15000</v>
      </c>
      <c r="J200" s="21">
        <v>15000</v>
      </c>
      <c r="K200" s="26">
        <v>200365.87199999997</v>
      </c>
      <c r="L200" s="21">
        <f>SUM(F200:K200)</f>
        <v>770935.04799999995</v>
      </c>
      <c r="M200" s="21">
        <v>69661.636208000011</v>
      </c>
      <c r="N200" s="21">
        <v>60419.526959999988</v>
      </c>
      <c r="O200" s="21">
        <v>34809.923792000001</v>
      </c>
      <c r="P200" s="21">
        <f>IF((D200*233.456*3%)&gt;7004,7004,(D200*233.456*3%))</f>
        <v>7004</v>
      </c>
      <c r="Q200" s="21">
        <f t="shared" si="11"/>
        <v>668701.59724799998</v>
      </c>
      <c r="R200" s="21">
        <v>480569.17599999998</v>
      </c>
    </row>
    <row r="201" spans="1:18" ht="15.75" thickBot="1" x14ac:dyDescent="0.3">
      <c r="A201" s="21" t="s">
        <v>106</v>
      </c>
      <c r="B201" s="22" t="s">
        <v>90</v>
      </c>
      <c r="C201" s="22" t="s">
        <v>95</v>
      </c>
      <c r="D201" s="22">
        <v>1760</v>
      </c>
      <c r="E201" s="22">
        <v>12</v>
      </c>
      <c r="F201" s="21">
        <f t="shared" si="9"/>
        <v>410882.56</v>
      </c>
      <c r="G201" s="21">
        <f t="shared" si="10"/>
        <v>61632.383999999998</v>
      </c>
      <c r="H201" s="21">
        <v>60000</v>
      </c>
      <c r="I201" s="21">
        <v>15000</v>
      </c>
      <c r="J201" s="21">
        <v>15000</v>
      </c>
      <c r="K201" s="26">
        <v>198264.76799999998</v>
      </c>
      <c r="L201" s="21">
        <f>SUM(F201:K201)</f>
        <v>760779.71200000006</v>
      </c>
      <c r="M201" s="21">
        <v>68494.12275200001</v>
      </c>
      <c r="N201" s="21">
        <v>58728.13824</v>
      </c>
      <c r="O201" s="21">
        <v>34226.517247999996</v>
      </c>
      <c r="P201" s="21">
        <f>IF((D201*233.456*3%)&gt;7004,7004,(D201*233.456*3%))</f>
        <v>7004</v>
      </c>
      <c r="Q201" s="21">
        <f t="shared" si="11"/>
        <v>660821.05651200004</v>
      </c>
      <c r="R201" s="21">
        <v>472514.94400000002</v>
      </c>
    </row>
    <row r="202" spans="1:18" ht="15.75" thickBot="1" x14ac:dyDescent="0.3">
      <c r="A202" s="21" t="s">
        <v>106</v>
      </c>
      <c r="B202" s="22" t="s">
        <v>90</v>
      </c>
      <c r="C202" s="22" t="s">
        <v>95</v>
      </c>
      <c r="D202" s="22">
        <v>1735</v>
      </c>
      <c r="E202" s="22">
        <v>11</v>
      </c>
      <c r="F202" s="21">
        <f t="shared" si="9"/>
        <v>405046.16</v>
      </c>
      <c r="G202" s="21">
        <f t="shared" si="10"/>
        <v>60756.923999999992</v>
      </c>
      <c r="H202" s="21">
        <v>60000</v>
      </c>
      <c r="I202" s="21">
        <v>15000</v>
      </c>
      <c r="J202" s="21">
        <v>15000</v>
      </c>
      <c r="K202" s="26">
        <v>196513.848</v>
      </c>
      <c r="L202" s="21">
        <f>SUM(F202:K202)</f>
        <v>752316.93200000003</v>
      </c>
      <c r="M202" s="21">
        <v>67521.194872000007</v>
      </c>
      <c r="N202" s="21">
        <v>57318.647639999996</v>
      </c>
      <c r="O202" s="21">
        <v>33740.345128000001</v>
      </c>
      <c r="P202" s="21">
        <f>IF((D202*233.456*3%)&gt;7004,7004,(D202*233.456*3%))</f>
        <v>7004</v>
      </c>
      <c r="Q202" s="21">
        <f t="shared" si="11"/>
        <v>654253.93923200003</v>
      </c>
      <c r="R202" s="21">
        <v>465803.08399999997</v>
      </c>
    </row>
    <row r="203" spans="1:18" ht="15.75" thickBot="1" x14ac:dyDescent="0.3">
      <c r="A203" s="21" t="s">
        <v>106</v>
      </c>
      <c r="B203" s="22" t="s">
        <v>90</v>
      </c>
      <c r="C203" s="22" t="s">
        <v>95</v>
      </c>
      <c r="D203" s="22">
        <v>1575</v>
      </c>
      <c r="E203" s="22">
        <v>23</v>
      </c>
      <c r="F203" s="21">
        <f t="shared" si="9"/>
        <v>367693.19999999995</v>
      </c>
      <c r="G203" s="21">
        <f t="shared" si="10"/>
        <v>55153.979999999989</v>
      </c>
      <c r="H203" s="21">
        <v>60000</v>
      </c>
      <c r="I203" s="21">
        <v>15000</v>
      </c>
      <c r="J203" s="21">
        <v>15000</v>
      </c>
      <c r="K203" s="26">
        <v>185307.96</v>
      </c>
      <c r="L203" s="21">
        <f>SUM(F203:K203)</f>
        <v>698155.1399999999</v>
      </c>
      <c r="M203" s="21">
        <v>61294.456439999994</v>
      </c>
      <c r="N203" s="21">
        <v>48297.907799999986</v>
      </c>
      <c r="O203" s="21">
        <v>30628.843559999998</v>
      </c>
      <c r="P203" s="21">
        <f>IF((D203*233.456*3%)&gt;7004,7004,(D203*233.456*3%))</f>
        <v>7004</v>
      </c>
      <c r="Q203" s="21">
        <f t="shared" si="11"/>
        <v>612224.3886399999</v>
      </c>
      <c r="R203" s="21">
        <v>422847.17999999993</v>
      </c>
    </row>
    <row r="204" spans="1:18" ht="15.75" thickBot="1" x14ac:dyDescent="0.3">
      <c r="A204" s="21" t="s">
        <v>106</v>
      </c>
      <c r="B204" s="22" t="s">
        <v>90</v>
      </c>
      <c r="C204" s="22" t="s">
        <v>95</v>
      </c>
      <c r="D204" s="22">
        <v>1380</v>
      </c>
      <c r="E204" s="22">
        <v>22</v>
      </c>
      <c r="F204" s="21">
        <f t="shared" si="9"/>
        <v>322169.27999999997</v>
      </c>
      <c r="G204" s="21">
        <f t="shared" si="10"/>
        <v>48325.391999999993</v>
      </c>
      <c r="H204" s="21">
        <v>60000</v>
      </c>
      <c r="I204" s="21">
        <v>15000</v>
      </c>
      <c r="J204" s="21">
        <v>15000</v>
      </c>
      <c r="K204" s="26">
        <v>171650.78399999999</v>
      </c>
      <c r="L204" s="21">
        <f>SUM(F204:K204)</f>
        <v>632145.45600000001</v>
      </c>
      <c r="M204" s="21">
        <v>53705.618975999998</v>
      </c>
      <c r="N204" s="21">
        <v>37303.881119999991</v>
      </c>
      <c r="O204" s="21">
        <v>26836.701023999998</v>
      </c>
      <c r="P204" s="21">
        <f>IF((D204*233.456*3%)&gt;7004,7004,(D204*233.456*3%))</f>
        <v>7004</v>
      </c>
      <c r="Q204" s="21">
        <f t="shared" si="11"/>
        <v>561000.87385600002</v>
      </c>
      <c r="R204" s="21">
        <v>370494.67199999996</v>
      </c>
    </row>
    <row r="205" spans="1:18" ht="15.75" thickBot="1" x14ac:dyDescent="0.3">
      <c r="A205" s="21" t="s">
        <v>106</v>
      </c>
      <c r="B205" s="22" t="s">
        <v>90</v>
      </c>
      <c r="C205" s="22" t="s">
        <v>95</v>
      </c>
      <c r="D205" s="22">
        <v>1315</v>
      </c>
      <c r="E205" s="22">
        <v>21</v>
      </c>
      <c r="F205" s="21">
        <f t="shared" si="9"/>
        <v>306994.64</v>
      </c>
      <c r="G205" s="21">
        <f t="shared" si="10"/>
        <v>46049.196000000004</v>
      </c>
      <c r="H205" s="21">
        <v>60000</v>
      </c>
      <c r="I205" s="21">
        <v>15000</v>
      </c>
      <c r="J205" s="21">
        <v>15000</v>
      </c>
      <c r="K205" s="26">
        <v>167098.39199999999</v>
      </c>
      <c r="L205" s="21">
        <f>SUM(F205:K205)</f>
        <v>610142.228</v>
      </c>
      <c r="M205" s="21">
        <v>51176.006488000006</v>
      </c>
      <c r="N205" s="21">
        <v>33639.205560000002</v>
      </c>
      <c r="O205" s="21">
        <v>25572.653512000001</v>
      </c>
      <c r="P205" s="21">
        <f>IF((D205*233.456*3%)&gt;7004,7004,(D205*233.456*3%))</f>
        <v>7004</v>
      </c>
      <c r="Q205" s="21">
        <f t="shared" si="11"/>
        <v>543926.36892799998</v>
      </c>
      <c r="R205" s="21">
        <v>353043.83600000001</v>
      </c>
    </row>
    <row r="206" spans="1:18" ht="15.75" thickBot="1" x14ac:dyDescent="0.3">
      <c r="A206" s="21" t="s">
        <v>106</v>
      </c>
      <c r="B206" s="22" t="s">
        <v>90</v>
      </c>
      <c r="C206" s="22" t="s">
        <v>95</v>
      </c>
      <c r="D206" s="22">
        <v>1255</v>
      </c>
      <c r="E206" s="22">
        <v>33</v>
      </c>
      <c r="F206" s="21">
        <f t="shared" si="9"/>
        <v>292987.27999999997</v>
      </c>
      <c r="G206" s="21">
        <f t="shared" si="10"/>
        <v>43948.091999999997</v>
      </c>
      <c r="H206" s="21">
        <v>60000</v>
      </c>
      <c r="I206" s="21">
        <v>15000</v>
      </c>
      <c r="J206" s="21">
        <v>15000</v>
      </c>
      <c r="K206" s="26">
        <v>162896.18400000001</v>
      </c>
      <c r="L206" s="21">
        <f>SUM(F206:K206)</f>
        <v>589831.55599999998</v>
      </c>
      <c r="M206" s="21">
        <v>48840.979575999998</v>
      </c>
      <c r="N206" s="21">
        <v>30256.428119999997</v>
      </c>
      <c r="O206" s="21">
        <v>24405.840423999998</v>
      </c>
      <c r="P206" s="21">
        <f>IF((D206*233.456*3%)&gt;7004,7004,(D206*233.456*3%))</f>
        <v>7004</v>
      </c>
      <c r="Q206" s="21">
        <f t="shared" si="11"/>
        <v>528165.28745599999</v>
      </c>
      <c r="R206" s="21">
        <v>336935.37199999997</v>
      </c>
    </row>
    <row r="207" spans="1:18" ht="15.75" thickBot="1" x14ac:dyDescent="0.3">
      <c r="A207" s="21" t="s">
        <v>106</v>
      </c>
      <c r="B207" s="22" t="s">
        <v>90</v>
      </c>
      <c r="C207" s="22" t="s">
        <v>95</v>
      </c>
      <c r="D207" s="22">
        <v>1190</v>
      </c>
      <c r="E207" s="22">
        <v>32</v>
      </c>
      <c r="F207" s="21">
        <f t="shared" si="9"/>
        <v>277812.64</v>
      </c>
      <c r="G207" s="21">
        <f t="shared" si="10"/>
        <v>41671.896000000001</v>
      </c>
      <c r="H207" s="21">
        <v>60000</v>
      </c>
      <c r="I207" s="21">
        <v>15000</v>
      </c>
      <c r="J207" s="21">
        <v>15000</v>
      </c>
      <c r="K207" s="26">
        <v>158343.79200000002</v>
      </c>
      <c r="L207" s="21">
        <f>SUM(F207:K207)</f>
        <v>567828.32799999998</v>
      </c>
      <c r="M207" s="21">
        <v>46311.367088000006</v>
      </c>
      <c r="N207" s="21">
        <v>26591.752560000008</v>
      </c>
      <c r="O207" s="21">
        <v>23141.792912000001</v>
      </c>
      <c r="P207" s="21">
        <f>IF((D207*233.456*3%)&gt;7004,7004,(D207*233.456*3%))</f>
        <v>7004</v>
      </c>
      <c r="Q207" s="21">
        <f t="shared" si="11"/>
        <v>511090.78252799995</v>
      </c>
      <c r="R207" s="21">
        <v>319484.53600000002</v>
      </c>
    </row>
    <row r="208" spans="1:18" ht="15.75" thickBot="1" x14ac:dyDescent="0.3">
      <c r="A208" s="21" t="s">
        <v>106</v>
      </c>
      <c r="B208" s="22" t="s">
        <v>90</v>
      </c>
      <c r="C208" s="22" t="s">
        <v>95</v>
      </c>
      <c r="D208" s="22">
        <v>1100</v>
      </c>
      <c r="E208" s="22">
        <v>31</v>
      </c>
      <c r="F208" s="21">
        <f t="shared" si="9"/>
        <v>256801.59999999998</v>
      </c>
      <c r="G208" s="21">
        <f t="shared" si="10"/>
        <v>38520.239999999998</v>
      </c>
      <c r="H208" s="21">
        <v>60000</v>
      </c>
      <c r="I208" s="21">
        <v>15000</v>
      </c>
      <c r="J208" s="21">
        <v>15000</v>
      </c>
      <c r="K208" s="26">
        <v>152040.47999999998</v>
      </c>
      <c r="L208" s="21">
        <f>SUM(F208:K208)</f>
        <v>537362.31999999995</v>
      </c>
      <c r="M208" s="21">
        <v>42808.826719999997</v>
      </c>
      <c r="N208" s="21">
        <v>21517.586399999993</v>
      </c>
      <c r="O208" s="21">
        <v>21391.573279999997</v>
      </c>
      <c r="P208" s="21">
        <f>IF((D208*233.456*3%)&gt;7004,7004,(D208*233.456*3%))</f>
        <v>7004</v>
      </c>
      <c r="Q208" s="21">
        <f t="shared" si="11"/>
        <v>487449.16031999997</v>
      </c>
      <c r="R208" s="21">
        <v>295321.83999999997</v>
      </c>
    </row>
    <row r="209" spans="1:18" ht="15.75" thickBot="1" x14ac:dyDescent="0.3">
      <c r="A209" s="21" t="s">
        <v>106</v>
      </c>
      <c r="B209" s="22" t="s">
        <v>90</v>
      </c>
      <c r="C209" s="22" t="s">
        <v>95</v>
      </c>
      <c r="D209" s="22">
        <v>990</v>
      </c>
      <c r="E209" s="22">
        <v>44</v>
      </c>
      <c r="F209" s="21">
        <f t="shared" si="9"/>
        <v>231121.44</v>
      </c>
      <c r="G209" s="21">
        <f t="shared" si="10"/>
        <v>34668.216</v>
      </c>
      <c r="H209" s="21">
        <v>60000</v>
      </c>
      <c r="I209" s="21">
        <v>15000</v>
      </c>
      <c r="J209" s="21">
        <v>15000</v>
      </c>
      <c r="K209" s="26">
        <v>144336.432</v>
      </c>
      <c r="L209" s="21">
        <f>SUM(F209:K209)</f>
        <v>500126.08799999999</v>
      </c>
      <c r="M209" s="21">
        <v>38527.944048000005</v>
      </c>
      <c r="N209" s="21">
        <v>15315.827760000004</v>
      </c>
      <c r="O209" s="21">
        <v>19252.415951999999</v>
      </c>
      <c r="P209" s="21">
        <f>IF((D209*233.456*3%)&gt;7004,7004,(D209*233.456*3%))</f>
        <v>6933.6431999999995</v>
      </c>
      <c r="Q209" s="21">
        <f t="shared" si="11"/>
        <v>458624.20108799997</v>
      </c>
      <c r="R209" s="21">
        <v>265789.65600000002</v>
      </c>
    </row>
    <row r="210" spans="1:18" ht="15.75" thickBot="1" x14ac:dyDescent="0.3">
      <c r="A210" s="21" t="s">
        <v>106</v>
      </c>
      <c r="B210" s="22" t="s">
        <v>90</v>
      </c>
      <c r="C210" s="22" t="s">
        <v>95</v>
      </c>
      <c r="D210" s="22">
        <v>915</v>
      </c>
      <c r="E210" s="22">
        <v>43</v>
      </c>
      <c r="F210" s="21">
        <f t="shared" si="9"/>
        <v>213612.24</v>
      </c>
      <c r="G210" s="21">
        <f t="shared" si="10"/>
        <v>32041.835999999996</v>
      </c>
      <c r="H210" s="21">
        <v>60000</v>
      </c>
      <c r="I210" s="21">
        <v>15000</v>
      </c>
      <c r="J210" s="21">
        <v>15000</v>
      </c>
      <c r="K210" s="26">
        <v>139083.67199999999</v>
      </c>
      <c r="L210" s="21">
        <f>SUM(F210:K210)</f>
        <v>474737.74800000002</v>
      </c>
      <c r="M210" s="21">
        <v>35609.160408000003</v>
      </c>
      <c r="N210" s="21">
        <v>11087.355960000001</v>
      </c>
      <c r="O210" s="21">
        <v>17793.899591999998</v>
      </c>
      <c r="P210" s="21">
        <f>IF((D210*233.456*3%)&gt;7004,7004,(D210*233.456*3%))</f>
        <v>6408.3671999999997</v>
      </c>
      <c r="Q210" s="21">
        <f t="shared" si="11"/>
        <v>439448.12524800003</v>
      </c>
      <c r="R210" s="21">
        <v>245654.076</v>
      </c>
    </row>
    <row r="211" spans="1:18" ht="15.75" thickBot="1" x14ac:dyDescent="0.3">
      <c r="A211" s="21" t="s">
        <v>106</v>
      </c>
      <c r="B211" s="22" t="s">
        <v>90</v>
      </c>
      <c r="C211" s="22" t="s">
        <v>95</v>
      </c>
      <c r="D211" s="22">
        <v>870</v>
      </c>
      <c r="E211" s="22">
        <v>42</v>
      </c>
      <c r="F211" s="21">
        <f t="shared" si="9"/>
        <v>203106.72</v>
      </c>
      <c r="G211" s="21">
        <f t="shared" si="10"/>
        <v>30466.007999999998</v>
      </c>
      <c r="H211" s="21">
        <v>60000</v>
      </c>
      <c r="I211" s="21">
        <v>15000</v>
      </c>
      <c r="J211" s="21">
        <v>15000</v>
      </c>
      <c r="K211" s="26">
        <v>135932.016</v>
      </c>
      <c r="L211" s="21">
        <f>SUM(F211:K211)</f>
        <v>459504.74400000001</v>
      </c>
      <c r="M211" s="21">
        <v>33857.890224000002</v>
      </c>
      <c r="N211" s="21">
        <v>8871.636480000001</v>
      </c>
      <c r="O211" s="21">
        <v>16918.789776000001</v>
      </c>
      <c r="P211" s="21">
        <f>IF((D211*233.456*3%)&gt;7004,7004,(D211*233.456*3%))</f>
        <v>6093.2015999999994</v>
      </c>
      <c r="Q211" s="21">
        <f t="shared" si="11"/>
        <v>427621.11614400003</v>
      </c>
      <c r="R211" s="21">
        <v>233572.728</v>
      </c>
    </row>
    <row r="212" spans="1:18" ht="15.75" thickBot="1" x14ac:dyDescent="0.3">
      <c r="A212" s="21" t="s">
        <v>106</v>
      </c>
      <c r="B212" s="22" t="s">
        <v>90</v>
      </c>
      <c r="C212" s="22" t="s">
        <v>95</v>
      </c>
      <c r="D212" s="22">
        <v>830</v>
      </c>
      <c r="E212" s="22">
        <v>41</v>
      </c>
      <c r="F212" s="21">
        <f t="shared" si="9"/>
        <v>193768.47999999998</v>
      </c>
      <c r="G212" s="21">
        <f t="shared" si="10"/>
        <v>29065.271999999997</v>
      </c>
      <c r="H212" s="21">
        <v>60000</v>
      </c>
      <c r="I212" s="21">
        <v>15000</v>
      </c>
      <c r="J212" s="21">
        <v>15000</v>
      </c>
      <c r="K212" s="26">
        <v>133130.54399999999</v>
      </c>
      <c r="L212" s="21">
        <f>SUM(F212:K212)</f>
        <v>445964.29599999997</v>
      </c>
      <c r="M212" s="21">
        <v>32301.205615999999</v>
      </c>
      <c r="N212" s="21">
        <v>7153.400319999997</v>
      </c>
      <c r="O212" s="21">
        <v>16140.914383999998</v>
      </c>
      <c r="P212" s="21">
        <f>IF((D212*233.456*3%)&gt;7004,7004,(D212*233.456*3%))</f>
        <v>5813.0543999999991</v>
      </c>
      <c r="Q212" s="21">
        <f t="shared" si="11"/>
        <v>416856.92689599999</v>
      </c>
      <c r="R212" s="21">
        <v>222833.75199999998</v>
      </c>
    </row>
    <row r="213" spans="1:18" ht="15.75" thickBot="1" x14ac:dyDescent="0.3">
      <c r="A213" s="21" t="s">
        <v>106</v>
      </c>
      <c r="B213" s="22" t="s">
        <v>96</v>
      </c>
      <c r="C213" s="22" t="s">
        <v>97</v>
      </c>
      <c r="D213" s="22">
        <v>1325</v>
      </c>
      <c r="E213" s="22">
        <v>13</v>
      </c>
      <c r="F213" s="21">
        <f t="shared" si="9"/>
        <v>309329.2</v>
      </c>
      <c r="G213" s="21">
        <f t="shared" si="10"/>
        <v>46399.38</v>
      </c>
      <c r="H213" s="21">
        <v>60000</v>
      </c>
      <c r="I213" s="21">
        <v>15000</v>
      </c>
      <c r="J213" s="21">
        <v>15000</v>
      </c>
      <c r="K213" s="26">
        <v>147798.76</v>
      </c>
      <c r="L213" s="21">
        <f>SUM(F213:K213)</f>
        <v>593527.34000000008</v>
      </c>
      <c r="M213" s="21">
        <v>51565.177640000009</v>
      </c>
      <c r="N213" s="21">
        <v>34203.001799999998</v>
      </c>
      <c r="O213" s="21">
        <v>25767.122360000001</v>
      </c>
      <c r="P213" s="21">
        <f>IF((D213*233.456*3%)&gt;7004,7004,(D213*233.456*3%))</f>
        <v>7004</v>
      </c>
      <c r="Q213" s="21">
        <f t="shared" si="11"/>
        <v>526553.21584000008</v>
      </c>
      <c r="R213" s="21">
        <v>355728.58</v>
      </c>
    </row>
    <row r="214" spans="1:18" ht="15.75" thickBot="1" x14ac:dyDescent="0.3">
      <c r="A214" s="21" t="s">
        <v>106</v>
      </c>
      <c r="B214" s="22" t="s">
        <v>96</v>
      </c>
      <c r="C214" s="22" t="s">
        <v>97</v>
      </c>
      <c r="D214" s="22">
        <v>1300</v>
      </c>
      <c r="E214" s="22">
        <v>12</v>
      </c>
      <c r="F214" s="21">
        <f t="shared" si="9"/>
        <v>303492.8</v>
      </c>
      <c r="G214" s="21">
        <f t="shared" si="10"/>
        <v>45523.92</v>
      </c>
      <c r="H214" s="21">
        <v>60000</v>
      </c>
      <c r="I214" s="21">
        <v>15000</v>
      </c>
      <c r="J214" s="21">
        <v>15000</v>
      </c>
      <c r="K214" s="26">
        <v>146047.84</v>
      </c>
      <c r="L214" s="21">
        <f>SUM(F214:K214)</f>
        <v>585064.55999999994</v>
      </c>
      <c r="M214" s="21">
        <v>50592.249760000006</v>
      </c>
      <c r="N214" s="21">
        <v>32793.511199999994</v>
      </c>
      <c r="O214" s="21">
        <v>25280.950239999998</v>
      </c>
      <c r="P214" s="21">
        <f>IF((D214*233.456*3%)&gt;7004,7004,(D214*233.456*3%))</f>
        <v>7004</v>
      </c>
      <c r="Q214" s="21">
        <f t="shared" si="11"/>
        <v>519986.09855999995</v>
      </c>
      <c r="R214" s="21">
        <v>349016.72</v>
      </c>
    </row>
    <row r="215" spans="1:18" ht="15.75" thickBot="1" x14ac:dyDescent="0.3">
      <c r="A215" s="21" t="s">
        <v>106</v>
      </c>
      <c r="B215" s="22" t="s">
        <v>96</v>
      </c>
      <c r="C215" s="22" t="s">
        <v>97</v>
      </c>
      <c r="D215" s="22">
        <v>1270</v>
      </c>
      <c r="E215" s="22">
        <v>11</v>
      </c>
      <c r="F215" s="21">
        <f t="shared" si="9"/>
        <v>296489.12</v>
      </c>
      <c r="G215" s="21">
        <f t="shared" si="10"/>
        <v>44473.367999999995</v>
      </c>
      <c r="H215" s="21">
        <v>60000</v>
      </c>
      <c r="I215" s="21">
        <v>15000</v>
      </c>
      <c r="J215" s="21">
        <v>15000</v>
      </c>
      <c r="K215" s="26">
        <v>143946.73599999998</v>
      </c>
      <c r="L215" s="21">
        <f>SUM(F215:K215)</f>
        <v>574909.22399999993</v>
      </c>
      <c r="M215" s="21">
        <v>49424.736304000005</v>
      </c>
      <c r="N215" s="21">
        <v>31102.122480000005</v>
      </c>
      <c r="O215" s="21">
        <v>24697.543696000001</v>
      </c>
      <c r="P215" s="21">
        <f>IF((D215*233.456*3%)&gt;7004,7004,(D215*233.456*3%))</f>
        <v>7004</v>
      </c>
      <c r="Q215" s="21">
        <f t="shared" si="11"/>
        <v>512105.5578239999</v>
      </c>
      <c r="R215" s="21">
        <v>340962.48800000001</v>
      </c>
    </row>
    <row r="216" spans="1:18" ht="15.75" thickBot="1" x14ac:dyDescent="0.3">
      <c r="A216" s="21" t="s">
        <v>106</v>
      </c>
      <c r="B216" s="22" t="s">
        <v>96</v>
      </c>
      <c r="C216" s="22" t="s">
        <v>97</v>
      </c>
      <c r="D216" s="22">
        <v>1185</v>
      </c>
      <c r="E216" s="22">
        <v>23</v>
      </c>
      <c r="F216" s="21">
        <f t="shared" si="9"/>
        <v>276645.36</v>
      </c>
      <c r="G216" s="21">
        <f t="shared" si="10"/>
        <v>41496.803999999996</v>
      </c>
      <c r="H216" s="21">
        <v>60000</v>
      </c>
      <c r="I216" s="21">
        <v>15000</v>
      </c>
      <c r="J216" s="21">
        <v>15000</v>
      </c>
      <c r="K216" s="26">
        <v>137993.60800000001</v>
      </c>
      <c r="L216" s="21">
        <f>SUM(F216:K216)</f>
        <v>546135.772</v>
      </c>
      <c r="M216" s="21">
        <v>46116.781512000001</v>
      </c>
      <c r="N216" s="21">
        <v>26309.854439999996</v>
      </c>
      <c r="O216" s="21">
        <v>23044.558487999999</v>
      </c>
      <c r="P216" s="21">
        <f>IF((D216*233.456*3%)&gt;7004,7004,(D216*233.456*3%))</f>
        <v>7004</v>
      </c>
      <c r="Q216" s="21">
        <f t="shared" si="11"/>
        <v>489777.35907200002</v>
      </c>
      <c r="R216" s="21">
        <v>318142.16399999999</v>
      </c>
    </row>
    <row r="217" spans="1:18" ht="15.75" thickBot="1" x14ac:dyDescent="0.3">
      <c r="A217" s="21" t="s">
        <v>106</v>
      </c>
      <c r="B217" s="22" t="s">
        <v>96</v>
      </c>
      <c r="C217" s="22" t="s">
        <v>97</v>
      </c>
      <c r="D217" s="22">
        <v>1135</v>
      </c>
      <c r="E217" s="22">
        <v>22</v>
      </c>
      <c r="F217" s="21">
        <f t="shared" si="9"/>
        <v>264972.56</v>
      </c>
      <c r="G217" s="21">
        <f t="shared" si="10"/>
        <v>39745.883999999998</v>
      </c>
      <c r="H217" s="21">
        <v>60000</v>
      </c>
      <c r="I217" s="21">
        <v>15000</v>
      </c>
      <c r="J217" s="21">
        <v>15000</v>
      </c>
      <c r="K217" s="26">
        <v>134491.76799999998</v>
      </c>
      <c r="L217" s="21">
        <f>SUM(F217:K217)</f>
        <v>529210.21200000006</v>
      </c>
      <c r="M217" s="21">
        <v>44170.925752000003</v>
      </c>
      <c r="N217" s="21">
        <v>23490.873240000001</v>
      </c>
      <c r="O217" s="21">
        <v>22072.214248</v>
      </c>
      <c r="P217" s="21">
        <f>IF((D217*233.456*3%)&gt;7004,7004,(D217*233.456*3%))</f>
        <v>7004</v>
      </c>
      <c r="Q217" s="21">
        <f t="shared" si="11"/>
        <v>476643.12451200007</v>
      </c>
      <c r="R217" s="21">
        <v>304718.44400000002</v>
      </c>
    </row>
    <row r="218" spans="1:18" ht="15.75" thickBot="1" x14ac:dyDescent="0.3">
      <c r="A218" s="21" t="s">
        <v>106</v>
      </c>
      <c r="B218" s="22" t="s">
        <v>96</v>
      </c>
      <c r="C218" s="22" t="s">
        <v>97</v>
      </c>
      <c r="D218" s="22">
        <v>1085</v>
      </c>
      <c r="E218" s="22">
        <v>21</v>
      </c>
      <c r="F218" s="21">
        <f t="shared" si="9"/>
        <v>253299.75999999998</v>
      </c>
      <c r="G218" s="21">
        <f t="shared" si="10"/>
        <v>37994.963999999993</v>
      </c>
      <c r="H218" s="21">
        <v>60000</v>
      </c>
      <c r="I218" s="21">
        <v>15000</v>
      </c>
      <c r="J218" s="21">
        <v>15000</v>
      </c>
      <c r="K218" s="26">
        <v>130989.928</v>
      </c>
      <c r="L218" s="21">
        <f>SUM(F218:K218)</f>
        <v>512284.652</v>
      </c>
      <c r="M218" s="21">
        <v>42225.069991999997</v>
      </c>
      <c r="N218" s="21">
        <v>20671.892039999999</v>
      </c>
      <c r="O218" s="21">
        <v>21099.870007999998</v>
      </c>
      <c r="P218" s="21">
        <f>IF((D218*233.456*3%)&gt;7004,7004,(D218*233.456*3%))</f>
        <v>7004</v>
      </c>
      <c r="Q218" s="21">
        <f t="shared" si="11"/>
        <v>463508.889952</v>
      </c>
      <c r="R218" s="21">
        <v>291294.72399999999</v>
      </c>
    </row>
    <row r="219" spans="1:18" ht="15.75" thickBot="1" x14ac:dyDescent="0.3">
      <c r="A219" s="21" t="s">
        <v>106</v>
      </c>
      <c r="B219" s="22" t="s">
        <v>96</v>
      </c>
      <c r="C219" s="22" t="s">
        <v>97</v>
      </c>
      <c r="D219" s="22">
        <v>1000</v>
      </c>
      <c r="E219" s="22">
        <v>33</v>
      </c>
      <c r="F219" s="21">
        <f t="shared" si="9"/>
        <v>233456</v>
      </c>
      <c r="G219" s="21">
        <f t="shared" si="10"/>
        <v>35018.400000000001</v>
      </c>
      <c r="H219" s="21">
        <v>60000</v>
      </c>
      <c r="I219" s="21">
        <v>15000</v>
      </c>
      <c r="J219" s="21">
        <v>15000</v>
      </c>
      <c r="K219" s="26">
        <v>125036.8</v>
      </c>
      <c r="L219" s="21">
        <f>SUM(F219:K219)</f>
        <v>483511.2</v>
      </c>
      <c r="M219" s="21">
        <v>38917.1152</v>
      </c>
      <c r="N219" s="21">
        <v>15879.624000000003</v>
      </c>
      <c r="O219" s="21">
        <v>19446.8848</v>
      </c>
      <c r="P219" s="21">
        <f>IF((D219*233.456*3%)&gt;7004,7004,(D219*233.456*3%))</f>
        <v>7003.6799999999994</v>
      </c>
      <c r="Q219" s="21">
        <f t="shared" si="11"/>
        <v>441181.01120000001</v>
      </c>
      <c r="R219" s="21">
        <v>268474.40000000002</v>
      </c>
    </row>
    <row r="220" spans="1:18" ht="15.75" thickBot="1" x14ac:dyDescent="0.3">
      <c r="A220" s="21" t="s">
        <v>106</v>
      </c>
      <c r="B220" s="22" t="s">
        <v>96</v>
      </c>
      <c r="C220" s="22" t="s">
        <v>97</v>
      </c>
      <c r="D220" s="22">
        <v>950</v>
      </c>
      <c r="E220" s="22">
        <v>32</v>
      </c>
      <c r="F220" s="21">
        <f t="shared" si="9"/>
        <v>221783.19999999998</v>
      </c>
      <c r="G220" s="21">
        <f t="shared" si="10"/>
        <v>33267.479999999996</v>
      </c>
      <c r="H220" s="21">
        <v>60000</v>
      </c>
      <c r="I220" s="21">
        <v>15000</v>
      </c>
      <c r="J220" s="21">
        <v>15000</v>
      </c>
      <c r="K220" s="26">
        <v>121534.95999999999</v>
      </c>
      <c r="L220" s="21">
        <f>SUM(F220:K220)</f>
        <v>466585.64</v>
      </c>
      <c r="M220" s="21">
        <v>36971.259440000002</v>
      </c>
      <c r="N220" s="21">
        <v>13060.642799999998</v>
      </c>
      <c r="O220" s="21">
        <v>18474.540559999998</v>
      </c>
      <c r="P220" s="21">
        <f>IF((D220*233.456*3%)&gt;7004,7004,(D220*233.456*3%))</f>
        <v>6653.4959999999992</v>
      </c>
      <c r="Q220" s="21">
        <f t="shared" si="11"/>
        <v>428396.96064</v>
      </c>
      <c r="R220" s="21">
        <v>255050.68</v>
      </c>
    </row>
    <row r="221" spans="1:18" ht="15.75" thickBot="1" x14ac:dyDescent="0.3">
      <c r="A221" s="21" t="s">
        <v>106</v>
      </c>
      <c r="B221" s="22" t="s">
        <v>96</v>
      </c>
      <c r="C221" s="22" t="s">
        <v>97</v>
      </c>
      <c r="D221" s="22">
        <v>890</v>
      </c>
      <c r="E221" s="22">
        <v>31</v>
      </c>
      <c r="F221" s="21">
        <f t="shared" si="9"/>
        <v>207775.84</v>
      </c>
      <c r="G221" s="21">
        <f t="shared" si="10"/>
        <v>31166.375999999997</v>
      </c>
      <c r="H221" s="21">
        <v>60000</v>
      </c>
      <c r="I221" s="21">
        <v>15000</v>
      </c>
      <c r="J221" s="21">
        <v>15000</v>
      </c>
      <c r="K221" s="26">
        <v>117332.75200000001</v>
      </c>
      <c r="L221" s="21">
        <f>SUM(F221:K221)</f>
        <v>446274.96799999999</v>
      </c>
      <c r="M221" s="21">
        <v>34636.232528</v>
      </c>
      <c r="N221" s="21">
        <v>9730.7545599999976</v>
      </c>
      <c r="O221" s="21">
        <v>17307.727471999999</v>
      </c>
      <c r="P221" s="21">
        <f>IF((D221*233.456*3%)&gt;7004,7004,(D221*233.456*3%))</f>
        <v>6233.2752</v>
      </c>
      <c r="Q221" s="21">
        <f t="shared" si="11"/>
        <v>413003.21076799999</v>
      </c>
      <c r="R221" s="21">
        <v>238942.21599999999</v>
      </c>
    </row>
    <row r="222" spans="1:18" ht="15.75" thickBot="1" x14ac:dyDescent="0.3">
      <c r="A222" s="21" t="s">
        <v>106</v>
      </c>
      <c r="B222" s="22" t="s">
        <v>96</v>
      </c>
      <c r="C222" s="22" t="s">
        <v>97</v>
      </c>
      <c r="D222" s="22">
        <v>840</v>
      </c>
      <c r="E222" s="22">
        <v>44</v>
      </c>
      <c r="F222" s="21">
        <f t="shared" si="9"/>
        <v>196103.03999999998</v>
      </c>
      <c r="G222" s="21">
        <f t="shared" si="10"/>
        <v>29415.455999999995</v>
      </c>
      <c r="H222" s="21">
        <v>60000</v>
      </c>
      <c r="I222" s="21">
        <v>15000</v>
      </c>
      <c r="J222" s="21">
        <v>15000</v>
      </c>
      <c r="K222" s="26">
        <v>113830.912</v>
      </c>
      <c r="L222" s="21">
        <f>SUM(F222:K222)</f>
        <v>429349.408</v>
      </c>
      <c r="M222" s="21">
        <v>32690.376767999998</v>
      </c>
      <c r="N222" s="21">
        <v>7582.9593599999971</v>
      </c>
      <c r="O222" s="21">
        <v>16335.383231999998</v>
      </c>
      <c r="P222" s="21">
        <f>IF((D222*233.456*3%)&gt;7004,7004,(D222*233.456*3%))</f>
        <v>5883.0911999999989</v>
      </c>
      <c r="Q222" s="21">
        <f t="shared" si="11"/>
        <v>399547.974208</v>
      </c>
      <c r="R222" s="21">
        <v>225518.49599999998</v>
      </c>
    </row>
    <row r="223" spans="1:18" ht="15.75" thickBot="1" x14ac:dyDescent="0.3">
      <c r="A223" s="21" t="s">
        <v>106</v>
      </c>
      <c r="B223" s="22" t="s">
        <v>96</v>
      </c>
      <c r="C223" s="22" t="s">
        <v>97</v>
      </c>
      <c r="D223" s="22">
        <v>785</v>
      </c>
      <c r="E223" s="22">
        <v>43</v>
      </c>
      <c r="F223" s="21">
        <f t="shared" si="9"/>
        <v>183262.96</v>
      </c>
      <c r="G223" s="21">
        <f t="shared" si="10"/>
        <v>27489.444</v>
      </c>
      <c r="H223" s="21">
        <v>60000</v>
      </c>
      <c r="I223" s="21">
        <v>15000</v>
      </c>
      <c r="J223" s="21">
        <v>15000</v>
      </c>
      <c r="K223" s="26">
        <v>109978.88800000001</v>
      </c>
      <c r="L223" s="21">
        <f>SUM(F223:K223)</f>
        <v>410731.29200000002</v>
      </c>
      <c r="M223" s="21">
        <v>30549.935432000002</v>
      </c>
      <c r="N223" s="21">
        <v>5220.3846399999966</v>
      </c>
      <c r="O223" s="21">
        <v>15265.804568</v>
      </c>
      <c r="P223" s="21">
        <f>IF((D223*233.456*3%)&gt;7004,7004,(D223*233.456*3%))</f>
        <v>5497.8887999999997</v>
      </c>
      <c r="Q223" s="21">
        <f t="shared" si="11"/>
        <v>384747.21399200003</v>
      </c>
      <c r="R223" s="21">
        <v>210752.40399999998</v>
      </c>
    </row>
    <row r="224" spans="1:18" ht="15.75" thickBot="1" x14ac:dyDescent="0.3">
      <c r="A224" s="21" t="s">
        <v>106</v>
      </c>
      <c r="B224" s="22" t="s">
        <v>96</v>
      </c>
      <c r="C224" s="22" t="s">
        <v>97</v>
      </c>
      <c r="D224" s="22">
        <v>730</v>
      </c>
      <c r="E224" s="22">
        <v>42</v>
      </c>
      <c r="F224" s="21">
        <f t="shared" si="9"/>
        <v>170422.88</v>
      </c>
      <c r="G224" s="21">
        <f t="shared" si="10"/>
        <v>25563.432000000001</v>
      </c>
      <c r="H224" s="21">
        <v>60000</v>
      </c>
      <c r="I224" s="21">
        <v>15000</v>
      </c>
      <c r="J224" s="21">
        <v>15000</v>
      </c>
      <c r="K224" s="26">
        <v>106126.864</v>
      </c>
      <c r="L224" s="21">
        <f>SUM(F224:K224)</f>
        <v>392113.17600000004</v>
      </c>
      <c r="M224" s="21">
        <v>28409.494096000002</v>
      </c>
      <c r="N224" s="21">
        <v>2857.8099199999997</v>
      </c>
      <c r="O224" s="21">
        <v>14196.225904000001</v>
      </c>
      <c r="P224" s="21">
        <f>IF((D224*233.456*3%)&gt;7004,7004,(D224*233.456*3%))</f>
        <v>5112.6863999999996</v>
      </c>
      <c r="Q224" s="21">
        <f t="shared" si="11"/>
        <v>369946.45377600007</v>
      </c>
      <c r="R224" s="21">
        <v>195986.31200000001</v>
      </c>
    </row>
    <row r="225" spans="1:18" ht="15.75" thickBot="1" x14ac:dyDescent="0.3">
      <c r="A225" s="21" t="s">
        <v>106</v>
      </c>
      <c r="B225" s="22" t="s">
        <v>96</v>
      </c>
      <c r="C225" s="22" t="s">
        <v>97</v>
      </c>
      <c r="D225" s="22">
        <v>680</v>
      </c>
      <c r="E225" s="22">
        <v>41</v>
      </c>
      <c r="F225" s="21">
        <f t="shared" si="9"/>
        <v>158750.07999999999</v>
      </c>
      <c r="G225" s="21">
        <f t="shared" si="10"/>
        <v>23812.511999999999</v>
      </c>
      <c r="H225" s="21">
        <v>60000</v>
      </c>
      <c r="I225" s="21">
        <v>15000</v>
      </c>
      <c r="J225" s="21">
        <v>15000</v>
      </c>
      <c r="K225" s="26">
        <v>102625.024</v>
      </c>
      <c r="L225" s="21">
        <f>SUM(F225:K225)</f>
        <v>375187.61599999992</v>
      </c>
      <c r="M225" s="21">
        <v>26463.638336</v>
      </c>
      <c r="N225" s="21">
        <v>710.01471999999558</v>
      </c>
      <c r="O225" s="21">
        <v>13223.881663999999</v>
      </c>
      <c r="P225" s="21">
        <f>IF((D225*233.456*3%)&gt;7004,7004,(D225*233.456*3%))</f>
        <v>4762.5023999999994</v>
      </c>
      <c r="Q225" s="21">
        <f t="shared" si="11"/>
        <v>356491.2172159999</v>
      </c>
      <c r="R225" s="21">
        <v>182562.59199999998</v>
      </c>
    </row>
    <row r="226" spans="1:18" ht="15.75" thickBot="1" x14ac:dyDescent="0.3">
      <c r="A226" s="21" t="s">
        <v>106</v>
      </c>
      <c r="B226" s="22" t="s">
        <v>96</v>
      </c>
      <c r="C226" s="22" t="s">
        <v>98</v>
      </c>
      <c r="D226" s="22">
        <v>925</v>
      </c>
      <c r="E226" s="22">
        <v>13</v>
      </c>
      <c r="F226" s="21">
        <f t="shared" si="9"/>
        <v>215946.8</v>
      </c>
      <c r="G226" s="21">
        <f t="shared" si="10"/>
        <v>32392.019999999997</v>
      </c>
      <c r="H226" s="21">
        <v>60000</v>
      </c>
      <c r="I226" s="21">
        <v>15000</v>
      </c>
      <c r="J226" s="21">
        <v>15000</v>
      </c>
      <c r="K226" s="26">
        <v>89784.04</v>
      </c>
      <c r="L226" s="21">
        <f>SUM(F226:K226)</f>
        <v>428122.85999999993</v>
      </c>
      <c r="M226" s="21">
        <v>35998.331559999999</v>
      </c>
      <c r="N226" s="21">
        <v>11651.152199999997</v>
      </c>
      <c r="O226" s="21">
        <v>17988.368439999998</v>
      </c>
      <c r="P226" s="21">
        <f>IF((D226*233.456*3%)&gt;7004,7004,(D226*233.456*3%))</f>
        <v>6478.4039999999995</v>
      </c>
      <c r="Q226" s="21">
        <f t="shared" si="11"/>
        <v>392004.93535999994</v>
      </c>
      <c r="R226" s="21">
        <v>248338.81999999998</v>
      </c>
    </row>
    <row r="227" spans="1:18" ht="15.75" thickBot="1" x14ac:dyDescent="0.3">
      <c r="A227" s="21" t="s">
        <v>106</v>
      </c>
      <c r="B227" s="22" t="s">
        <v>96</v>
      </c>
      <c r="C227" s="22" t="s">
        <v>98</v>
      </c>
      <c r="D227" s="22">
        <v>900</v>
      </c>
      <c r="E227" s="22">
        <v>12</v>
      </c>
      <c r="F227" s="21">
        <f t="shared" si="9"/>
        <v>210110.4</v>
      </c>
      <c r="G227" s="21">
        <f t="shared" si="10"/>
        <v>31516.559999999998</v>
      </c>
      <c r="H227" s="21">
        <v>60000</v>
      </c>
      <c r="I227" s="21">
        <v>15000</v>
      </c>
      <c r="J227" s="21">
        <v>15000</v>
      </c>
      <c r="K227" s="26">
        <v>88033.12</v>
      </c>
      <c r="L227" s="21">
        <f>SUM(F227:K227)</f>
        <v>419660.07999999996</v>
      </c>
      <c r="M227" s="21">
        <v>35025.403680000003</v>
      </c>
      <c r="N227" s="21">
        <v>10241.661599999999</v>
      </c>
      <c r="O227" s="21">
        <v>17502.196319999999</v>
      </c>
      <c r="P227" s="21">
        <f>IF((D227*233.456*3%)&gt;7004,7004,(D227*233.456*3%))</f>
        <v>6303.3119999999999</v>
      </c>
      <c r="Q227" s="21">
        <f t="shared" si="11"/>
        <v>385612.91007999994</v>
      </c>
      <c r="R227" s="21">
        <v>241626.96</v>
      </c>
    </row>
    <row r="228" spans="1:18" ht="15.75" thickBot="1" x14ac:dyDescent="0.3">
      <c r="A228" s="21" t="s">
        <v>106</v>
      </c>
      <c r="B228" s="22" t="s">
        <v>96</v>
      </c>
      <c r="C228" s="22" t="s">
        <v>98</v>
      </c>
      <c r="D228" s="22">
        <v>880</v>
      </c>
      <c r="E228" s="22">
        <v>11</v>
      </c>
      <c r="F228" s="21">
        <f t="shared" si="9"/>
        <v>205441.28</v>
      </c>
      <c r="G228" s="21">
        <f t="shared" si="10"/>
        <v>30816.191999999999</v>
      </c>
      <c r="H228" s="21">
        <v>60000</v>
      </c>
      <c r="I228" s="21">
        <v>15000</v>
      </c>
      <c r="J228" s="21">
        <v>15000</v>
      </c>
      <c r="K228" s="26">
        <v>86632.383999999991</v>
      </c>
      <c r="L228" s="21">
        <f>SUM(F228:K228)</f>
        <v>412889.85600000003</v>
      </c>
      <c r="M228" s="21">
        <v>34247.061376000005</v>
      </c>
      <c r="N228" s="21">
        <v>9301.1955200000011</v>
      </c>
      <c r="O228" s="21">
        <v>17113.258623999998</v>
      </c>
      <c r="P228" s="21">
        <f>IF((D228*233.456*3%)&gt;7004,7004,(D228*233.456*3%))</f>
        <v>6163.2384000000002</v>
      </c>
      <c r="Q228" s="21">
        <f t="shared" si="11"/>
        <v>380312.16345600004</v>
      </c>
      <c r="R228" s="21">
        <v>236257.47200000001</v>
      </c>
    </row>
    <row r="229" spans="1:18" ht="15.75" thickBot="1" x14ac:dyDescent="0.3">
      <c r="A229" s="21" t="s">
        <v>106</v>
      </c>
      <c r="B229" s="22" t="s">
        <v>96</v>
      </c>
      <c r="C229" s="22" t="s">
        <v>98</v>
      </c>
      <c r="D229" s="22">
        <v>860</v>
      </c>
      <c r="E229" s="22">
        <v>23</v>
      </c>
      <c r="F229" s="21">
        <f t="shared" si="9"/>
        <v>200772.16</v>
      </c>
      <c r="G229" s="21">
        <f t="shared" si="10"/>
        <v>30115.824000000001</v>
      </c>
      <c r="H229" s="21">
        <v>60000</v>
      </c>
      <c r="I229" s="21">
        <v>15000</v>
      </c>
      <c r="J229" s="21">
        <v>15000</v>
      </c>
      <c r="K229" s="26">
        <v>85231.647999999986</v>
      </c>
      <c r="L229" s="21">
        <f>SUM(F229:K229)</f>
        <v>406119.63199999998</v>
      </c>
      <c r="M229" s="21">
        <v>33468.719072000007</v>
      </c>
      <c r="N229" s="21">
        <v>8442.0774400000009</v>
      </c>
      <c r="O229" s="21">
        <v>16724.320928000001</v>
      </c>
      <c r="P229" s="21">
        <f>IF((D229*233.456*3%)&gt;7004,7004,(D229*233.456*3%))</f>
        <v>6023.1647999999996</v>
      </c>
      <c r="Q229" s="21">
        <f t="shared" si="11"/>
        <v>374930.06883199996</v>
      </c>
      <c r="R229" s="21">
        <v>230887.984</v>
      </c>
    </row>
    <row r="230" spans="1:18" ht="15.75" thickBot="1" x14ac:dyDescent="0.3">
      <c r="A230" s="21" t="s">
        <v>106</v>
      </c>
      <c r="B230" s="22" t="s">
        <v>96</v>
      </c>
      <c r="C230" s="22" t="s">
        <v>98</v>
      </c>
      <c r="D230" s="22">
        <v>835</v>
      </c>
      <c r="E230" s="22">
        <v>22</v>
      </c>
      <c r="F230" s="21">
        <f t="shared" si="9"/>
        <v>194935.75999999998</v>
      </c>
      <c r="G230" s="21">
        <f t="shared" si="10"/>
        <v>29240.363999999998</v>
      </c>
      <c r="H230" s="21">
        <v>60000</v>
      </c>
      <c r="I230" s="21">
        <v>15000</v>
      </c>
      <c r="J230" s="21">
        <v>15000</v>
      </c>
      <c r="K230" s="26">
        <v>83480.728000000003</v>
      </c>
      <c r="L230" s="21">
        <f>SUM(F230:K230)</f>
        <v>397656.85199999996</v>
      </c>
      <c r="M230" s="21">
        <v>32495.791192000001</v>
      </c>
      <c r="N230" s="21">
        <v>7368.1798399999971</v>
      </c>
      <c r="O230" s="21">
        <v>16238.148807999998</v>
      </c>
      <c r="P230" s="21">
        <f>IF((D230*233.456*3%)&gt;7004,7004,(D230*233.456*3%))</f>
        <v>5848.072799999999</v>
      </c>
      <c r="Q230" s="21">
        <f t="shared" si="11"/>
        <v>368202.45055199997</v>
      </c>
      <c r="R230" s="21">
        <v>224176.12399999998</v>
      </c>
    </row>
    <row r="231" spans="1:18" ht="15.75" thickBot="1" x14ac:dyDescent="0.3">
      <c r="A231" s="21" t="s">
        <v>106</v>
      </c>
      <c r="B231" s="22" t="s">
        <v>96</v>
      </c>
      <c r="C231" s="22" t="s">
        <v>98</v>
      </c>
      <c r="D231" s="22">
        <v>815</v>
      </c>
      <c r="E231" s="22">
        <v>21</v>
      </c>
      <c r="F231" s="21">
        <f t="shared" si="9"/>
        <v>190266.63999999998</v>
      </c>
      <c r="G231" s="21">
        <f t="shared" si="10"/>
        <v>28539.995999999996</v>
      </c>
      <c r="H231" s="21">
        <v>60000</v>
      </c>
      <c r="I231" s="21">
        <v>15000</v>
      </c>
      <c r="J231" s="21">
        <v>15000</v>
      </c>
      <c r="K231" s="26">
        <v>82079.991999999998</v>
      </c>
      <c r="L231" s="21">
        <f>SUM(F231:K231)</f>
        <v>390886.62799999991</v>
      </c>
      <c r="M231" s="21">
        <v>31717.448887999999</v>
      </c>
      <c r="N231" s="21">
        <v>6509.0617599999969</v>
      </c>
      <c r="O231" s="21">
        <v>15849.211111999999</v>
      </c>
      <c r="P231" s="21">
        <f>IF((D231*233.456*3%)&gt;7004,7004,(D231*233.456*3%))</f>
        <v>5707.9991999999993</v>
      </c>
      <c r="Q231" s="21">
        <f t="shared" si="11"/>
        <v>362820.35592799995</v>
      </c>
      <c r="R231" s="21">
        <v>218806.63599999997</v>
      </c>
    </row>
    <row r="232" spans="1:18" ht="15.75" thickBot="1" x14ac:dyDescent="0.3">
      <c r="A232" s="21" t="s">
        <v>106</v>
      </c>
      <c r="B232" s="22" t="s">
        <v>96</v>
      </c>
      <c r="C232" s="22" t="s">
        <v>98</v>
      </c>
      <c r="D232" s="22">
        <v>740</v>
      </c>
      <c r="E232" s="22">
        <v>33</v>
      </c>
      <c r="F232" s="21">
        <f t="shared" si="9"/>
        <v>172757.44</v>
      </c>
      <c r="G232" s="21">
        <f t="shared" si="10"/>
        <v>25913.615999999998</v>
      </c>
      <c r="H232" s="21">
        <v>60000</v>
      </c>
      <c r="I232" s="21">
        <v>15000</v>
      </c>
      <c r="J232" s="21">
        <v>15000</v>
      </c>
      <c r="K232" s="26">
        <v>76827.231999999989</v>
      </c>
      <c r="L232" s="21">
        <f>SUM(F232:K232)</f>
        <v>365498.28799999994</v>
      </c>
      <c r="M232" s="21">
        <v>28798.665248000001</v>
      </c>
      <c r="N232" s="21">
        <v>3287.3689600000034</v>
      </c>
      <c r="O232" s="21">
        <v>14390.694751999999</v>
      </c>
      <c r="P232" s="21">
        <f>IF((D232*233.456*3%)&gt;7004,7004,(D232*233.456*3%))</f>
        <v>5182.7231999999995</v>
      </c>
      <c r="Q232" s="21">
        <f t="shared" si="11"/>
        <v>342637.50108799996</v>
      </c>
      <c r="R232" s="21">
        <v>198671.05600000001</v>
      </c>
    </row>
    <row r="233" spans="1:18" ht="15.75" thickBot="1" x14ac:dyDescent="0.3">
      <c r="A233" s="21" t="s">
        <v>106</v>
      </c>
      <c r="B233" s="22" t="s">
        <v>96</v>
      </c>
      <c r="C233" s="22" t="s">
        <v>98</v>
      </c>
      <c r="D233" s="22">
        <v>715</v>
      </c>
      <c r="E233" s="22">
        <v>32</v>
      </c>
      <c r="F233" s="21">
        <f t="shared" si="9"/>
        <v>166921.03999999998</v>
      </c>
      <c r="G233" s="21">
        <f t="shared" si="10"/>
        <v>25038.155999999995</v>
      </c>
      <c r="H233" s="21">
        <v>60000</v>
      </c>
      <c r="I233" s="21">
        <v>15000</v>
      </c>
      <c r="J233" s="21">
        <v>15000</v>
      </c>
      <c r="K233" s="26">
        <v>75076.312000000005</v>
      </c>
      <c r="L233" s="21">
        <f>SUM(F233:K233)</f>
        <v>357035.50800000003</v>
      </c>
      <c r="M233" s="21">
        <v>27825.737367999998</v>
      </c>
      <c r="N233" s="21">
        <v>2213.4713599999959</v>
      </c>
      <c r="O233" s="21">
        <v>13904.522631999998</v>
      </c>
      <c r="P233" s="21">
        <f>IF((D233*233.456*3%)&gt;7004,7004,(D233*233.456*3%))</f>
        <v>5007.6311999999989</v>
      </c>
      <c r="Q233" s="21">
        <f t="shared" si="11"/>
        <v>335909.88280800002</v>
      </c>
      <c r="R233" s="21">
        <v>191959.19599999997</v>
      </c>
    </row>
    <row r="234" spans="1:18" ht="15.75" thickBot="1" x14ac:dyDescent="0.3">
      <c r="A234" s="21" t="s">
        <v>106</v>
      </c>
      <c r="B234" s="22" t="s">
        <v>96</v>
      </c>
      <c r="C234" s="22" t="s">
        <v>98</v>
      </c>
      <c r="D234" s="22">
        <v>695</v>
      </c>
      <c r="E234" s="22">
        <v>31</v>
      </c>
      <c r="F234" s="21">
        <f t="shared" si="9"/>
        <v>162251.91999999998</v>
      </c>
      <c r="G234" s="21">
        <f t="shared" si="10"/>
        <v>24337.787999999997</v>
      </c>
      <c r="H234" s="21">
        <v>60000</v>
      </c>
      <c r="I234" s="21">
        <v>15000</v>
      </c>
      <c r="J234" s="21">
        <v>15000</v>
      </c>
      <c r="K234" s="26">
        <v>73675.576000000001</v>
      </c>
      <c r="L234" s="21">
        <f>SUM(F234:K234)</f>
        <v>350265.28399999999</v>
      </c>
      <c r="M234" s="21">
        <v>27047.395064</v>
      </c>
      <c r="N234" s="21">
        <v>1354.3532799999994</v>
      </c>
      <c r="O234" s="21">
        <v>13515.584935999999</v>
      </c>
      <c r="P234" s="21">
        <f>IF((D234*233.456*3%)&gt;7004,7004,(D234*233.456*3%))</f>
        <v>4867.5575999999992</v>
      </c>
      <c r="Q234" s="21">
        <f t="shared" si="11"/>
        <v>330527.788184</v>
      </c>
      <c r="R234" s="21">
        <v>186589.70799999998</v>
      </c>
    </row>
    <row r="235" spans="1:18" ht="15.75" thickBot="1" x14ac:dyDescent="0.3">
      <c r="A235" s="21" t="s">
        <v>106</v>
      </c>
      <c r="B235" s="22" t="s">
        <v>96</v>
      </c>
      <c r="C235" s="22" t="s">
        <v>98</v>
      </c>
      <c r="D235" s="22">
        <v>640</v>
      </c>
      <c r="E235" s="22">
        <v>44</v>
      </c>
      <c r="F235" s="21">
        <f t="shared" si="9"/>
        <v>149411.84</v>
      </c>
      <c r="G235" s="21">
        <f t="shared" si="10"/>
        <v>22411.775999999998</v>
      </c>
      <c r="H235" s="21">
        <v>60000</v>
      </c>
      <c r="I235" s="21">
        <v>15000</v>
      </c>
      <c r="J235" s="21">
        <v>15000</v>
      </c>
      <c r="K235" s="26">
        <v>69823.551999999996</v>
      </c>
      <c r="L235" s="21">
        <f>SUM(F235:K235)</f>
        <v>331647.16799999995</v>
      </c>
      <c r="M235" s="21">
        <v>24906.953728</v>
      </c>
      <c r="N235" s="21">
        <v>0</v>
      </c>
      <c r="O235" s="21">
        <v>12446.006271999999</v>
      </c>
      <c r="P235" s="21">
        <f>IF((D235*233.456*3%)&gt;7004,7004,(D235*233.456*3%))</f>
        <v>4482.3552</v>
      </c>
      <c r="Q235" s="21">
        <f t="shared" si="11"/>
        <v>314718.80652799993</v>
      </c>
      <c r="R235" s="21">
        <v>171823.61599999998</v>
      </c>
    </row>
    <row r="236" spans="1:18" ht="15.75" thickBot="1" x14ac:dyDescent="0.3">
      <c r="A236" s="21" t="s">
        <v>106</v>
      </c>
      <c r="B236" s="22" t="s">
        <v>96</v>
      </c>
      <c r="C236" s="22" t="s">
        <v>98</v>
      </c>
      <c r="D236" s="22">
        <v>625</v>
      </c>
      <c r="E236" s="22">
        <v>43</v>
      </c>
      <c r="F236" s="21">
        <f t="shared" si="9"/>
        <v>145910</v>
      </c>
      <c r="G236" s="21">
        <f t="shared" si="10"/>
        <v>21886.5</v>
      </c>
      <c r="H236" s="21">
        <v>60000</v>
      </c>
      <c r="I236" s="21">
        <v>15000</v>
      </c>
      <c r="J236" s="21">
        <v>15000</v>
      </c>
      <c r="K236" s="26">
        <v>68773</v>
      </c>
      <c r="L236" s="21">
        <f>SUM(F236:K236)</f>
        <v>326569.5</v>
      </c>
      <c r="M236" s="21">
        <v>24323.197000000004</v>
      </c>
      <c r="N236" s="21">
        <v>0</v>
      </c>
      <c r="O236" s="21">
        <v>12154.303</v>
      </c>
      <c r="P236" s="21">
        <f>IF((D236*233.456*3%)&gt;7004,7004,(D236*233.456*3%))</f>
        <v>4377.3</v>
      </c>
      <c r="Q236" s="21">
        <f t="shared" si="11"/>
        <v>310037.897</v>
      </c>
      <c r="R236" s="21">
        <v>167796.5</v>
      </c>
    </row>
    <row r="237" spans="1:18" ht="15.75" thickBot="1" x14ac:dyDescent="0.3">
      <c r="A237" s="21" t="s">
        <v>106</v>
      </c>
      <c r="B237" s="22" t="s">
        <v>96</v>
      </c>
      <c r="C237" s="22" t="s">
        <v>98</v>
      </c>
      <c r="D237" s="22">
        <v>595</v>
      </c>
      <c r="E237" s="22">
        <v>42</v>
      </c>
      <c r="F237" s="21">
        <f t="shared" si="9"/>
        <v>138906.32</v>
      </c>
      <c r="G237" s="21">
        <f t="shared" si="10"/>
        <v>20835.948</v>
      </c>
      <c r="H237" s="21">
        <v>60000</v>
      </c>
      <c r="I237" s="21">
        <v>15000</v>
      </c>
      <c r="J237" s="21">
        <v>15000</v>
      </c>
      <c r="K237" s="26">
        <v>66671.896000000008</v>
      </c>
      <c r="L237" s="21">
        <f>SUM(F237:K237)</f>
        <v>316414.16399999999</v>
      </c>
      <c r="M237" s="21">
        <v>23155.683544000003</v>
      </c>
      <c r="N237" s="21">
        <v>0</v>
      </c>
      <c r="O237" s="21">
        <v>11570.896456</v>
      </c>
      <c r="P237" s="21">
        <f>IF((D237*233.456*3%)&gt;7004,7004,(D237*233.456*3%))</f>
        <v>4167.1895999999997</v>
      </c>
      <c r="Q237" s="21">
        <f t="shared" si="11"/>
        <v>300676.07794400002</v>
      </c>
      <c r="R237" s="21">
        <v>159742.26800000001</v>
      </c>
    </row>
    <row r="238" spans="1:18" ht="15.75" thickBot="1" x14ac:dyDescent="0.3">
      <c r="A238" s="21" t="s">
        <v>106</v>
      </c>
      <c r="B238" s="22" t="s">
        <v>96</v>
      </c>
      <c r="C238" s="22" t="s">
        <v>98</v>
      </c>
      <c r="D238" s="22">
        <v>565</v>
      </c>
      <c r="E238" s="22">
        <v>41</v>
      </c>
      <c r="F238" s="21">
        <f t="shared" si="9"/>
        <v>131902.63999999998</v>
      </c>
      <c r="G238" s="21">
        <f t="shared" si="10"/>
        <v>19785.395999999997</v>
      </c>
      <c r="H238" s="21">
        <v>60000</v>
      </c>
      <c r="I238" s="21">
        <v>15000</v>
      </c>
      <c r="J238" s="21">
        <v>15000</v>
      </c>
      <c r="K238" s="26">
        <v>64570.792000000001</v>
      </c>
      <c r="L238" s="21">
        <f>SUM(F238:K238)</f>
        <v>306258.82799999998</v>
      </c>
      <c r="M238" s="21">
        <v>21988.170087999999</v>
      </c>
      <c r="N238" s="21">
        <v>0</v>
      </c>
      <c r="O238" s="21">
        <v>10987.489911999999</v>
      </c>
      <c r="P238" s="21">
        <f>IF((D238*233.456*3%)&gt;7004,7004,(D238*233.456*3%))</f>
        <v>3957.0791999999992</v>
      </c>
      <c r="Q238" s="21">
        <f t="shared" si="11"/>
        <v>291314.25888799998</v>
      </c>
      <c r="R238" s="21">
        <v>151688.03599999999</v>
      </c>
    </row>
    <row r="239" spans="1:18" ht="15.75" thickBot="1" x14ac:dyDescent="0.3">
      <c r="A239" s="21" t="s">
        <v>106</v>
      </c>
      <c r="B239" s="22" t="s">
        <v>99</v>
      </c>
      <c r="C239" s="22" t="s">
        <v>101</v>
      </c>
      <c r="D239" s="22">
        <v>695</v>
      </c>
      <c r="E239" s="22">
        <v>13</v>
      </c>
      <c r="F239" s="21">
        <f t="shared" si="9"/>
        <v>162251.91999999998</v>
      </c>
      <c r="G239" s="21">
        <f t="shared" si="10"/>
        <v>24337.787999999997</v>
      </c>
      <c r="H239" s="21">
        <v>60000</v>
      </c>
      <c r="I239" s="21">
        <v>15000</v>
      </c>
      <c r="J239" s="21">
        <v>15000</v>
      </c>
      <c r="K239" s="26">
        <v>63675.576000000001</v>
      </c>
      <c r="L239" s="21">
        <f>SUM(F239:K239)</f>
        <v>340265.28399999999</v>
      </c>
      <c r="M239" s="21">
        <v>27047.395064</v>
      </c>
      <c r="N239" s="21">
        <v>1354.3532799999994</v>
      </c>
      <c r="O239" s="21">
        <v>13515.584935999999</v>
      </c>
      <c r="P239" s="21">
        <f>IF((D239*233.456*3%)&gt;7004,7004,(D239*233.456*3%))</f>
        <v>4867.5575999999992</v>
      </c>
      <c r="Q239" s="21">
        <f t="shared" si="11"/>
        <v>320527.788184</v>
      </c>
      <c r="R239" s="21">
        <v>186589.70799999998</v>
      </c>
    </row>
    <row r="240" spans="1:18" ht="15.75" thickBot="1" x14ac:dyDescent="0.3">
      <c r="A240" s="21" t="s">
        <v>106</v>
      </c>
      <c r="B240" s="22" t="s">
        <v>99</v>
      </c>
      <c r="C240" s="22" t="s">
        <v>101</v>
      </c>
      <c r="D240" s="22">
        <v>680</v>
      </c>
      <c r="E240" s="22">
        <v>12</v>
      </c>
      <c r="F240" s="21">
        <f t="shared" si="9"/>
        <v>158750.07999999999</v>
      </c>
      <c r="G240" s="21">
        <f t="shared" si="10"/>
        <v>23812.511999999999</v>
      </c>
      <c r="H240" s="21">
        <v>60000</v>
      </c>
      <c r="I240" s="21">
        <v>15000</v>
      </c>
      <c r="J240" s="21">
        <v>15000</v>
      </c>
      <c r="K240" s="26">
        <v>62625.023999999998</v>
      </c>
      <c r="L240" s="21">
        <f>SUM(F240:K240)</f>
        <v>335187.61599999992</v>
      </c>
      <c r="M240" s="21">
        <v>26463.638336</v>
      </c>
      <c r="N240" s="21">
        <v>710.01471999999558</v>
      </c>
      <c r="O240" s="21">
        <v>13223.881663999999</v>
      </c>
      <c r="P240" s="21">
        <f>IF((D240*233.456*3%)&gt;7004,7004,(D240*233.456*3%))</f>
        <v>4762.5023999999994</v>
      </c>
      <c r="Q240" s="21">
        <f t="shared" si="11"/>
        <v>316491.2172159999</v>
      </c>
      <c r="R240" s="21">
        <v>182562.59199999998</v>
      </c>
    </row>
    <row r="241" spans="1:18" ht="15.75" thickBot="1" x14ac:dyDescent="0.3">
      <c r="A241" s="21" t="s">
        <v>106</v>
      </c>
      <c r="B241" s="22" t="s">
        <v>99</v>
      </c>
      <c r="C241" s="22" t="s">
        <v>101</v>
      </c>
      <c r="D241" s="22">
        <v>665</v>
      </c>
      <c r="E241" s="22">
        <v>11</v>
      </c>
      <c r="F241" s="21">
        <f t="shared" si="9"/>
        <v>155248.24</v>
      </c>
      <c r="G241" s="21">
        <f t="shared" si="10"/>
        <v>23287.235999999997</v>
      </c>
      <c r="H241" s="21">
        <v>60000</v>
      </c>
      <c r="I241" s="21">
        <v>15000</v>
      </c>
      <c r="J241" s="21">
        <v>15000</v>
      </c>
      <c r="K241" s="26">
        <v>61574.471999999994</v>
      </c>
      <c r="L241" s="21">
        <f>SUM(F241:K241)</f>
        <v>330109.94800000003</v>
      </c>
      <c r="M241" s="21">
        <v>25879.881608</v>
      </c>
      <c r="N241" s="21">
        <v>65.676159999999072</v>
      </c>
      <c r="O241" s="21">
        <v>12932.178392</v>
      </c>
      <c r="P241" s="21">
        <f>IF((D241*233.456*3%)&gt;7004,7004,(D241*233.456*3%))</f>
        <v>4657.4471999999996</v>
      </c>
      <c r="Q241" s="21">
        <f t="shared" si="11"/>
        <v>312454.64624800003</v>
      </c>
      <c r="R241" s="21">
        <v>178535.476</v>
      </c>
    </row>
    <row r="242" spans="1:18" ht="15.75" thickBot="1" x14ac:dyDescent="0.3">
      <c r="A242" s="21" t="s">
        <v>106</v>
      </c>
      <c r="B242" s="22" t="s">
        <v>99</v>
      </c>
      <c r="C242" s="22" t="s">
        <v>101</v>
      </c>
      <c r="D242" s="22">
        <v>650</v>
      </c>
      <c r="E242" s="22">
        <v>23</v>
      </c>
      <c r="F242" s="21">
        <f t="shared" si="9"/>
        <v>151746.4</v>
      </c>
      <c r="G242" s="21">
        <f t="shared" si="10"/>
        <v>22761.96</v>
      </c>
      <c r="H242" s="21">
        <v>60000</v>
      </c>
      <c r="I242" s="21">
        <v>15000</v>
      </c>
      <c r="J242" s="21">
        <v>15000</v>
      </c>
      <c r="K242" s="26">
        <v>60523.92</v>
      </c>
      <c r="L242" s="21">
        <f>SUM(F242:K242)</f>
        <v>325032.27999999997</v>
      </c>
      <c r="M242" s="21">
        <v>25296.124880000003</v>
      </c>
      <c r="N242" s="21">
        <v>0</v>
      </c>
      <c r="O242" s="21">
        <v>12640.475119999999</v>
      </c>
      <c r="P242" s="21">
        <f>IF((D242*233.456*3%)&gt;7004,7004,(D242*233.456*3%))</f>
        <v>4552.3919999999998</v>
      </c>
      <c r="Q242" s="21">
        <f t="shared" si="11"/>
        <v>307839.41287999996</v>
      </c>
      <c r="R242" s="21">
        <v>174508.36</v>
      </c>
    </row>
    <row r="243" spans="1:18" ht="15.75" thickBot="1" x14ac:dyDescent="0.3">
      <c r="A243" s="21" t="s">
        <v>106</v>
      </c>
      <c r="B243" s="22" t="s">
        <v>99</v>
      </c>
      <c r="C243" s="22" t="s">
        <v>101</v>
      </c>
      <c r="D243" s="22">
        <v>640</v>
      </c>
      <c r="E243" s="22">
        <v>22</v>
      </c>
      <c r="F243" s="21">
        <f t="shared" si="9"/>
        <v>149411.84</v>
      </c>
      <c r="G243" s="21">
        <f t="shared" si="10"/>
        <v>22411.775999999998</v>
      </c>
      <c r="H243" s="21">
        <v>60000</v>
      </c>
      <c r="I243" s="21">
        <v>15000</v>
      </c>
      <c r="J243" s="21">
        <v>15000</v>
      </c>
      <c r="K243" s="26">
        <v>59823.551999999996</v>
      </c>
      <c r="L243" s="21">
        <f>SUM(F243:K243)</f>
        <v>321647.16799999995</v>
      </c>
      <c r="M243" s="21">
        <v>24906.953728</v>
      </c>
      <c r="N243" s="21">
        <v>0</v>
      </c>
      <c r="O243" s="21">
        <v>12446.006271999999</v>
      </c>
      <c r="P243" s="21">
        <f>IF((D243*233.456*3%)&gt;7004,7004,(D243*233.456*3%))</f>
        <v>4482.3552</v>
      </c>
      <c r="Q243" s="21">
        <f t="shared" si="11"/>
        <v>304718.80652799993</v>
      </c>
      <c r="R243" s="21">
        <v>171823.61599999998</v>
      </c>
    </row>
    <row r="244" spans="1:18" ht="15.75" thickBot="1" x14ac:dyDescent="0.3">
      <c r="A244" s="21" t="s">
        <v>106</v>
      </c>
      <c r="B244" s="22" t="s">
        <v>99</v>
      </c>
      <c r="C244" s="22" t="s">
        <v>101</v>
      </c>
      <c r="D244" s="22">
        <v>625</v>
      </c>
      <c r="E244" s="22">
        <v>21</v>
      </c>
      <c r="F244" s="21">
        <f t="shared" si="9"/>
        <v>145910</v>
      </c>
      <c r="G244" s="21">
        <f t="shared" si="10"/>
        <v>21886.5</v>
      </c>
      <c r="H244" s="21">
        <v>60000</v>
      </c>
      <c r="I244" s="21">
        <v>15000</v>
      </c>
      <c r="J244" s="21">
        <v>15000</v>
      </c>
      <c r="K244" s="26">
        <v>58773</v>
      </c>
      <c r="L244" s="21">
        <f>SUM(F244:K244)</f>
        <v>316569.5</v>
      </c>
      <c r="M244" s="21">
        <v>24323.197000000004</v>
      </c>
      <c r="N244" s="21">
        <v>0</v>
      </c>
      <c r="O244" s="21">
        <v>12154.303</v>
      </c>
      <c r="P244" s="21">
        <f>IF((D244*233.456*3%)&gt;7004,7004,(D244*233.456*3%))</f>
        <v>4377.3</v>
      </c>
      <c r="Q244" s="21">
        <f t="shared" si="11"/>
        <v>300037.897</v>
      </c>
      <c r="R244" s="21">
        <v>167796.5</v>
      </c>
    </row>
    <row r="245" spans="1:18" ht="15.75" thickBot="1" x14ac:dyDescent="0.3">
      <c r="A245" s="21" t="s">
        <v>106</v>
      </c>
      <c r="B245" s="22" t="s">
        <v>99</v>
      </c>
      <c r="C245" s="22" t="s">
        <v>101</v>
      </c>
      <c r="D245" s="22">
        <v>580</v>
      </c>
      <c r="E245" s="22">
        <v>33</v>
      </c>
      <c r="F245" s="21">
        <f t="shared" si="9"/>
        <v>135404.47999999998</v>
      </c>
      <c r="G245" s="21">
        <f t="shared" si="10"/>
        <v>20310.671999999995</v>
      </c>
      <c r="H245" s="21">
        <v>60000</v>
      </c>
      <c r="I245" s="21">
        <v>15000</v>
      </c>
      <c r="J245" s="21">
        <v>15000</v>
      </c>
      <c r="K245" s="26">
        <v>55621.343999999997</v>
      </c>
      <c r="L245" s="21">
        <f>SUM(F245:K245)</f>
        <v>301336.49599999998</v>
      </c>
      <c r="M245" s="21">
        <v>22571.926815999999</v>
      </c>
      <c r="N245" s="21">
        <v>0</v>
      </c>
      <c r="O245" s="21">
        <v>11279.193183999998</v>
      </c>
      <c r="P245" s="21">
        <f>IF((D245*233.456*3%)&gt;7004,7004,(D245*233.456*3%))</f>
        <v>4062.1343999999995</v>
      </c>
      <c r="Q245" s="21">
        <f t="shared" si="11"/>
        <v>285995.16841599997</v>
      </c>
      <c r="R245" s="21">
        <v>155715.15199999997</v>
      </c>
    </row>
    <row r="246" spans="1:18" ht="15.75" thickBot="1" x14ac:dyDescent="0.3">
      <c r="A246" s="21" t="s">
        <v>106</v>
      </c>
      <c r="B246" s="22" t="s">
        <v>99</v>
      </c>
      <c r="C246" s="22" t="s">
        <v>101</v>
      </c>
      <c r="D246" s="22">
        <v>570</v>
      </c>
      <c r="E246" s="22">
        <v>32</v>
      </c>
      <c r="F246" s="21">
        <f t="shared" si="9"/>
        <v>133069.91999999998</v>
      </c>
      <c r="G246" s="21">
        <f t="shared" si="10"/>
        <v>19960.487999999998</v>
      </c>
      <c r="H246" s="21">
        <v>60000</v>
      </c>
      <c r="I246" s="21">
        <v>15000</v>
      </c>
      <c r="J246" s="21">
        <v>15000</v>
      </c>
      <c r="K246" s="26">
        <v>54920.975999999995</v>
      </c>
      <c r="L246" s="21">
        <f>SUM(F246:K246)</f>
        <v>297951.38399999996</v>
      </c>
      <c r="M246" s="21">
        <v>22182.755664</v>
      </c>
      <c r="N246" s="21">
        <v>0</v>
      </c>
      <c r="O246" s="21">
        <v>11084.724335999999</v>
      </c>
      <c r="P246" s="21">
        <f>IF((D246*233.456*3%)&gt;7004,7004,(D246*233.456*3%))</f>
        <v>3992.0975999999991</v>
      </c>
      <c r="Q246" s="21">
        <f t="shared" si="11"/>
        <v>282874.56206399994</v>
      </c>
      <c r="R246" s="21">
        <v>153030.408</v>
      </c>
    </row>
    <row r="247" spans="1:18" ht="15.75" thickBot="1" x14ac:dyDescent="0.3">
      <c r="A247" s="21" t="s">
        <v>106</v>
      </c>
      <c r="B247" s="22" t="s">
        <v>99</v>
      </c>
      <c r="C247" s="22" t="s">
        <v>101</v>
      </c>
      <c r="D247" s="22">
        <v>550</v>
      </c>
      <c r="E247" s="22">
        <v>31</v>
      </c>
      <c r="F247" s="21">
        <f t="shared" si="9"/>
        <v>128400.79999999999</v>
      </c>
      <c r="G247" s="21">
        <f t="shared" si="10"/>
        <v>19260.12</v>
      </c>
      <c r="H247" s="21">
        <v>60000</v>
      </c>
      <c r="I247" s="21">
        <v>15000</v>
      </c>
      <c r="J247" s="21">
        <v>15000</v>
      </c>
      <c r="K247" s="26">
        <v>53520.24</v>
      </c>
      <c r="L247" s="21">
        <f>SUM(F247:K247)</f>
        <v>291181.15999999997</v>
      </c>
      <c r="M247" s="21">
        <v>21404.413359999999</v>
      </c>
      <c r="N247" s="21">
        <v>0</v>
      </c>
      <c r="O247" s="21">
        <v>10695.786639999998</v>
      </c>
      <c r="P247" s="21">
        <f>IF((D247*233.456*3%)&gt;7004,7004,(D247*233.456*3%))</f>
        <v>3852.0239999999994</v>
      </c>
      <c r="Q247" s="21">
        <f t="shared" si="11"/>
        <v>276633.34935999999</v>
      </c>
      <c r="R247" s="21">
        <v>147660.91999999998</v>
      </c>
    </row>
    <row r="248" spans="1:18" ht="15.75" thickBot="1" x14ac:dyDescent="0.3">
      <c r="A248" s="21" t="s">
        <v>106</v>
      </c>
      <c r="B248" s="22" t="s">
        <v>99</v>
      </c>
      <c r="C248" s="22" t="s">
        <v>101</v>
      </c>
      <c r="D248" s="22">
        <v>515</v>
      </c>
      <c r="E248" s="22">
        <v>44</v>
      </c>
      <c r="F248" s="21">
        <f t="shared" si="9"/>
        <v>120229.84</v>
      </c>
      <c r="G248" s="21">
        <f t="shared" si="10"/>
        <v>18034.475999999999</v>
      </c>
      <c r="H248" s="21">
        <v>60000</v>
      </c>
      <c r="I248" s="21">
        <v>15000</v>
      </c>
      <c r="J248" s="21">
        <v>15000</v>
      </c>
      <c r="K248" s="26">
        <v>51068.951999999997</v>
      </c>
      <c r="L248" s="21">
        <f>SUM(F248:K248)</f>
        <v>279333.26799999998</v>
      </c>
      <c r="M248" s="21">
        <v>20042.314328</v>
      </c>
      <c r="N248" s="21">
        <v>0</v>
      </c>
      <c r="O248" s="21">
        <v>10015.145671999999</v>
      </c>
      <c r="P248" s="21">
        <f>IF((D248*233.456*3%)&gt;7004,7004,(D248*233.456*3%))</f>
        <v>3606.8951999999999</v>
      </c>
      <c r="Q248" s="21">
        <f t="shared" si="11"/>
        <v>265711.227128</v>
      </c>
      <c r="R248" s="21">
        <v>138264.31599999999</v>
      </c>
    </row>
    <row r="249" spans="1:18" ht="15.75" thickBot="1" x14ac:dyDescent="0.3">
      <c r="A249" s="21" t="s">
        <v>106</v>
      </c>
      <c r="B249" s="22" t="s">
        <v>99</v>
      </c>
      <c r="C249" s="22" t="s">
        <v>101</v>
      </c>
      <c r="D249" s="22">
        <v>495</v>
      </c>
      <c r="E249" s="22">
        <v>43</v>
      </c>
      <c r="F249" s="21">
        <f t="shared" si="9"/>
        <v>115560.72</v>
      </c>
      <c r="G249" s="21">
        <f t="shared" si="10"/>
        <v>17334.108</v>
      </c>
      <c r="H249" s="21">
        <v>60000</v>
      </c>
      <c r="I249" s="21">
        <v>15000</v>
      </c>
      <c r="J249" s="21">
        <v>15000</v>
      </c>
      <c r="K249" s="26">
        <v>49668.216</v>
      </c>
      <c r="L249" s="21">
        <f>SUM(F249:K249)</f>
        <v>272563.04399999999</v>
      </c>
      <c r="M249" s="21">
        <v>19263.972024000002</v>
      </c>
      <c r="N249" s="21">
        <v>0</v>
      </c>
      <c r="O249" s="21">
        <v>9626.2079759999997</v>
      </c>
      <c r="P249" s="21">
        <f>IF((D249*233.456*3%)&gt;7004,7004,(D249*233.456*3%))</f>
        <v>3466.8215999999998</v>
      </c>
      <c r="Q249" s="21">
        <f t="shared" si="11"/>
        <v>259470.01442399999</v>
      </c>
      <c r="R249" s="21">
        <v>132894.82800000001</v>
      </c>
    </row>
    <row r="250" spans="1:18" ht="15.75" thickBot="1" x14ac:dyDescent="0.3">
      <c r="A250" s="21" t="s">
        <v>106</v>
      </c>
      <c r="B250" s="22" t="s">
        <v>99</v>
      </c>
      <c r="C250" s="22" t="s">
        <v>101</v>
      </c>
      <c r="D250" s="22">
        <v>485</v>
      </c>
      <c r="E250" s="22">
        <v>42</v>
      </c>
      <c r="F250" s="21">
        <f t="shared" si="9"/>
        <v>113226.15999999999</v>
      </c>
      <c r="G250" s="21">
        <f t="shared" si="10"/>
        <v>16983.923999999999</v>
      </c>
      <c r="H250" s="21">
        <v>60000</v>
      </c>
      <c r="I250" s="21">
        <v>15000</v>
      </c>
      <c r="J250" s="21">
        <v>15000</v>
      </c>
      <c r="K250" s="26">
        <v>48967.847999999998</v>
      </c>
      <c r="L250" s="21">
        <f>SUM(F250:K250)</f>
        <v>269177.93199999997</v>
      </c>
      <c r="M250" s="21">
        <v>18874.800872</v>
      </c>
      <c r="N250" s="21">
        <v>0</v>
      </c>
      <c r="O250" s="21">
        <v>9431.7391279999993</v>
      </c>
      <c r="P250" s="21">
        <f>IF((D250*233.456*3%)&gt;7004,7004,(D250*233.456*3%))</f>
        <v>3396.7847999999994</v>
      </c>
      <c r="Q250" s="21">
        <f t="shared" si="11"/>
        <v>256349.40807199996</v>
      </c>
      <c r="R250" s="21">
        <v>130210.08399999999</v>
      </c>
    </row>
    <row r="251" spans="1:18" ht="15.75" thickBot="1" x14ac:dyDescent="0.3">
      <c r="A251" s="21" t="s">
        <v>106</v>
      </c>
      <c r="B251" s="22" t="s">
        <v>99</v>
      </c>
      <c r="C251" s="22" t="s">
        <v>101</v>
      </c>
      <c r="D251" s="22">
        <v>475</v>
      </c>
      <c r="E251" s="22">
        <v>41</v>
      </c>
      <c r="F251" s="21">
        <f t="shared" si="9"/>
        <v>110891.59999999999</v>
      </c>
      <c r="G251" s="21">
        <f t="shared" si="10"/>
        <v>16633.739999999998</v>
      </c>
      <c r="H251" s="21">
        <v>60000</v>
      </c>
      <c r="I251" s="21">
        <v>15000</v>
      </c>
      <c r="J251" s="21">
        <v>15000</v>
      </c>
      <c r="K251" s="26">
        <v>48267.479999999996</v>
      </c>
      <c r="L251" s="21">
        <f>SUM(F251:K251)</f>
        <v>265792.82</v>
      </c>
      <c r="M251" s="21">
        <v>18485.629720000001</v>
      </c>
      <c r="N251" s="21">
        <v>0</v>
      </c>
      <c r="O251" s="21">
        <v>9237.2702799999988</v>
      </c>
      <c r="P251" s="21">
        <f>IF((D251*233.456*3%)&gt;7004,7004,(D251*233.456*3%))</f>
        <v>3326.7479999999996</v>
      </c>
      <c r="Q251" s="21">
        <f t="shared" si="11"/>
        <v>253228.80172000002</v>
      </c>
      <c r="R251" s="21">
        <v>127525.34</v>
      </c>
    </row>
    <row r="252" spans="1:18" ht="15.75" thickBot="1" x14ac:dyDescent="0.3">
      <c r="A252" s="21" t="s">
        <v>107</v>
      </c>
      <c r="B252" s="22" t="s">
        <v>90</v>
      </c>
      <c r="C252" s="22" t="s">
        <v>91</v>
      </c>
      <c r="D252" s="22">
        <v>2350</v>
      </c>
      <c r="E252" s="22">
        <v>21</v>
      </c>
      <c r="F252" s="21">
        <f t="shared" si="9"/>
        <v>548621.6</v>
      </c>
      <c r="G252" s="21">
        <f t="shared" si="10"/>
        <v>82293.239999999991</v>
      </c>
      <c r="H252" s="21">
        <v>90000</v>
      </c>
      <c r="I252" s="21">
        <v>15000</v>
      </c>
      <c r="J252" s="21">
        <v>15000</v>
      </c>
      <c r="K252" s="26">
        <v>90000</v>
      </c>
      <c r="L252" s="21">
        <f>SUM(F252:K252)</f>
        <v>840914.84</v>
      </c>
      <c r="M252" s="21">
        <v>91455.220719999998</v>
      </c>
      <c r="N252" s="21">
        <v>91992.116399999984</v>
      </c>
      <c r="O252" s="21">
        <v>45700.179279999997</v>
      </c>
      <c r="P252" s="21">
        <f>IF((D252*233.456*3%)&gt;7004,7004,(D252*233.456*3%))</f>
        <v>7004</v>
      </c>
      <c r="Q252" s="21">
        <f t="shared" si="11"/>
        <v>696218.54431999999</v>
      </c>
      <c r="R252" s="21">
        <v>630914.84</v>
      </c>
    </row>
    <row r="253" spans="1:18" ht="15.75" thickBot="1" x14ac:dyDescent="0.3">
      <c r="A253" s="21" t="s">
        <v>107</v>
      </c>
      <c r="B253" s="22" t="s">
        <v>90</v>
      </c>
      <c r="C253" s="22" t="s">
        <v>91</v>
      </c>
      <c r="D253" s="22">
        <v>2295</v>
      </c>
      <c r="E253" s="22">
        <v>33</v>
      </c>
      <c r="F253" s="21">
        <f t="shared" si="9"/>
        <v>535781.52</v>
      </c>
      <c r="G253" s="21">
        <f t="shared" si="10"/>
        <v>80367.228000000003</v>
      </c>
      <c r="H253" s="21">
        <v>90000</v>
      </c>
      <c r="I253" s="21">
        <v>15000</v>
      </c>
      <c r="J253" s="21">
        <v>15000</v>
      </c>
      <c r="K253" s="26">
        <v>90000</v>
      </c>
      <c r="L253" s="21">
        <f>SUM(F253:K253)</f>
        <v>826148.74800000002</v>
      </c>
      <c r="M253" s="21">
        <v>89314.779384000009</v>
      </c>
      <c r="N253" s="21">
        <v>88891.237080000006</v>
      </c>
      <c r="O253" s="21">
        <v>44630.600616000003</v>
      </c>
      <c r="P253" s="21">
        <f>IF((D253*233.456*3%)&gt;7004,7004,(D253*233.456*3%))</f>
        <v>7004</v>
      </c>
      <c r="Q253" s="21">
        <f t="shared" si="11"/>
        <v>685622.91030400002</v>
      </c>
      <c r="R253" s="21">
        <v>616148.74800000002</v>
      </c>
    </row>
    <row r="254" spans="1:18" ht="15.75" thickBot="1" x14ac:dyDescent="0.3">
      <c r="A254" s="21" t="s">
        <v>107</v>
      </c>
      <c r="B254" s="22" t="s">
        <v>90</v>
      </c>
      <c r="C254" s="22" t="s">
        <v>91</v>
      </c>
      <c r="D254" s="22">
        <v>2255</v>
      </c>
      <c r="E254" s="22">
        <v>32</v>
      </c>
      <c r="F254" s="21">
        <f t="shared" si="9"/>
        <v>526443.28</v>
      </c>
      <c r="G254" s="21">
        <f t="shared" si="10"/>
        <v>78966.491999999998</v>
      </c>
      <c r="H254" s="21">
        <v>90000</v>
      </c>
      <c r="I254" s="21">
        <v>15000</v>
      </c>
      <c r="J254" s="21">
        <v>15000</v>
      </c>
      <c r="K254" s="26">
        <v>90000</v>
      </c>
      <c r="L254" s="21">
        <f>SUM(F254:K254)</f>
        <v>815409.772</v>
      </c>
      <c r="M254" s="21">
        <v>87758.094776000013</v>
      </c>
      <c r="N254" s="21">
        <v>86636.052119999993</v>
      </c>
      <c r="O254" s="21">
        <v>43852.725224000002</v>
      </c>
      <c r="P254" s="21">
        <f>IF((D254*233.456*3%)&gt;7004,7004,(D254*233.456*3%))</f>
        <v>7004</v>
      </c>
      <c r="Q254" s="21">
        <f t="shared" si="11"/>
        <v>677916.99465600005</v>
      </c>
      <c r="R254" s="21">
        <v>605409.772</v>
      </c>
    </row>
    <row r="255" spans="1:18" ht="15.75" thickBot="1" x14ac:dyDescent="0.3">
      <c r="A255" s="21" t="s">
        <v>107</v>
      </c>
      <c r="B255" s="22" t="s">
        <v>90</v>
      </c>
      <c r="C255" s="22" t="s">
        <v>91</v>
      </c>
      <c r="D255" s="22">
        <v>2170</v>
      </c>
      <c r="E255" s="22">
        <v>31</v>
      </c>
      <c r="F255" s="21">
        <f t="shared" si="9"/>
        <v>506599.51999999996</v>
      </c>
      <c r="G255" s="21">
        <f t="shared" si="10"/>
        <v>75989.927999999985</v>
      </c>
      <c r="H255" s="21">
        <v>90000</v>
      </c>
      <c r="I255" s="21">
        <v>15000</v>
      </c>
      <c r="J255" s="21">
        <v>15000</v>
      </c>
      <c r="K255" s="26">
        <v>90000</v>
      </c>
      <c r="L255" s="21">
        <f>SUM(F255:K255)</f>
        <v>792589.44799999997</v>
      </c>
      <c r="M255" s="21">
        <v>84450.139983999994</v>
      </c>
      <c r="N255" s="21">
        <v>81843.784079999998</v>
      </c>
      <c r="O255" s="21">
        <v>42199.740015999996</v>
      </c>
      <c r="P255" s="21">
        <f>IF((D255*233.456*3%)&gt;7004,7004,(D255*233.456*3%))</f>
        <v>7004</v>
      </c>
      <c r="Q255" s="21">
        <f t="shared" si="11"/>
        <v>661541.92390399997</v>
      </c>
      <c r="R255" s="21">
        <v>582589.44799999997</v>
      </c>
    </row>
    <row r="256" spans="1:18" ht="15.75" thickBot="1" x14ac:dyDescent="0.3">
      <c r="A256" s="21" t="s">
        <v>107</v>
      </c>
      <c r="B256" s="22" t="s">
        <v>90</v>
      </c>
      <c r="C256" s="22" t="s">
        <v>91</v>
      </c>
      <c r="D256" s="22">
        <v>2135</v>
      </c>
      <c r="E256" s="22">
        <v>44</v>
      </c>
      <c r="F256" s="21">
        <f t="shared" si="9"/>
        <v>498428.56</v>
      </c>
      <c r="G256" s="21">
        <f t="shared" si="10"/>
        <v>74764.284</v>
      </c>
      <c r="H256" s="21">
        <v>90000</v>
      </c>
      <c r="I256" s="21">
        <v>15000</v>
      </c>
      <c r="J256" s="21">
        <v>15000</v>
      </c>
      <c r="K256" s="26">
        <v>90000</v>
      </c>
      <c r="L256" s="21">
        <f>SUM(F256:K256)</f>
        <v>783192.84400000004</v>
      </c>
      <c r="M256" s="21">
        <v>83088.04095200001</v>
      </c>
      <c r="N256" s="21">
        <v>79870.497240000012</v>
      </c>
      <c r="O256" s="21">
        <v>41519.099047999996</v>
      </c>
      <c r="P256" s="21">
        <f>IF((D256*233.456*3%)&gt;7004,7004,(D256*233.456*3%))</f>
        <v>7004</v>
      </c>
      <c r="Q256" s="21">
        <f t="shared" si="11"/>
        <v>654799.24771200004</v>
      </c>
      <c r="R256" s="21">
        <v>573192.84400000004</v>
      </c>
    </row>
    <row r="257" spans="1:18" ht="15.75" thickBot="1" x14ac:dyDescent="0.3">
      <c r="A257" s="21" t="s">
        <v>107</v>
      </c>
      <c r="B257" s="22" t="s">
        <v>90</v>
      </c>
      <c r="C257" s="22" t="s">
        <v>91</v>
      </c>
      <c r="D257" s="22">
        <v>2090</v>
      </c>
      <c r="E257" s="22">
        <v>43</v>
      </c>
      <c r="F257" s="21">
        <f t="shared" si="9"/>
        <v>487923.04</v>
      </c>
      <c r="G257" s="21">
        <f t="shared" si="10"/>
        <v>73188.455999999991</v>
      </c>
      <c r="H257" s="21">
        <v>90000</v>
      </c>
      <c r="I257" s="21">
        <v>15000</v>
      </c>
      <c r="J257" s="21">
        <v>15000</v>
      </c>
      <c r="K257" s="26">
        <v>90000</v>
      </c>
      <c r="L257" s="21">
        <f>SUM(F257:K257)</f>
        <v>771111.49599999993</v>
      </c>
      <c r="M257" s="21">
        <v>81336.770768000002</v>
      </c>
      <c r="N257" s="21">
        <v>77333.414159999986</v>
      </c>
      <c r="O257" s="21">
        <v>40643.989232</v>
      </c>
      <c r="P257" s="21">
        <f>IF((D257*233.456*3%)&gt;7004,7004,(D257*233.456*3%))</f>
        <v>7004</v>
      </c>
      <c r="Q257" s="21">
        <f t="shared" si="11"/>
        <v>646130.09260799992</v>
      </c>
      <c r="R257" s="21">
        <v>561111.49599999993</v>
      </c>
    </row>
    <row r="258" spans="1:18" ht="15.75" thickBot="1" x14ac:dyDescent="0.3">
      <c r="A258" s="21" t="s">
        <v>107</v>
      </c>
      <c r="B258" s="22" t="s">
        <v>90</v>
      </c>
      <c r="C258" s="22" t="s">
        <v>91</v>
      </c>
      <c r="D258" s="22">
        <v>2015</v>
      </c>
      <c r="E258" s="22">
        <v>42</v>
      </c>
      <c r="F258" s="21">
        <f t="shared" si="9"/>
        <v>470413.83999999997</v>
      </c>
      <c r="G258" s="21">
        <f t="shared" si="10"/>
        <v>70562.075999999986</v>
      </c>
      <c r="H258" s="21">
        <v>90000</v>
      </c>
      <c r="I258" s="21">
        <v>15000</v>
      </c>
      <c r="J258" s="21">
        <v>15000</v>
      </c>
      <c r="K258" s="26">
        <v>90000</v>
      </c>
      <c r="L258" s="21">
        <f>SUM(F258:K258)</f>
        <v>750975.91599999997</v>
      </c>
      <c r="M258" s="21">
        <v>78417.987128000008</v>
      </c>
      <c r="N258" s="21">
        <v>73104.942359999986</v>
      </c>
      <c r="O258" s="21">
        <v>39185.472871999998</v>
      </c>
      <c r="P258" s="21">
        <f>IF((D258*233.456*3%)&gt;7004,7004,(D258*233.456*3%))</f>
        <v>7004</v>
      </c>
      <c r="Q258" s="21">
        <f t="shared" si="11"/>
        <v>631681.50076800003</v>
      </c>
      <c r="R258" s="21">
        <v>540975.91599999997</v>
      </c>
    </row>
    <row r="259" spans="1:18" ht="15.75" thickBot="1" x14ac:dyDescent="0.3">
      <c r="A259" s="21" t="s">
        <v>107</v>
      </c>
      <c r="B259" s="22" t="s">
        <v>90</v>
      </c>
      <c r="C259" s="22" t="s">
        <v>91</v>
      </c>
      <c r="D259" s="22">
        <v>1960</v>
      </c>
      <c r="E259" s="22">
        <v>41</v>
      </c>
      <c r="F259" s="21">
        <f t="shared" ref="F259:F322" si="12">D259*233.456</f>
        <v>457573.75999999995</v>
      </c>
      <c r="G259" s="21">
        <f t="shared" ref="G259:G322" si="13">F259*15%</f>
        <v>68636.063999999984</v>
      </c>
      <c r="H259" s="21">
        <v>90000</v>
      </c>
      <c r="I259" s="21">
        <v>15000</v>
      </c>
      <c r="J259" s="21">
        <v>15000</v>
      </c>
      <c r="K259" s="26">
        <v>90000</v>
      </c>
      <c r="L259" s="21">
        <f>SUM(F259:K259)</f>
        <v>736209.82399999991</v>
      </c>
      <c r="M259" s="21">
        <v>76277.545792000004</v>
      </c>
      <c r="N259" s="21">
        <v>70004.063039999979</v>
      </c>
      <c r="O259" s="21">
        <v>38115.894207999998</v>
      </c>
      <c r="P259" s="21">
        <f>IF((D259*233.456*3%)&gt;7004,7004,(D259*233.456*3%))</f>
        <v>7004</v>
      </c>
      <c r="Q259" s="21">
        <f t="shared" ref="Q259:Q322" si="14">L259-SUM(N259:P259)</f>
        <v>621085.86675199994</v>
      </c>
      <c r="R259" s="21">
        <v>526209.82399999991</v>
      </c>
    </row>
    <row r="260" spans="1:18" ht="15.75" thickBot="1" x14ac:dyDescent="0.3">
      <c r="A260" s="21" t="s">
        <v>107</v>
      </c>
      <c r="B260" s="22" t="s">
        <v>90</v>
      </c>
      <c r="C260" s="22" t="s">
        <v>92</v>
      </c>
      <c r="D260" s="22">
        <v>2145</v>
      </c>
      <c r="E260" s="22">
        <v>13</v>
      </c>
      <c r="F260" s="21">
        <f t="shared" si="12"/>
        <v>500763.12</v>
      </c>
      <c r="G260" s="21">
        <f t="shared" si="13"/>
        <v>75114.467999999993</v>
      </c>
      <c r="H260" s="21">
        <v>90000</v>
      </c>
      <c r="I260" s="21">
        <v>15000</v>
      </c>
      <c r="J260" s="21">
        <v>15000</v>
      </c>
      <c r="K260" s="26">
        <v>90000</v>
      </c>
      <c r="L260" s="21">
        <f>SUM(F260:K260)</f>
        <v>785877.58799999999</v>
      </c>
      <c r="M260" s="21">
        <v>83477.212104000006</v>
      </c>
      <c r="N260" s="21">
        <v>80434.293479999993</v>
      </c>
      <c r="O260" s="21">
        <v>41713.567896</v>
      </c>
      <c r="P260" s="21">
        <f>IF((D260*233.456*3%)&gt;7004,7004,(D260*233.456*3%))</f>
        <v>7004</v>
      </c>
      <c r="Q260" s="21">
        <f t="shared" si="14"/>
        <v>656725.726624</v>
      </c>
      <c r="R260" s="21">
        <v>575877.58799999999</v>
      </c>
    </row>
    <row r="261" spans="1:18" ht="15.75" thickBot="1" x14ac:dyDescent="0.3">
      <c r="A261" s="21" t="s">
        <v>107</v>
      </c>
      <c r="B261" s="22" t="s">
        <v>90</v>
      </c>
      <c r="C261" s="22" t="s">
        <v>92</v>
      </c>
      <c r="D261" s="22">
        <v>2130</v>
      </c>
      <c r="E261" s="22">
        <v>12</v>
      </c>
      <c r="F261" s="21">
        <f t="shared" si="12"/>
        <v>497261.27999999997</v>
      </c>
      <c r="G261" s="21">
        <f t="shared" si="13"/>
        <v>74589.191999999995</v>
      </c>
      <c r="H261" s="21">
        <v>90000</v>
      </c>
      <c r="I261" s="21">
        <v>15000</v>
      </c>
      <c r="J261" s="21">
        <v>15000</v>
      </c>
      <c r="K261" s="26">
        <v>90000</v>
      </c>
      <c r="L261" s="21">
        <f>SUM(F261:K261)</f>
        <v>781850.47199999995</v>
      </c>
      <c r="M261" s="21">
        <v>82893.455375999998</v>
      </c>
      <c r="N261" s="21">
        <v>79588.599119999984</v>
      </c>
      <c r="O261" s="21">
        <v>41421.864623999994</v>
      </c>
      <c r="P261" s="21">
        <f>IF((D261*233.456*3%)&gt;7004,7004,(D261*233.456*3%))</f>
        <v>7004</v>
      </c>
      <c r="Q261" s="21">
        <f t="shared" si="14"/>
        <v>653836.008256</v>
      </c>
      <c r="R261" s="21">
        <v>571850.47199999995</v>
      </c>
    </row>
    <row r="262" spans="1:18" ht="15.75" thickBot="1" x14ac:dyDescent="0.3">
      <c r="A262" s="21" t="s">
        <v>107</v>
      </c>
      <c r="B262" s="22" t="s">
        <v>90</v>
      </c>
      <c r="C262" s="22" t="s">
        <v>92</v>
      </c>
      <c r="D262" s="22">
        <v>2055</v>
      </c>
      <c r="E262" s="22">
        <v>11</v>
      </c>
      <c r="F262" s="21">
        <f t="shared" si="12"/>
        <v>479752.07999999996</v>
      </c>
      <c r="G262" s="21">
        <f t="shared" si="13"/>
        <v>71962.811999999991</v>
      </c>
      <c r="H262" s="21">
        <v>90000</v>
      </c>
      <c r="I262" s="21">
        <v>15000</v>
      </c>
      <c r="J262" s="21">
        <v>15000</v>
      </c>
      <c r="K262" s="26">
        <v>90000</v>
      </c>
      <c r="L262" s="21">
        <f>SUM(F262:K262)</f>
        <v>761714.89199999999</v>
      </c>
      <c r="M262" s="21">
        <v>79974.671736000004</v>
      </c>
      <c r="N262" s="21">
        <v>75360.12732</v>
      </c>
      <c r="O262" s="21">
        <v>39963.348263999993</v>
      </c>
      <c r="P262" s="21">
        <f>IF((D262*233.456*3%)&gt;7004,7004,(D262*233.456*3%))</f>
        <v>7004</v>
      </c>
      <c r="Q262" s="21">
        <f t="shared" si="14"/>
        <v>639387.41641599999</v>
      </c>
      <c r="R262" s="21">
        <v>551714.89199999999</v>
      </c>
    </row>
    <row r="263" spans="1:18" ht="15.75" thickBot="1" x14ac:dyDescent="0.3">
      <c r="A263" s="21" t="s">
        <v>107</v>
      </c>
      <c r="B263" s="22" t="s">
        <v>90</v>
      </c>
      <c r="C263" s="22" t="s">
        <v>92</v>
      </c>
      <c r="D263" s="22">
        <v>1980</v>
      </c>
      <c r="E263" s="22">
        <v>23</v>
      </c>
      <c r="F263" s="21">
        <f t="shared" si="12"/>
        <v>462242.88</v>
      </c>
      <c r="G263" s="21">
        <f t="shared" si="13"/>
        <v>69336.432000000001</v>
      </c>
      <c r="H263" s="21">
        <v>90000</v>
      </c>
      <c r="I263" s="21">
        <v>15000</v>
      </c>
      <c r="J263" s="21">
        <v>15000</v>
      </c>
      <c r="K263" s="26">
        <v>90000</v>
      </c>
      <c r="L263" s="21">
        <f>SUM(F263:K263)</f>
        <v>741579.31200000003</v>
      </c>
      <c r="M263" s="21">
        <v>77055.88809600001</v>
      </c>
      <c r="N263" s="21">
        <v>71131.65552</v>
      </c>
      <c r="O263" s="21">
        <v>38504.831903999999</v>
      </c>
      <c r="P263" s="21">
        <f>IF((D263*233.456*3%)&gt;7004,7004,(D263*233.456*3%))</f>
        <v>7004</v>
      </c>
      <c r="Q263" s="21">
        <f t="shared" si="14"/>
        <v>624938.82457599998</v>
      </c>
      <c r="R263" s="21">
        <v>531579.31200000003</v>
      </c>
    </row>
    <row r="264" spans="1:18" ht="15.75" thickBot="1" x14ac:dyDescent="0.3">
      <c r="A264" s="21" t="s">
        <v>107</v>
      </c>
      <c r="B264" s="22" t="s">
        <v>90</v>
      </c>
      <c r="C264" s="22" t="s">
        <v>92</v>
      </c>
      <c r="D264" s="22">
        <v>1955</v>
      </c>
      <c r="E264" s="22">
        <v>22</v>
      </c>
      <c r="F264" s="21">
        <f t="shared" si="12"/>
        <v>456406.48</v>
      </c>
      <c r="G264" s="21">
        <f t="shared" si="13"/>
        <v>68460.971999999994</v>
      </c>
      <c r="H264" s="21">
        <v>90000</v>
      </c>
      <c r="I264" s="21">
        <v>15000</v>
      </c>
      <c r="J264" s="21">
        <v>15000</v>
      </c>
      <c r="K264" s="26">
        <v>90000</v>
      </c>
      <c r="L264" s="21">
        <f>SUM(F264:K264)</f>
        <v>734867.45199999993</v>
      </c>
      <c r="M264" s="21">
        <v>76082.960216000007</v>
      </c>
      <c r="N264" s="21">
        <v>69722.164919999981</v>
      </c>
      <c r="O264" s="21">
        <v>38018.659783999996</v>
      </c>
      <c r="P264" s="21">
        <f>IF((D264*233.456*3%)&gt;7004,7004,(D264*233.456*3%))</f>
        <v>7004</v>
      </c>
      <c r="Q264" s="21">
        <f t="shared" si="14"/>
        <v>620122.62729600002</v>
      </c>
      <c r="R264" s="21">
        <v>524867.45199999993</v>
      </c>
    </row>
    <row r="265" spans="1:18" ht="15.75" thickBot="1" x14ac:dyDescent="0.3">
      <c r="A265" s="21" t="s">
        <v>107</v>
      </c>
      <c r="B265" s="22" t="s">
        <v>90</v>
      </c>
      <c r="C265" s="22" t="s">
        <v>92</v>
      </c>
      <c r="D265" s="22">
        <v>1880</v>
      </c>
      <c r="E265" s="22">
        <v>21</v>
      </c>
      <c r="F265" s="21">
        <f t="shared" si="12"/>
        <v>438897.27999999997</v>
      </c>
      <c r="G265" s="21">
        <f t="shared" si="13"/>
        <v>65834.59199999999</v>
      </c>
      <c r="H265" s="21">
        <v>90000</v>
      </c>
      <c r="I265" s="21">
        <v>15000</v>
      </c>
      <c r="J265" s="21">
        <v>15000</v>
      </c>
      <c r="K265" s="26">
        <v>90000</v>
      </c>
      <c r="L265" s="21">
        <f>SUM(F265:K265)</f>
        <v>714731.87199999997</v>
      </c>
      <c r="M265" s="21">
        <v>73164.176575999998</v>
      </c>
      <c r="N265" s="21">
        <v>65493.693119999982</v>
      </c>
      <c r="O265" s="21">
        <v>36560.143423999994</v>
      </c>
      <c r="P265" s="21">
        <f>IF((D265*233.456*3%)&gt;7004,7004,(D265*233.456*3%))</f>
        <v>7004</v>
      </c>
      <c r="Q265" s="21">
        <f t="shared" si="14"/>
        <v>605674.03545600001</v>
      </c>
      <c r="R265" s="21">
        <v>504731.87199999997</v>
      </c>
    </row>
    <row r="266" spans="1:18" ht="15.75" thickBot="1" x14ac:dyDescent="0.3">
      <c r="A266" s="21" t="s">
        <v>107</v>
      </c>
      <c r="B266" s="22" t="s">
        <v>90</v>
      </c>
      <c r="C266" s="22" t="s">
        <v>92</v>
      </c>
      <c r="D266" s="22">
        <v>1765</v>
      </c>
      <c r="E266" s="22">
        <v>33</v>
      </c>
      <c r="F266" s="21">
        <f t="shared" si="12"/>
        <v>412049.83999999997</v>
      </c>
      <c r="G266" s="21">
        <f t="shared" si="13"/>
        <v>61807.475999999995</v>
      </c>
      <c r="H266" s="21">
        <v>90000</v>
      </c>
      <c r="I266" s="21">
        <v>15000</v>
      </c>
      <c r="J266" s="21">
        <v>15000</v>
      </c>
      <c r="K266" s="26">
        <v>90000</v>
      </c>
      <c r="L266" s="21">
        <f>SUM(F266:K266)</f>
        <v>683857.31599999999</v>
      </c>
      <c r="M266" s="21">
        <v>68688.708328000008</v>
      </c>
      <c r="N266" s="21">
        <v>59010.036359999998</v>
      </c>
      <c r="O266" s="21">
        <v>34323.751671999999</v>
      </c>
      <c r="P266" s="21">
        <f>IF((D266*233.456*3%)&gt;7004,7004,(D266*233.456*3%))</f>
        <v>7004</v>
      </c>
      <c r="Q266" s="21">
        <f t="shared" si="14"/>
        <v>583519.52796800004</v>
      </c>
      <c r="R266" s="21">
        <v>473857.31599999999</v>
      </c>
    </row>
    <row r="267" spans="1:18" ht="15.75" thickBot="1" x14ac:dyDescent="0.3">
      <c r="A267" s="21" t="s">
        <v>107</v>
      </c>
      <c r="B267" s="22" t="s">
        <v>90</v>
      </c>
      <c r="C267" s="22" t="s">
        <v>92</v>
      </c>
      <c r="D267" s="22">
        <v>1655</v>
      </c>
      <c r="E267" s="22">
        <v>32</v>
      </c>
      <c r="F267" s="21">
        <f t="shared" si="12"/>
        <v>386369.68</v>
      </c>
      <c r="G267" s="21">
        <f t="shared" si="13"/>
        <v>57955.451999999997</v>
      </c>
      <c r="H267" s="21">
        <v>90000</v>
      </c>
      <c r="I267" s="21">
        <v>15000</v>
      </c>
      <c r="J267" s="21">
        <v>15000</v>
      </c>
      <c r="K267" s="26">
        <v>90000</v>
      </c>
      <c r="L267" s="21">
        <f>SUM(F267:K267)</f>
        <v>654325.13199999998</v>
      </c>
      <c r="M267" s="21">
        <v>64407.825656000008</v>
      </c>
      <c r="N267" s="21">
        <v>52808.277719999998</v>
      </c>
      <c r="O267" s="21">
        <v>32184.594343999997</v>
      </c>
      <c r="P267" s="21">
        <f>IF((D267*233.456*3%)&gt;7004,7004,(D267*233.456*3%))</f>
        <v>7004</v>
      </c>
      <c r="Q267" s="21">
        <f t="shared" si="14"/>
        <v>562328.25993599999</v>
      </c>
      <c r="R267" s="21">
        <v>444325.13199999998</v>
      </c>
    </row>
    <row r="268" spans="1:18" ht="15.75" thickBot="1" x14ac:dyDescent="0.3">
      <c r="A268" s="21" t="s">
        <v>107</v>
      </c>
      <c r="B268" s="22" t="s">
        <v>90</v>
      </c>
      <c r="C268" s="22" t="s">
        <v>92</v>
      </c>
      <c r="D268" s="22">
        <v>1580</v>
      </c>
      <c r="E268" s="22">
        <v>31</v>
      </c>
      <c r="F268" s="21">
        <f t="shared" si="12"/>
        <v>368860.48</v>
      </c>
      <c r="G268" s="21">
        <f t="shared" si="13"/>
        <v>55329.071999999993</v>
      </c>
      <c r="H268" s="21">
        <v>90000</v>
      </c>
      <c r="I268" s="21">
        <v>15000</v>
      </c>
      <c r="J268" s="21">
        <v>15000</v>
      </c>
      <c r="K268" s="26">
        <v>90000</v>
      </c>
      <c r="L268" s="21">
        <f>SUM(F268:K268)</f>
        <v>634189.55199999991</v>
      </c>
      <c r="M268" s="21">
        <v>61489.042015999999</v>
      </c>
      <c r="N268" s="21">
        <v>48579.805919999992</v>
      </c>
      <c r="O268" s="21">
        <v>30726.077984</v>
      </c>
      <c r="P268" s="21">
        <f>IF((D268*233.456*3%)&gt;7004,7004,(D268*233.456*3%))</f>
        <v>7004</v>
      </c>
      <c r="Q268" s="21">
        <f t="shared" si="14"/>
        <v>547879.66809599986</v>
      </c>
      <c r="R268" s="21">
        <v>424189.55199999997</v>
      </c>
    </row>
    <row r="269" spans="1:18" ht="15.75" thickBot="1" x14ac:dyDescent="0.3">
      <c r="A269" s="21" t="s">
        <v>107</v>
      </c>
      <c r="B269" s="22" t="s">
        <v>90</v>
      </c>
      <c r="C269" s="22" t="s">
        <v>92</v>
      </c>
      <c r="D269" s="22">
        <v>1485</v>
      </c>
      <c r="E269" s="22">
        <v>44</v>
      </c>
      <c r="F269" s="21">
        <f t="shared" si="12"/>
        <v>346682.16</v>
      </c>
      <c r="G269" s="21">
        <f t="shared" si="13"/>
        <v>52002.323999999993</v>
      </c>
      <c r="H269" s="21">
        <v>90000</v>
      </c>
      <c r="I269" s="21">
        <v>15000</v>
      </c>
      <c r="J269" s="21">
        <v>15000</v>
      </c>
      <c r="K269" s="26">
        <v>90000</v>
      </c>
      <c r="L269" s="21">
        <f>SUM(F269:K269)</f>
        <v>608684.48399999994</v>
      </c>
      <c r="M269" s="21">
        <v>57791.916072</v>
      </c>
      <c r="N269" s="21">
        <v>43223.741639999986</v>
      </c>
      <c r="O269" s="21">
        <v>28878.623927999997</v>
      </c>
      <c r="P269" s="21">
        <f>IF((D269*233.456*3%)&gt;7004,7004,(D269*233.456*3%))</f>
        <v>7004</v>
      </c>
      <c r="Q269" s="21">
        <f t="shared" si="14"/>
        <v>529578.11843199993</v>
      </c>
      <c r="R269" s="21">
        <v>398684.48399999994</v>
      </c>
    </row>
    <row r="270" spans="1:18" ht="15.75" thickBot="1" x14ac:dyDescent="0.3">
      <c r="A270" s="21" t="s">
        <v>107</v>
      </c>
      <c r="B270" s="22" t="s">
        <v>90</v>
      </c>
      <c r="C270" s="22" t="s">
        <v>92</v>
      </c>
      <c r="D270" s="22">
        <v>1410</v>
      </c>
      <c r="E270" s="22">
        <v>43</v>
      </c>
      <c r="F270" s="21">
        <f t="shared" si="12"/>
        <v>329172.95999999996</v>
      </c>
      <c r="G270" s="21">
        <f t="shared" si="13"/>
        <v>49375.943999999996</v>
      </c>
      <c r="H270" s="21">
        <v>90000</v>
      </c>
      <c r="I270" s="21">
        <v>15000</v>
      </c>
      <c r="J270" s="21">
        <v>15000</v>
      </c>
      <c r="K270" s="26">
        <v>90000</v>
      </c>
      <c r="L270" s="21">
        <f>SUM(F270:K270)</f>
        <v>588548.90399999998</v>
      </c>
      <c r="M270" s="21">
        <v>54873.132431999999</v>
      </c>
      <c r="N270" s="21">
        <v>38995.269839999994</v>
      </c>
      <c r="O270" s="21">
        <v>27420.107567999996</v>
      </c>
      <c r="P270" s="21">
        <f>IF((D270*233.456*3%)&gt;7004,7004,(D270*233.456*3%))</f>
        <v>7004</v>
      </c>
      <c r="Q270" s="21">
        <f t="shared" si="14"/>
        <v>515129.52659199998</v>
      </c>
      <c r="R270" s="21">
        <v>378548.90399999998</v>
      </c>
    </row>
    <row r="271" spans="1:18" ht="15.75" thickBot="1" x14ac:dyDescent="0.3">
      <c r="A271" s="21" t="s">
        <v>107</v>
      </c>
      <c r="B271" s="22" t="s">
        <v>90</v>
      </c>
      <c r="C271" s="22" t="s">
        <v>92</v>
      </c>
      <c r="D271" s="22">
        <v>1360</v>
      </c>
      <c r="E271" s="22">
        <v>42</v>
      </c>
      <c r="F271" s="21">
        <f t="shared" si="12"/>
        <v>317500.15999999997</v>
      </c>
      <c r="G271" s="21">
        <f t="shared" si="13"/>
        <v>47625.023999999998</v>
      </c>
      <c r="H271" s="21">
        <v>90000</v>
      </c>
      <c r="I271" s="21">
        <v>15000</v>
      </c>
      <c r="J271" s="21">
        <v>15000</v>
      </c>
      <c r="K271" s="26">
        <v>90000</v>
      </c>
      <c r="L271" s="21">
        <f>SUM(F271:K271)</f>
        <v>575125.18399999989</v>
      </c>
      <c r="M271" s="21">
        <v>52927.276672</v>
      </c>
      <c r="N271" s="21">
        <v>36176.288639999984</v>
      </c>
      <c r="O271" s="21">
        <v>26447.763327999997</v>
      </c>
      <c r="P271" s="21">
        <f>IF((D271*233.456*3%)&gt;7004,7004,(D271*233.456*3%))</f>
        <v>7004</v>
      </c>
      <c r="Q271" s="21">
        <f t="shared" si="14"/>
        <v>505497.13203199988</v>
      </c>
      <c r="R271" s="21">
        <v>365125.18399999995</v>
      </c>
    </row>
    <row r="272" spans="1:18" ht="15.75" thickBot="1" x14ac:dyDescent="0.3">
      <c r="A272" s="21" t="s">
        <v>107</v>
      </c>
      <c r="B272" s="22" t="s">
        <v>90</v>
      </c>
      <c r="C272" s="22" t="s">
        <v>92</v>
      </c>
      <c r="D272" s="22">
        <v>1315</v>
      </c>
      <c r="E272" s="22">
        <v>41</v>
      </c>
      <c r="F272" s="21">
        <f t="shared" si="12"/>
        <v>306994.64</v>
      </c>
      <c r="G272" s="21">
        <f t="shared" si="13"/>
        <v>46049.196000000004</v>
      </c>
      <c r="H272" s="21">
        <v>90000</v>
      </c>
      <c r="I272" s="21">
        <v>15000</v>
      </c>
      <c r="J272" s="21">
        <v>15000</v>
      </c>
      <c r="K272" s="26">
        <v>90000</v>
      </c>
      <c r="L272" s="21">
        <f>SUM(F272:K272)</f>
        <v>563043.83600000001</v>
      </c>
      <c r="M272" s="21">
        <v>51176.006488000006</v>
      </c>
      <c r="N272" s="21">
        <v>33639.205560000002</v>
      </c>
      <c r="O272" s="21">
        <v>25572.653512000001</v>
      </c>
      <c r="P272" s="21">
        <f>IF((D272*233.456*3%)&gt;7004,7004,(D272*233.456*3%))</f>
        <v>7004</v>
      </c>
      <c r="Q272" s="21">
        <f t="shared" si="14"/>
        <v>496827.97692799999</v>
      </c>
      <c r="R272" s="21">
        <v>353043.83600000001</v>
      </c>
    </row>
    <row r="273" spans="1:18" ht="15.75" thickBot="1" x14ac:dyDescent="0.3">
      <c r="A273" s="21" t="s">
        <v>107</v>
      </c>
      <c r="B273" s="22" t="s">
        <v>90</v>
      </c>
      <c r="C273" s="22" t="s">
        <v>93</v>
      </c>
      <c r="D273" s="22">
        <v>2115</v>
      </c>
      <c r="E273" s="22">
        <v>13</v>
      </c>
      <c r="F273" s="21">
        <f t="shared" si="12"/>
        <v>493759.44</v>
      </c>
      <c r="G273" s="21">
        <f t="shared" si="13"/>
        <v>74063.915999999997</v>
      </c>
      <c r="H273" s="21">
        <v>90000</v>
      </c>
      <c r="I273" s="21">
        <v>15000</v>
      </c>
      <c r="J273" s="21">
        <v>15000</v>
      </c>
      <c r="K273" s="26">
        <v>90000</v>
      </c>
      <c r="L273" s="21">
        <f>SUM(F273:K273)</f>
        <v>777823.35600000003</v>
      </c>
      <c r="M273" s="21">
        <v>82309.698648000005</v>
      </c>
      <c r="N273" s="21">
        <v>78742.904760000005</v>
      </c>
      <c r="O273" s="21">
        <v>41130.161352000003</v>
      </c>
      <c r="P273" s="21">
        <f>IF((D273*233.456*3%)&gt;7004,7004,(D273*233.456*3%))</f>
        <v>7004</v>
      </c>
      <c r="Q273" s="21">
        <f t="shared" si="14"/>
        <v>650946.289888</v>
      </c>
      <c r="R273" s="21">
        <v>567823.35600000003</v>
      </c>
    </row>
    <row r="274" spans="1:18" ht="15.75" thickBot="1" x14ac:dyDescent="0.3">
      <c r="A274" s="21" t="s">
        <v>107</v>
      </c>
      <c r="B274" s="22" t="s">
        <v>90</v>
      </c>
      <c r="C274" s="22" t="s">
        <v>93</v>
      </c>
      <c r="D274" s="22">
        <v>2105</v>
      </c>
      <c r="E274" s="22">
        <v>12</v>
      </c>
      <c r="F274" s="21">
        <f t="shared" si="12"/>
        <v>491424.88</v>
      </c>
      <c r="G274" s="21">
        <f t="shared" si="13"/>
        <v>73713.732000000004</v>
      </c>
      <c r="H274" s="21">
        <v>90000</v>
      </c>
      <c r="I274" s="21">
        <v>15000</v>
      </c>
      <c r="J274" s="21">
        <v>15000</v>
      </c>
      <c r="K274" s="26">
        <v>90000</v>
      </c>
      <c r="L274" s="21">
        <f>SUM(F274:K274)</f>
        <v>775138.61199999996</v>
      </c>
      <c r="M274" s="21">
        <v>81920.52749600001</v>
      </c>
      <c r="N274" s="21">
        <v>78179.108519999994</v>
      </c>
      <c r="O274" s="21">
        <v>40935.692503999999</v>
      </c>
      <c r="P274" s="21">
        <f>IF((D274*233.456*3%)&gt;7004,7004,(D274*233.456*3%))</f>
        <v>7004</v>
      </c>
      <c r="Q274" s="21">
        <f t="shared" si="14"/>
        <v>649019.81097600004</v>
      </c>
      <c r="R274" s="21">
        <v>565138.61199999996</v>
      </c>
    </row>
    <row r="275" spans="1:18" ht="15.75" thickBot="1" x14ac:dyDescent="0.3">
      <c r="A275" s="21" t="s">
        <v>107</v>
      </c>
      <c r="B275" s="22" t="s">
        <v>90</v>
      </c>
      <c r="C275" s="22" t="s">
        <v>93</v>
      </c>
      <c r="D275" s="22">
        <v>2040</v>
      </c>
      <c r="E275" s="22">
        <v>11</v>
      </c>
      <c r="F275" s="21">
        <f t="shared" si="12"/>
        <v>476250.24</v>
      </c>
      <c r="G275" s="21">
        <f t="shared" si="13"/>
        <v>71437.535999999993</v>
      </c>
      <c r="H275" s="21">
        <v>90000</v>
      </c>
      <c r="I275" s="21">
        <v>15000</v>
      </c>
      <c r="J275" s="21">
        <v>15000</v>
      </c>
      <c r="K275" s="26">
        <v>90000</v>
      </c>
      <c r="L275" s="21">
        <f>SUM(F275:K275)</f>
        <v>757687.77599999995</v>
      </c>
      <c r="M275" s="21">
        <v>79390.915008000011</v>
      </c>
      <c r="N275" s="21">
        <v>74514.432959999991</v>
      </c>
      <c r="O275" s="21">
        <v>39671.644992000001</v>
      </c>
      <c r="P275" s="21">
        <f>IF((D275*233.456*3%)&gt;7004,7004,(D275*233.456*3%))</f>
        <v>7004</v>
      </c>
      <c r="Q275" s="21">
        <f t="shared" si="14"/>
        <v>636497.69804799999</v>
      </c>
      <c r="R275" s="21">
        <v>547687.77599999995</v>
      </c>
    </row>
    <row r="276" spans="1:18" ht="15.75" thickBot="1" x14ac:dyDescent="0.3">
      <c r="A276" s="21" t="s">
        <v>107</v>
      </c>
      <c r="B276" s="22" t="s">
        <v>90</v>
      </c>
      <c r="C276" s="22" t="s">
        <v>93</v>
      </c>
      <c r="D276" s="22">
        <v>1905</v>
      </c>
      <c r="E276" s="22">
        <v>23</v>
      </c>
      <c r="F276" s="21">
        <f t="shared" si="12"/>
        <v>444733.68</v>
      </c>
      <c r="G276" s="21">
        <f t="shared" si="13"/>
        <v>66710.051999999996</v>
      </c>
      <c r="H276" s="21">
        <v>90000</v>
      </c>
      <c r="I276" s="21">
        <v>15000</v>
      </c>
      <c r="J276" s="21">
        <v>15000</v>
      </c>
      <c r="K276" s="26">
        <v>90000</v>
      </c>
      <c r="L276" s="21">
        <f>SUM(F276:K276)</f>
        <v>721443.73199999996</v>
      </c>
      <c r="M276" s="21">
        <v>74137.104456000001</v>
      </c>
      <c r="N276" s="21">
        <v>66903.183719999986</v>
      </c>
      <c r="O276" s="21">
        <v>37046.315543999997</v>
      </c>
      <c r="P276" s="21">
        <f>IF((D276*233.456*3%)&gt;7004,7004,(D276*233.456*3%))</f>
        <v>7004</v>
      </c>
      <c r="Q276" s="21">
        <f t="shared" si="14"/>
        <v>610490.23273599998</v>
      </c>
      <c r="R276" s="21">
        <v>511443.73199999996</v>
      </c>
    </row>
    <row r="277" spans="1:18" ht="15.75" thickBot="1" x14ac:dyDescent="0.3">
      <c r="A277" s="21" t="s">
        <v>107</v>
      </c>
      <c r="B277" s="22" t="s">
        <v>90</v>
      </c>
      <c r="C277" s="22" t="s">
        <v>93</v>
      </c>
      <c r="D277" s="22">
        <v>1810</v>
      </c>
      <c r="E277" s="22">
        <v>22</v>
      </c>
      <c r="F277" s="21">
        <f t="shared" si="12"/>
        <v>422555.36</v>
      </c>
      <c r="G277" s="21">
        <f t="shared" si="13"/>
        <v>63383.303999999996</v>
      </c>
      <c r="H277" s="21">
        <v>90000</v>
      </c>
      <c r="I277" s="21">
        <v>15000</v>
      </c>
      <c r="J277" s="21">
        <v>15000</v>
      </c>
      <c r="K277" s="26">
        <v>90000</v>
      </c>
      <c r="L277" s="21">
        <f>SUM(F277:K277)</f>
        <v>695938.66399999999</v>
      </c>
      <c r="M277" s="21">
        <v>70439.978512000002</v>
      </c>
      <c r="N277" s="21">
        <v>61547.119439999995</v>
      </c>
      <c r="O277" s="21">
        <v>35198.861487999995</v>
      </c>
      <c r="P277" s="21">
        <f>IF((D277*233.456*3%)&gt;7004,7004,(D277*233.456*3%))</f>
        <v>7004</v>
      </c>
      <c r="Q277" s="21">
        <f t="shared" si="14"/>
        <v>592188.68307200004</v>
      </c>
      <c r="R277" s="21">
        <v>485938.66399999999</v>
      </c>
    </row>
    <row r="278" spans="1:18" ht="15.75" thickBot="1" x14ac:dyDescent="0.3">
      <c r="A278" s="21" t="s">
        <v>107</v>
      </c>
      <c r="B278" s="22" t="s">
        <v>90</v>
      </c>
      <c r="C278" s="22" t="s">
        <v>93</v>
      </c>
      <c r="D278" s="22">
        <v>1680</v>
      </c>
      <c r="E278" s="22">
        <v>21</v>
      </c>
      <c r="F278" s="21">
        <f t="shared" si="12"/>
        <v>392206.07999999996</v>
      </c>
      <c r="G278" s="21">
        <f t="shared" si="13"/>
        <v>58830.911999999989</v>
      </c>
      <c r="H278" s="21">
        <v>90000</v>
      </c>
      <c r="I278" s="21">
        <v>15000</v>
      </c>
      <c r="J278" s="21">
        <v>15000</v>
      </c>
      <c r="K278" s="26">
        <v>90000</v>
      </c>
      <c r="L278" s="21">
        <f>SUM(F278:K278)</f>
        <v>661036.99199999997</v>
      </c>
      <c r="M278" s="21">
        <v>65380.753535999997</v>
      </c>
      <c r="N278" s="21">
        <v>54217.768319999988</v>
      </c>
      <c r="O278" s="21">
        <v>32670.766463999997</v>
      </c>
      <c r="P278" s="21">
        <f>IF((D278*233.456*3%)&gt;7004,7004,(D278*233.456*3%))</f>
        <v>7004</v>
      </c>
      <c r="Q278" s="21">
        <f t="shared" si="14"/>
        <v>567144.45721599995</v>
      </c>
      <c r="R278" s="21">
        <v>451036.99199999997</v>
      </c>
    </row>
    <row r="279" spans="1:18" ht="15.75" thickBot="1" x14ac:dyDescent="0.3">
      <c r="A279" s="21" t="s">
        <v>107</v>
      </c>
      <c r="B279" s="22" t="s">
        <v>90</v>
      </c>
      <c r="C279" s="22" t="s">
        <v>93</v>
      </c>
      <c r="D279" s="22">
        <v>1520</v>
      </c>
      <c r="E279" s="22">
        <v>33</v>
      </c>
      <c r="F279" s="21">
        <f t="shared" si="12"/>
        <v>354853.12</v>
      </c>
      <c r="G279" s="21">
        <f t="shared" si="13"/>
        <v>53227.968000000001</v>
      </c>
      <c r="H279" s="21">
        <v>90000</v>
      </c>
      <c r="I279" s="21">
        <v>15000</v>
      </c>
      <c r="J279" s="21">
        <v>15000</v>
      </c>
      <c r="K279" s="26">
        <v>90000</v>
      </c>
      <c r="L279" s="21">
        <f>SUM(F279:K279)</f>
        <v>618081.08799999999</v>
      </c>
      <c r="M279" s="21">
        <v>59154.015104000006</v>
      </c>
      <c r="N279" s="21">
        <v>45197.028479999994</v>
      </c>
      <c r="O279" s="21">
        <v>29559.264896000001</v>
      </c>
      <c r="P279" s="21">
        <f>IF((D279*233.456*3%)&gt;7004,7004,(D279*233.456*3%))</f>
        <v>7004</v>
      </c>
      <c r="Q279" s="21">
        <f t="shared" si="14"/>
        <v>536320.79462399997</v>
      </c>
      <c r="R279" s="21">
        <v>408081.08799999999</v>
      </c>
    </row>
    <row r="280" spans="1:18" ht="15.75" thickBot="1" x14ac:dyDescent="0.3">
      <c r="A280" s="21" t="s">
        <v>107</v>
      </c>
      <c r="B280" s="22" t="s">
        <v>90</v>
      </c>
      <c r="C280" s="22" t="s">
        <v>93</v>
      </c>
      <c r="D280" s="22">
        <v>1390</v>
      </c>
      <c r="E280" s="22">
        <v>32</v>
      </c>
      <c r="F280" s="21">
        <f t="shared" si="12"/>
        <v>324503.83999999997</v>
      </c>
      <c r="G280" s="21">
        <f t="shared" si="13"/>
        <v>48675.575999999994</v>
      </c>
      <c r="H280" s="21">
        <v>90000</v>
      </c>
      <c r="I280" s="21">
        <v>15000</v>
      </c>
      <c r="J280" s="21">
        <v>15000</v>
      </c>
      <c r="K280" s="26">
        <v>90000</v>
      </c>
      <c r="L280" s="21">
        <f>SUM(F280:K280)</f>
        <v>583179.41599999997</v>
      </c>
      <c r="M280" s="21">
        <v>54094.790128000001</v>
      </c>
      <c r="N280" s="21">
        <v>37867.677359999987</v>
      </c>
      <c r="O280" s="21">
        <v>27031.169871999999</v>
      </c>
      <c r="P280" s="21">
        <f>IF((D280*233.456*3%)&gt;7004,7004,(D280*233.456*3%))</f>
        <v>7004</v>
      </c>
      <c r="Q280" s="21">
        <f t="shared" si="14"/>
        <v>511276.568768</v>
      </c>
      <c r="R280" s="21">
        <v>373179.41599999997</v>
      </c>
    </row>
    <row r="281" spans="1:18" ht="15.75" thickBot="1" x14ac:dyDescent="0.3">
      <c r="A281" s="21" t="s">
        <v>107</v>
      </c>
      <c r="B281" s="22" t="s">
        <v>90</v>
      </c>
      <c r="C281" s="22" t="s">
        <v>93</v>
      </c>
      <c r="D281" s="22">
        <v>1295</v>
      </c>
      <c r="E281" s="22">
        <v>31</v>
      </c>
      <c r="F281" s="21">
        <f t="shared" si="12"/>
        <v>302325.51999999996</v>
      </c>
      <c r="G281" s="21">
        <f t="shared" si="13"/>
        <v>45348.827999999994</v>
      </c>
      <c r="H281" s="21">
        <v>90000</v>
      </c>
      <c r="I281" s="21">
        <v>15000</v>
      </c>
      <c r="J281" s="21">
        <v>15000</v>
      </c>
      <c r="K281" s="26">
        <v>90000</v>
      </c>
      <c r="L281" s="21">
        <f>SUM(F281:K281)</f>
        <v>557674.348</v>
      </c>
      <c r="M281" s="21">
        <v>50397.664184000001</v>
      </c>
      <c r="N281" s="21">
        <v>32511.613079999988</v>
      </c>
      <c r="O281" s="21">
        <v>25183.715815999996</v>
      </c>
      <c r="P281" s="21">
        <f>IF((D281*233.456*3%)&gt;7004,7004,(D281*233.456*3%))</f>
        <v>7004</v>
      </c>
      <c r="Q281" s="21">
        <f t="shared" si="14"/>
        <v>492975.01910400001</v>
      </c>
      <c r="R281" s="21">
        <v>347674.34799999994</v>
      </c>
    </row>
    <row r="282" spans="1:18" ht="15.75" thickBot="1" x14ac:dyDescent="0.3">
      <c r="A282" s="21" t="s">
        <v>107</v>
      </c>
      <c r="B282" s="22" t="s">
        <v>90</v>
      </c>
      <c r="C282" s="22" t="s">
        <v>93</v>
      </c>
      <c r="D282" s="22">
        <v>1165</v>
      </c>
      <c r="E282" s="22">
        <v>44</v>
      </c>
      <c r="F282" s="21">
        <f t="shared" si="12"/>
        <v>271976.24</v>
      </c>
      <c r="G282" s="21">
        <f t="shared" si="13"/>
        <v>40796.435999999994</v>
      </c>
      <c r="H282" s="21">
        <v>90000</v>
      </c>
      <c r="I282" s="21">
        <v>15000</v>
      </c>
      <c r="J282" s="21">
        <v>15000</v>
      </c>
      <c r="K282" s="26">
        <v>90000</v>
      </c>
      <c r="L282" s="21">
        <f>SUM(F282:K282)</f>
        <v>522772.67599999998</v>
      </c>
      <c r="M282" s="21">
        <v>45338.439208000003</v>
      </c>
      <c r="N282" s="21">
        <v>25182.261959999996</v>
      </c>
      <c r="O282" s="21">
        <v>22655.620791999998</v>
      </c>
      <c r="P282" s="21">
        <f>IF((D282*233.456*3%)&gt;7004,7004,(D282*233.456*3%))</f>
        <v>7004</v>
      </c>
      <c r="Q282" s="21">
        <f t="shared" si="14"/>
        <v>467930.79324799997</v>
      </c>
      <c r="R282" s="21">
        <v>312772.67599999998</v>
      </c>
    </row>
    <row r="283" spans="1:18" ht="15.75" thickBot="1" x14ac:dyDescent="0.3">
      <c r="A283" s="21" t="s">
        <v>107</v>
      </c>
      <c r="B283" s="22" t="s">
        <v>90</v>
      </c>
      <c r="C283" s="22" t="s">
        <v>93</v>
      </c>
      <c r="D283" s="22">
        <v>1070</v>
      </c>
      <c r="E283" s="22">
        <v>43</v>
      </c>
      <c r="F283" s="21">
        <f t="shared" si="12"/>
        <v>249797.91999999998</v>
      </c>
      <c r="G283" s="21">
        <f t="shared" si="13"/>
        <v>37469.687999999995</v>
      </c>
      <c r="H283" s="21">
        <v>90000</v>
      </c>
      <c r="I283" s="21">
        <v>15000</v>
      </c>
      <c r="J283" s="21">
        <v>15000</v>
      </c>
      <c r="K283" s="26">
        <v>90000</v>
      </c>
      <c r="L283" s="21">
        <f>SUM(F283:K283)</f>
        <v>497267.60800000001</v>
      </c>
      <c r="M283" s="21">
        <v>41641.313264000004</v>
      </c>
      <c r="N283" s="21">
        <v>19826.197679999997</v>
      </c>
      <c r="O283" s="21">
        <v>20808.166735999999</v>
      </c>
      <c r="P283" s="21">
        <f>IF((D283*233.456*3%)&gt;7004,7004,(D283*233.456*3%))</f>
        <v>7004</v>
      </c>
      <c r="Q283" s="21">
        <f t="shared" si="14"/>
        <v>449629.24358400004</v>
      </c>
      <c r="R283" s="21">
        <v>287267.60800000001</v>
      </c>
    </row>
    <row r="284" spans="1:18" ht="15.75" thickBot="1" x14ac:dyDescent="0.3">
      <c r="A284" s="21" t="s">
        <v>107</v>
      </c>
      <c r="B284" s="22" t="s">
        <v>90</v>
      </c>
      <c r="C284" s="22" t="s">
        <v>93</v>
      </c>
      <c r="D284" s="22">
        <v>1005</v>
      </c>
      <c r="E284" s="22">
        <v>42</v>
      </c>
      <c r="F284" s="21">
        <f t="shared" si="12"/>
        <v>234623.28</v>
      </c>
      <c r="G284" s="21">
        <f t="shared" si="13"/>
        <v>35193.491999999998</v>
      </c>
      <c r="H284" s="21">
        <v>90000</v>
      </c>
      <c r="I284" s="21">
        <v>15000</v>
      </c>
      <c r="J284" s="21">
        <v>15000</v>
      </c>
      <c r="K284" s="26">
        <v>90000</v>
      </c>
      <c r="L284" s="21">
        <f>SUM(F284:K284)</f>
        <v>479816.772</v>
      </c>
      <c r="M284" s="21">
        <v>39111.700776000005</v>
      </c>
      <c r="N284" s="21">
        <v>16161.522120000001</v>
      </c>
      <c r="O284" s="21">
        <v>19544.119223999998</v>
      </c>
      <c r="P284" s="21">
        <f>IF((D284*233.456*3%)&gt;7004,7004,(D284*233.456*3%))</f>
        <v>7004</v>
      </c>
      <c r="Q284" s="21">
        <f t="shared" si="14"/>
        <v>437107.13065599999</v>
      </c>
      <c r="R284" s="21">
        <v>269816.772</v>
      </c>
    </row>
    <row r="285" spans="1:18" ht="15.75" thickBot="1" x14ac:dyDescent="0.3">
      <c r="A285" s="21" t="s">
        <v>107</v>
      </c>
      <c r="B285" s="22" t="s">
        <v>90</v>
      </c>
      <c r="C285" s="22" t="s">
        <v>93</v>
      </c>
      <c r="D285" s="22">
        <v>965</v>
      </c>
      <c r="E285" s="22">
        <v>41</v>
      </c>
      <c r="F285" s="21">
        <f t="shared" si="12"/>
        <v>225285.03999999998</v>
      </c>
      <c r="G285" s="21">
        <f t="shared" si="13"/>
        <v>33792.755999999994</v>
      </c>
      <c r="H285" s="21">
        <v>90000</v>
      </c>
      <c r="I285" s="21">
        <v>15000</v>
      </c>
      <c r="J285" s="21">
        <v>15000</v>
      </c>
      <c r="K285" s="26">
        <v>90000</v>
      </c>
      <c r="L285" s="21">
        <f>SUM(F285:K285)</f>
        <v>469077.79599999997</v>
      </c>
      <c r="M285" s="21">
        <v>37555.016168000002</v>
      </c>
      <c r="N285" s="21">
        <v>13906.337159999995</v>
      </c>
      <c r="O285" s="21">
        <v>18766.243831999996</v>
      </c>
      <c r="P285" s="21">
        <f>IF((D285*233.456*3%)&gt;7004,7004,(D285*233.456*3%))</f>
        <v>6758.551199999999</v>
      </c>
      <c r="Q285" s="21">
        <f t="shared" si="14"/>
        <v>429646.66380799998</v>
      </c>
      <c r="R285" s="21">
        <v>259077.79599999997</v>
      </c>
    </row>
    <row r="286" spans="1:18" ht="15.75" thickBot="1" x14ac:dyDescent="0.3">
      <c r="A286" s="21" t="s">
        <v>107</v>
      </c>
      <c r="B286" s="22" t="s">
        <v>90</v>
      </c>
      <c r="C286" s="22" t="s">
        <v>94</v>
      </c>
      <c r="D286" s="22">
        <v>2095</v>
      </c>
      <c r="E286" s="22">
        <v>13</v>
      </c>
      <c r="F286" s="21">
        <f t="shared" si="12"/>
        <v>489090.31999999995</v>
      </c>
      <c r="G286" s="21">
        <f t="shared" si="13"/>
        <v>73363.547999999995</v>
      </c>
      <c r="H286" s="21">
        <v>70000</v>
      </c>
      <c r="I286" s="21">
        <v>15000</v>
      </c>
      <c r="J286" s="21">
        <v>15000</v>
      </c>
      <c r="K286" s="26">
        <v>90000</v>
      </c>
      <c r="L286" s="21">
        <f>SUM(F286:K286)</f>
        <v>752453.8679999999</v>
      </c>
      <c r="M286" s="21">
        <v>81531.356344</v>
      </c>
      <c r="N286" s="21">
        <v>77615.312279999984</v>
      </c>
      <c r="O286" s="21">
        <v>40741.223655999995</v>
      </c>
      <c r="P286" s="21">
        <f>IF((D286*233.456*3%)&gt;7004,7004,(D286*233.456*3%))</f>
        <v>7004</v>
      </c>
      <c r="Q286" s="21">
        <f t="shared" si="14"/>
        <v>627093.33206399996</v>
      </c>
      <c r="R286" s="21">
        <v>562453.8679999999</v>
      </c>
    </row>
    <row r="287" spans="1:18" ht="15.75" thickBot="1" x14ac:dyDescent="0.3">
      <c r="A287" s="21" t="s">
        <v>107</v>
      </c>
      <c r="B287" s="22" t="s">
        <v>90</v>
      </c>
      <c r="C287" s="22" t="s">
        <v>94</v>
      </c>
      <c r="D287" s="22">
        <v>2065</v>
      </c>
      <c r="E287" s="22">
        <v>12</v>
      </c>
      <c r="F287" s="21">
        <f t="shared" si="12"/>
        <v>482086.63999999996</v>
      </c>
      <c r="G287" s="21">
        <f t="shared" si="13"/>
        <v>72312.995999999985</v>
      </c>
      <c r="H287" s="21">
        <v>70000</v>
      </c>
      <c r="I287" s="21">
        <v>15000</v>
      </c>
      <c r="J287" s="21">
        <v>15000</v>
      </c>
      <c r="K287" s="26">
        <v>90000</v>
      </c>
      <c r="L287" s="21">
        <f>SUM(F287:K287)</f>
        <v>744399.63599999994</v>
      </c>
      <c r="M287" s="21">
        <v>80363.842887999999</v>
      </c>
      <c r="N287" s="21">
        <v>75923.923559999981</v>
      </c>
      <c r="O287" s="21">
        <v>40157.817111999997</v>
      </c>
      <c r="P287" s="21">
        <f>IF((D287*233.456*3%)&gt;7004,7004,(D287*233.456*3%))</f>
        <v>7004</v>
      </c>
      <c r="Q287" s="21">
        <f t="shared" si="14"/>
        <v>621313.89532799996</v>
      </c>
      <c r="R287" s="21">
        <v>554399.63599999994</v>
      </c>
    </row>
    <row r="288" spans="1:18" ht="15.75" thickBot="1" x14ac:dyDescent="0.3">
      <c r="A288" s="21" t="s">
        <v>107</v>
      </c>
      <c r="B288" s="22" t="s">
        <v>90</v>
      </c>
      <c r="C288" s="22" t="s">
        <v>94</v>
      </c>
      <c r="D288" s="22">
        <v>2015</v>
      </c>
      <c r="E288" s="22">
        <v>11</v>
      </c>
      <c r="F288" s="21">
        <f t="shared" si="12"/>
        <v>470413.83999999997</v>
      </c>
      <c r="G288" s="21">
        <f t="shared" si="13"/>
        <v>70562.075999999986</v>
      </c>
      <c r="H288" s="21">
        <v>70000</v>
      </c>
      <c r="I288" s="21">
        <v>15000</v>
      </c>
      <c r="J288" s="21">
        <v>15000</v>
      </c>
      <c r="K288" s="26">
        <v>90000</v>
      </c>
      <c r="L288" s="21">
        <f>SUM(F288:K288)</f>
        <v>730975.91599999997</v>
      </c>
      <c r="M288" s="21">
        <v>78417.987128000008</v>
      </c>
      <c r="N288" s="21">
        <v>73104.942359999986</v>
      </c>
      <c r="O288" s="21">
        <v>39185.472871999998</v>
      </c>
      <c r="P288" s="21">
        <f>IF((D288*233.456*3%)&gt;7004,7004,(D288*233.456*3%))</f>
        <v>7004</v>
      </c>
      <c r="Q288" s="21">
        <f t="shared" si="14"/>
        <v>611681.50076800003</v>
      </c>
      <c r="R288" s="21">
        <v>540975.91599999997</v>
      </c>
    </row>
    <row r="289" spans="1:18" ht="15.75" thickBot="1" x14ac:dyDescent="0.3">
      <c r="A289" s="21" t="s">
        <v>107</v>
      </c>
      <c r="B289" s="22" t="s">
        <v>90</v>
      </c>
      <c r="C289" s="22" t="s">
        <v>94</v>
      </c>
      <c r="D289" s="22">
        <v>1890</v>
      </c>
      <c r="E289" s="22">
        <v>23</v>
      </c>
      <c r="F289" s="21">
        <f t="shared" si="12"/>
        <v>441231.83999999997</v>
      </c>
      <c r="G289" s="21">
        <f t="shared" si="13"/>
        <v>66184.775999999998</v>
      </c>
      <c r="H289" s="21">
        <v>70000</v>
      </c>
      <c r="I289" s="21">
        <v>15000</v>
      </c>
      <c r="J289" s="21">
        <v>15000</v>
      </c>
      <c r="K289" s="26">
        <v>90000</v>
      </c>
      <c r="L289" s="21">
        <f>SUM(F289:K289)</f>
        <v>697416.61599999992</v>
      </c>
      <c r="M289" s="21">
        <v>73553.347728000008</v>
      </c>
      <c r="N289" s="21">
        <v>66057.489359999992</v>
      </c>
      <c r="O289" s="21">
        <v>36754.612271999998</v>
      </c>
      <c r="P289" s="21">
        <f>IF((D289*233.456*3%)&gt;7004,7004,(D289*233.456*3%))</f>
        <v>7004</v>
      </c>
      <c r="Q289" s="21">
        <f t="shared" si="14"/>
        <v>587600.51436799997</v>
      </c>
      <c r="R289" s="21">
        <v>507416.61599999998</v>
      </c>
    </row>
    <row r="290" spans="1:18" ht="15.75" thickBot="1" x14ac:dyDescent="0.3">
      <c r="A290" s="21" t="s">
        <v>107</v>
      </c>
      <c r="B290" s="22" t="s">
        <v>90</v>
      </c>
      <c r="C290" s="22" t="s">
        <v>94</v>
      </c>
      <c r="D290" s="22">
        <v>1735</v>
      </c>
      <c r="E290" s="22">
        <v>22</v>
      </c>
      <c r="F290" s="21">
        <f t="shared" si="12"/>
        <v>405046.16</v>
      </c>
      <c r="G290" s="21">
        <f t="shared" si="13"/>
        <v>60756.923999999992</v>
      </c>
      <c r="H290" s="21">
        <v>70000</v>
      </c>
      <c r="I290" s="21">
        <v>15000</v>
      </c>
      <c r="J290" s="21">
        <v>15000</v>
      </c>
      <c r="K290" s="26">
        <v>90000</v>
      </c>
      <c r="L290" s="21">
        <f>SUM(F290:K290)</f>
        <v>655803.08400000003</v>
      </c>
      <c r="M290" s="21">
        <v>67521.194872000007</v>
      </c>
      <c r="N290" s="21">
        <v>57318.647639999996</v>
      </c>
      <c r="O290" s="21">
        <v>33740.345128000001</v>
      </c>
      <c r="P290" s="21">
        <f>IF((D290*233.456*3%)&gt;7004,7004,(D290*233.456*3%))</f>
        <v>7004</v>
      </c>
      <c r="Q290" s="21">
        <f t="shared" si="14"/>
        <v>557740.09123200004</v>
      </c>
      <c r="R290" s="21">
        <v>465803.08399999997</v>
      </c>
    </row>
    <row r="291" spans="1:18" ht="15.75" thickBot="1" x14ac:dyDescent="0.3">
      <c r="A291" s="21" t="s">
        <v>107</v>
      </c>
      <c r="B291" s="22" t="s">
        <v>90</v>
      </c>
      <c r="C291" s="22" t="s">
        <v>94</v>
      </c>
      <c r="D291" s="22">
        <v>1605</v>
      </c>
      <c r="E291" s="22">
        <v>21</v>
      </c>
      <c r="F291" s="21">
        <f t="shared" si="12"/>
        <v>374696.88</v>
      </c>
      <c r="G291" s="21">
        <f t="shared" si="13"/>
        <v>56204.531999999999</v>
      </c>
      <c r="H291" s="21">
        <v>70000</v>
      </c>
      <c r="I291" s="21">
        <v>15000</v>
      </c>
      <c r="J291" s="21">
        <v>15000</v>
      </c>
      <c r="K291" s="26">
        <v>90000</v>
      </c>
      <c r="L291" s="21">
        <f>SUM(F291:K291)</f>
        <v>620901.41200000001</v>
      </c>
      <c r="M291" s="21">
        <v>62461.96989600001</v>
      </c>
      <c r="N291" s="21">
        <v>49989.296520000004</v>
      </c>
      <c r="O291" s="21">
        <v>31212.250103999999</v>
      </c>
      <c r="P291" s="21">
        <f>IF((D291*233.456*3%)&gt;7004,7004,(D291*233.456*3%))</f>
        <v>7004</v>
      </c>
      <c r="Q291" s="21">
        <f t="shared" si="14"/>
        <v>532695.86537600006</v>
      </c>
      <c r="R291" s="21">
        <v>430901.41200000001</v>
      </c>
    </row>
    <row r="292" spans="1:18" ht="15.75" thickBot="1" x14ac:dyDescent="0.3">
      <c r="A292" s="21" t="s">
        <v>107</v>
      </c>
      <c r="B292" s="22" t="s">
        <v>90</v>
      </c>
      <c r="C292" s="22" t="s">
        <v>94</v>
      </c>
      <c r="D292" s="22">
        <v>1440</v>
      </c>
      <c r="E292" s="22">
        <v>33</v>
      </c>
      <c r="F292" s="21">
        <f t="shared" si="12"/>
        <v>336176.63999999996</v>
      </c>
      <c r="G292" s="21">
        <f t="shared" si="13"/>
        <v>50426.495999999992</v>
      </c>
      <c r="H292" s="21">
        <v>70000</v>
      </c>
      <c r="I292" s="21">
        <v>15000</v>
      </c>
      <c r="J292" s="21">
        <v>15000</v>
      </c>
      <c r="K292" s="26">
        <v>90000</v>
      </c>
      <c r="L292" s="21">
        <f>SUM(F292:K292)</f>
        <v>576603.13599999994</v>
      </c>
      <c r="M292" s="21">
        <v>56040.645887999999</v>
      </c>
      <c r="N292" s="21">
        <v>40686.658559999982</v>
      </c>
      <c r="O292" s="21">
        <v>28003.514111999997</v>
      </c>
      <c r="P292" s="21">
        <f>IF((D292*233.456*3%)&gt;7004,7004,(D292*233.456*3%))</f>
        <v>7004</v>
      </c>
      <c r="Q292" s="21">
        <f t="shared" si="14"/>
        <v>500908.96332799993</v>
      </c>
      <c r="R292" s="21">
        <v>386603.13599999994</v>
      </c>
    </row>
    <row r="293" spans="1:18" ht="15.75" thickBot="1" x14ac:dyDescent="0.3">
      <c r="A293" s="21" t="s">
        <v>107</v>
      </c>
      <c r="B293" s="22" t="s">
        <v>90</v>
      </c>
      <c r="C293" s="22" t="s">
        <v>94</v>
      </c>
      <c r="D293" s="22">
        <v>1315</v>
      </c>
      <c r="E293" s="22">
        <v>32</v>
      </c>
      <c r="F293" s="21">
        <f t="shared" si="12"/>
        <v>306994.64</v>
      </c>
      <c r="G293" s="21">
        <f t="shared" si="13"/>
        <v>46049.196000000004</v>
      </c>
      <c r="H293" s="21">
        <v>70000</v>
      </c>
      <c r="I293" s="21">
        <v>15000</v>
      </c>
      <c r="J293" s="21">
        <v>15000</v>
      </c>
      <c r="K293" s="26">
        <v>90000</v>
      </c>
      <c r="L293" s="21">
        <f>SUM(F293:K293)</f>
        <v>543043.83600000001</v>
      </c>
      <c r="M293" s="21">
        <v>51176.006488000006</v>
      </c>
      <c r="N293" s="21">
        <v>33639.205560000002</v>
      </c>
      <c r="O293" s="21">
        <v>25572.653512000001</v>
      </c>
      <c r="P293" s="21">
        <f>IF((D293*233.456*3%)&gt;7004,7004,(D293*233.456*3%))</f>
        <v>7004</v>
      </c>
      <c r="Q293" s="21">
        <f t="shared" si="14"/>
        <v>476827.97692799999</v>
      </c>
      <c r="R293" s="21">
        <v>353043.83600000001</v>
      </c>
    </row>
    <row r="294" spans="1:18" ht="15.75" thickBot="1" x14ac:dyDescent="0.3">
      <c r="A294" s="21" t="s">
        <v>107</v>
      </c>
      <c r="B294" s="22" t="s">
        <v>90</v>
      </c>
      <c r="C294" s="22" t="s">
        <v>94</v>
      </c>
      <c r="D294" s="22">
        <v>1220</v>
      </c>
      <c r="E294" s="22">
        <v>31</v>
      </c>
      <c r="F294" s="21">
        <f t="shared" si="12"/>
        <v>284816.32</v>
      </c>
      <c r="G294" s="21">
        <f t="shared" si="13"/>
        <v>42722.447999999997</v>
      </c>
      <c r="H294" s="21">
        <v>70000</v>
      </c>
      <c r="I294" s="21">
        <v>15000</v>
      </c>
      <c r="J294" s="21">
        <v>15000</v>
      </c>
      <c r="K294" s="26">
        <v>90000</v>
      </c>
      <c r="L294" s="21">
        <f>SUM(F294:K294)</f>
        <v>517538.76799999998</v>
      </c>
      <c r="M294" s="21">
        <v>47478.880544000007</v>
      </c>
      <c r="N294" s="21">
        <v>28283.141279999996</v>
      </c>
      <c r="O294" s="21">
        <v>23725.199456000002</v>
      </c>
      <c r="P294" s="21">
        <f>IF((D294*233.456*3%)&gt;7004,7004,(D294*233.456*3%))</f>
        <v>7004</v>
      </c>
      <c r="Q294" s="21">
        <f t="shared" si="14"/>
        <v>458526.427264</v>
      </c>
      <c r="R294" s="21">
        <v>327538.76799999998</v>
      </c>
    </row>
    <row r="295" spans="1:18" ht="15.75" thickBot="1" x14ac:dyDescent="0.3">
      <c r="A295" s="21" t="s">
        <v>107</v>
      </c>
      <c r="B295" s="22" t="s">
        <v>90</v>
      </c>
      <c r="C295" s="22" t="s">
        <v>94</v>
      </c>
      <c r="D295" s="22">
        <v>1100</v>
      </c>
      <c r="E295" s="22">
        <v>44</v>
      </c>
      <c r="F295" s="21">
        <f t="shared" si="12"/>
        <v>256801.59999999998</v>
      </c>
      <c r="G295" s="21">
        <f t="shared" si="13"/>
        <v>38520.239999999998</v>
      </c>
      <c r="H295" s="21">
        <v>70000</v>
      </c>
      <c r="I295" s="21">
        <v>15000</v>
      </c>
      <c r="J295" s="21">
        <v>15000</v>
      </c>
      <c r="K295" s="26">
        <v>90000</v>
      </c>
      <c r="L295" s="21">
        <f>SUM(F295:K295)</f>
        <v>485321.83999999997</v>
      </c>
      <c r="M295" s="21">
        <v>42808.826719999997</v>
      </c>
      <c r="N295" s="21">
        <v>21517.586399999993</v>
      </c>
      <c r="O295" s="21">
        <v>21391.573279999997</v>
      </c>
      <c r="P295" s="21">
        <f>IF((D295*233.456*3%)&gt;7004,7004,(D295*233.456*3%))</f>
        <v>7004</v>
      </c>
      <c r="Q295" s="21">
        <f t="shared" si="14"/>
        <v>435408.68031999998</v>
      </c>
      <c r="R295" s="21">
        <v>295321.83999999997</v>
      </c>
    </row>
    <row r="296" spans="1:18" ht="15.75" thickBot="1" x14ac:dyDescent="0.3">
      <c r="A296" s="21" t="s">
        <v>107</v>
      </c>
      <c r="B296" s="22" t="s">
        <v>90</v>
      </c>
      <c r="C296" s="22" t="s">
        <v>94</v>
      </c>
      <c r="D296" s="22">
        <v>1000</v>
      </c>
      <c r="E296" s="22">
        <v>43</v>
      </c>
      <c r="F296" s="21">
        <f t="shared" si="12"/>
        <v>233456</v>
      </c>
      <c r="G296" s="21">
        <f t="shared" si="13"/>
        <v>35018.400000000001</v>
      </c>
      <c r="H296" s="21">
        <v>70000</v>
      </c>
      <c r="I296" s="21">
        <v>15000</v>
      </c>
      <c r="J296" s="21">
        <v>15000</v>
      </c>
      <c r="K296" s="26">
        <v>90000</v>
      </c>
      <c r="L296" s="21">
        <f>SUM(F296:K296)</f>
        <v>458474.4</v>
      </c>
      <c r="M296" s="21">
        <v>38917.1152</v>
      </c>
      <c r="N296" s="21">
        <v>15879.624000000003</v>
      </c>
      <c r="O296" s="21">
        <v>19446.8848</v>
      </c>
      <c r="P296" s="21">
        <f>IF((D296*233.456*3%)&gt;7004,7004,(D296*233.456*3%))</f>
        <v>7003.6799999999994</v>
      </c>
      <c r="Q296" s="21">
        <f t="shared" si="14"/>
        <v>416144.21120000002</v>
      </c>
      <c r="R296" s="21">
        <v>268474.40000000002</v>
      </c>
    </row>
    <row r="297" spans="1:18" ht="15.75" thickBot="1" x14ac:dyDescent="0.3">
      <c r="A297" s="21" t="s">
        <v>107</v>
      </c>
      <c r="B297" s="22" t="s">
        <v>90</v>
      </c>
      <c r="C297" s="22" t="s">
        <v>94</v>
      </c>
      <c r="D297" s="22">
        <v>940</v>
      </c>
      <c r="E297" s="22">
        <v>42</v>
      </c>
      <c r="F297" s="21">
        <f t="shared" si="12"/>
        <v>219448.63999999998</v>
      </c>
      <c r="G297" s="21">
        <f t="shared" si="13"/>
        <v>32917.295999999995</v>
      </c>
      <c r="H297" s="21">
        <v>70000</v>
      </c>
      <c r="I297" s="21">
        <v>15000</v>
      </c>
      <c r="J297" s="21">
        <v>15000</v>
      </c>
      <c r="K297" s="26">
        <v>90000</v>
      </c>
      <c r="L297" s="21">
        <f>SUM(F297:K297)</f>
        <v>442365.93599999999</v>
      </c>
      <c r="M297" s="21">
        <v>36582.088287999999</v>
      </c>
      <c r="N297" s="21">
        <v>12496.846559999998</v>
      </c>
      <c r="O297" s="21">
        <v>18280.071711999997</v>
      </c>
      <c r="P297" s="21">
        <f>IF((D297*233.456*3%)&gt;7004,7004,(D297*233.456*3%))</f>
        <v>6583.4591999999993</v>
      </c>
      <c r="Q297" s="21">
        <f t="shared" si="14"/>
        <v>405005.55852800002</v>
      </c>
      <c r="R297" s="21">
        <v>252365.93599999999</v>
      </c>
    </row>
    <row r="298" spans="1:18" ht="15.75" thickBot="1" x14ac:dyDescent="0.3">
      <c r="A298" s="21" t="s">
        <v>107</v>
      </c>
      <c r="B298" s="22" t="s">
        <v>90</v>
      </c>
      <c r="C298" s="22" t="s">
        <v>94</v>
      </c>
      <c r="D298" s="22">
        <v>895</v>
      </c>
      <c r="E298" s="22">
        <v>41</v>
      </c>
      <c r="F298" s="21">
        <f t="shared" si="12"/>
        <v>208943.12</v>
      </c>
      <c r="G298" s="21">
        <f t="shared" si="13"/>
        <v>31341.467999999997</v>
      </c>
      <c r="H298" s="21">
        <v>70000</v>
      </c>
      <c r="I298" s="21">
        <v>15000</v>
      </c>
      <c r="J298" s="21">
        <v>15000</v>
      </c>
      <c r="K298" s="26">
        <v>90000</v>
      </c>
      <c r="L298" s="21">
        <f>SUM(F298:K298)</f>
        <v>430284.58799999999</v>
      </c>
      <c r="M298" s="21">
        <v>34830.818104000005</v>
      </c>
      <c r="N298" s="21">
        <v>9959.7634799999978</v>
      </c>
      <c r="O298" s="21">
        <v>17404.961896000001</v>
      </c>
      <c r="P298" s="21">
        <f>IF((D298*233.456*3%)&gt;7004,7004,(D298*233.456*3%))</f>
        <v>6268.2936</v>
      </c>
      <c r="Q298" s="21">
        <f t="shared" si="14"/>
        <v>396651.56902399997</v>
      </c>
      <c r="R298" s="21">
        <v>240284.58799999999</v>
      </c>
    </row>
    <row r="299" spans="1:18" ht="15.75" thickBot="1" x14ac:dyDescent="0.3">
      <c r="A299" s="21" t="s">
        <v>107</v>
      </c>
      <c r="B299" s="22" t="s">
        <v>90</v>
      </c>
      <c r="C299" s="22" t="s">
        <v>95</v>
      </c>
      <c r="D299" s="22">
        <v>1790</v>
      </c>
      <c r="E299" s="22">
        <v>13</v>
      </c>
      <c r="F299" s="21">
        <f t="shared" si="12"/>
        <v>417886.24</v>
      </c>
      <c r="G299" s="21">
        <f t="shared" si="13"/>
        <v>62682.935999999994</v>
      </c>
      <c r="H299" s="21">
        <v>60000</v>
      </c>
      <c r="I299" s="21">
        <v>15000</v>
      </c>
      <c r="J299" s="21">
        <v>15000</v>
      </c>
      <c r="K299" s="26">
        <v>90000</v>
      </c>
      <c r="L299" s="21">
        <f>SUM(F299:K299)</f>
        <v>660569.17599999998</v>
      </c>
      <c r="M299" s="21">
        <v>69661.636208000011</v>
      </c>
      <c r="N299" s="21">
        <v>60419.526959999988</v>
      </c>
      <c r="O299" s="21">
        <v>34809.923792000001</v>
      </c>
      <c r="P299" s="21">
        <f>IF((D299*233.456*3%)&gt;7004,7004,(D299*233.456*3%))</f>
        <v>7004</v>
      </c>
      <c r="Q299" s="21">
        <f t="shared" si="14"/>
        <v>558335.725248</v>
      </c>
      <c r="R299" s="21">
        <v>480569.17599999998</v>
      </c>
    </row>
    <row r="300" spans="1:18" ht="15.75" thickBot="1" x14ac:dyDescent="0.3">
      <c r="A300" s="21" t="s">
        <v>107</v>
      </c>
      <c r="B300" s="22" t="s">
        <v>90</v>
      </c>
      <c r="C300" s="22" t="s">
        <v>95</v>
      </c>
      <c r="D300" s="22">
        <v>1760</v>
      </c>
      <c r="E300" s="22">
        <v>12</v>
      </c>
      <c r="F300" s="21">
        <f t="shared" si="12"/>
        <v>410882.56</v>
      </c>
      <c r="G300" s="21">
        <f t="shared" si="13"/>
        <v>61632.383999999998</v>
      </c>
      <c r="H300" s="21">
        <v>60000</v>
      </c>
      <c r="I300" s="21">
        <v>15000</v>
      </c>
      <c r="J300" s="21">
        <v>15000</v>
      </c>
      <c r="K300" s="26">
        <v>90000</v>
      </c>
      <c r="L300" s="21">
        <f>SUM(F300:K300)</f>
        <v>652514.94400000002</v>
      </c>
      <c r="M300" s="21">
        <v>68494.12275200001</v>
      </c>
      <c r="N300" s="21">
        <v>58728.13824</v>
      </c>
      <c r="O300" s="21">
        <v>34226.517247999996</v>
      </c>
      <c r="P300" s="21">
        <f>IF((D300*233.456*3%)&gt;7004,7004,(D300*233.456*3%))</f>
        <v>7004</v>
      </c>
      <c r="Q300" s="21">
        <f t="shared" si="14"/>
        <v>552556.288512</v>
      </c>
      <c r="R300" s="21">
        <v>472514.94400000002</v>
      </c>
    </row>
    <row r="301" spans="1:18" ht="15.75" thickBot="1" x14ac:dyDescent="0.3">
      <c r="A301" s="21" t="s">
        <v>107</v>
      </c>
      <c r="B301" s="22" t="s">
        <v>90</v>
      </c>
      <c r="C301" s="22" t="s">
        <v>95</v>
      </c>
      <c r="D301" s="22">
        <v>1735</v>
      </c>
      <c r="E301" s="22">
        <v>11</v>
      </c>
      <c r="F301" s="21">
        <f t="shared" si="12"/>
        <v>405046.16</v>
      </c>
      <c r="G301" s="21">
        <f t="shared" si="13"/>
        <v>60756.923999999992</v>
      </c>
      <c r="H301" s="21">
        <v>60000</v>
      </c>
      <c r="I301" s="21">
        <v>15000</v>
      </c>
      <c r="J301" s="21">
        <v>15000</v>
      </c>
      <c r="K301" s="26">
        <v>90000</v>
      </c>
      <c r="L301" s="21">
        <f>SUM(F301:K301)</f>
        <v>645803.08400000003</v>
      </c>
      <c r="M301" s="21">
        <v>67521.194872000007</v>
      </c>
      <c r="N301" s="21">
        <v>57318.647639999996</v>
      </c>
      <c r="O301" s="21">
        <v>33740.345128000001</v>
      </c>
      <c r="P301" s="21">
        <f>IF((D301*233.456*3%)&gt;7004,7004,(D301*233.456*3%))</f>
        <v>7004</v>
      </c>
      <c r="Q301" s="21">
        <f t="shared" si="14"/>
        <v>547740.09123200004</v>
      </c>
      <c r="R301" s="21">
        <v>465803.08399999997</v>
      </c>
    </row>
    <row r="302" spans="1:18" ht="15.75" thickBot="1" x14ac:dyDescent="0.3">
      <c r="A302" s="21" t="s">
        <v>107</v>
      </c>
      <c r="B302" s="22" t="s">
        <v>90</v>
      </c>
      <c r="C302" s="22" t="s">
        <v>95</v>
      </c>
      <c r="D302" s="22">
        <v>1575</v>
      </c>
      <c r="E302" s="22">
        <v>23</v>
      </c>
      <c r="F302" s="21">
        <f t="shared" si="12"/>
        <v>367693.19999999995</v>
      </c>
      <c r="G302" s="21">
        <f t="shared" si="13"/>
        <v>55153.979999999989</v>
      </c>
      <c r="H302" s="21">
        <v>60000</v>
      </c>
      <c r="I302" s="21">
        <v>15000</v>
      </c>
      <c r="J302" s="21">
        <v>15000</v>
      </c>
      <c r="K302" s="26">
        <v>90000</v>
      </c>
      <c r="L302" s="21">
        <f>SUM(F302:K302)</f>
        <v>602847.17999999993</v>
      </c>
      <c r="M302" s="21">
        <v>61294.456439999994</v>
      </c>
      <c r="N302" s="21">
        <v>48297.907799999986</v>
      </c>
      <c r="O302" s="21">
        <v>30628.843559999998</v>
      </c>
      <c r="P302" s="21">
        <f>IF((D302*233.456*3%)&gt;7004,7004,(D302*233.456*3%))</f>
        <v>7004</v>
      </c>
      <c r="Q302" s="21">
        <f t="shared" si="14"/>
        <v>516916.42863999994</v>
      </c>
      <c r="R302" s="21">
        <v>422847.17999999993</v>
      </c>
    </row>
    <row r="303" spans="1:18" ht="15.75" thickBot="1" x14ac:dyDescent="0.3">
      <c r="A303" s="21" t="s">
        <v>107</v>
      </c>
      <c r="B303" s="22" t="s">
        <v>90</v>
      </c>
      <c r="C303" s="22" t="s">
        <v>95</v>
      </c>
      <c r="D303" s="22">
        <v>1380</v>
      </c>
      <c r="E303" s="22">
        <v>22</v>
      </c>
      <c r="F303" s="21">
        <f t="shared" si="12"/>
        <v>322169.27999999997</v>
      </c>
      <c r="G303" s="21">
        <f t="shared" si="13"/>
        <v>48325.391999999993</v>
      </c>
      <c r="H303" s="21">
        <v>60000</v>
      </c>
      <c r="I303" s="21">
        <v>15000</v>
      </c>
      <c r="J303" s="21">
        <v>15000</v>
      </c>
      <c r="K303" s="26">
        <v>90000</v>
      </c>
      <c r="L303" s="21">
        <f>SUM(F303:K303)</f>
        <v>550494.67200000002</v>
      </c>
      <c r="M303" s="21">
        <v>53705.618975999998</v>
      </c>
      <c r="N303" s="21">
        <v>37303.881119999991</v>
      </c>
      <c r="O303" s="21">
        <v>26836.701023999998</v>
      </c>
      <c r="P303" s="21">
        <f>IF((D303*233.456*3%)&gt;7004,7004,(D303*233.456*3%))</f>
        <v>7004</v>
      </c>
      <c r="Q303" s="21">
        <f t="shared" si="14"/>
        <v>479350.08985600004</v>
      </c>
      <c r="R303" s="21">
        <v>370494.67199999996</v>
      </c>
    </row>
    <row r="304" spans="1:18" ht="15.75" thickBot="1" x14ac:dyDescent="0.3">
      <c r="A304" s="21" t="s">
        <v>107</v>
      </c>
      <c r="B304" s="22" t="s">
        <v>90</v>
      </c>
      <c r="C304" s="22" t="s">
        <v>95</v>
      </c>
      <c r="D304" s="22">
        <v>1315</v>
      </c>
      <c r="E304" s="22">
        <v>21</v>
      </c>
      <c r="F304" s="21">
        <f t="shared" si="12"/>
        <v>306994.64</v>
      </c>
      <c r="G304" s="21">
        <f t="shared" si="13"/>
        <v>46049.196000000004</v>
      </c>
      <c r="H304" s="21">
        <v>60000</v>
      </c>
      <c r="I304" s="21">
        <v>15000</v>
      </c>
      <c r="J304" s="21">
        <v>15000</v>
      </c>
      <c r="K304" s="26">
        <v>90000</v>
      </c>
      <c r="L304" s="21">
        <f>SUM(F304:K304)</f>
        <v>533043.83600000001</v>
      </c>
      <c r="M304" s="21">
        <v>51176.006488000006</v>
      </c>
      <c r="N304" s="21">
        <v>33639.205560000002</v>
      </c>
      <c r="O304" s="21">
        <v>25572.653512000001</v>
      </c>
      <c r="P304" s="21">
        <f>IF((D304*233.456*3%)&gt;7004,7004,(D304*233.456*3%))</f>
        <v>7004</v>
      </c>
      <c r="Q304" s="21">
        <f t="shared" si="14"/>
        <v>466827.97692799999</v>
      </c>
      <c r="R304" s="21">
        <v>353043.83600000001</v>
      </c>
    </row>
    <row r="305" spans="1:18" ht="15.75" thickBot="1" x14ac:dyDescent="0.3">
      <c r="A305" s="21" t="s">
        <v>107</v>
      </c>
      <c r="B305" s="22" t="s">
        <v>90</v>
      </c>
      <c r="C305" s="22" t="s">
        <v>95</v>
      </c>
      <c r="D305" s="22">
        <v>1255</v>
      </c>
      <c r="E305" s="22">
        <v>33</v>
      </c>
      <c r="F305" s="21">
        <f t="shared" si="12"/>
        <v>292987.27999999997</v>
      </c>
      <c r="G305" s="21">
        <f t="shared" si="13"/>
        <v>43948.091999999997</v>
      </c>
      <c r="H305" s="21">
        <v>60000</v>
      </c>
      <c r="I305" s="21">
        <v>15000</v>
      </c>
      <c r="J305" s="21">
        <v>15000</v>
      </c>
      <c r="K305" s="26">
        <v>90000</v>
      </c>
      <c r="L305" s="21">
        <f>SUM(F305:K305)</f>
        <v>516935.37199999997</v>
      </c>
      <c r="M305" s="21">
        <v>48840.979575999998</v>
      </c>
      <c r="N305" s="21">
        <v>30256.428119999997</v>
      </c>
      <c r="O305" s="21">
        <v>24405.840423999998</v>
      </c>
      <c r="P305" s="21">
        <f>IF((D305*233.456*3%)&gt;7004,7004,(D305*233.456*3%))</f>
        <v>7004</v>
      </c>
      <c r="Q305" s="21">
        <f t="shared" si="14"/>
        <v>455269.10345599998</v>
      </c>
      <c r="R305" s="21">
        <v>336935.37199999997</v>
      </c>
    </row>
    <row r="306" spans="1:18" ht="15.75" thickBot="1" x14ac:dyDescent="0.3">
      <c r="A306" s="21" t="s">
        <v>107</v>
      </c>
      <c r="B306" s="22" t="s">
        <v>90</v>
      </c>
      <c r="C306" s="22" t="s">
        <v>95</v>
      </c>
      <c r="D306" s="22">
        <v>1190</v>
      </c>
      <c r="E306" s="22">
        <v>32</v>
      </c>
      <c r="F306" s="21">
        <f t="shared" si="12"/>
        <v>277812.64</v>
      </c>
      <c r="G306" s="21">
        <f t="shared" si="13"/>
        <v>41671.896000000001</v>
      </c>
      <c r="H306" s="21">
        <v>60000</v>
      </c>
      <c r="I306" s="21">
        <v>15000</v>
      </c>
      <c r="J306" s="21">
        <v>15000</v>
      </c>
      <c r="K306" s="26">
        <v>90000</v>
      </c>
      <c r="L306" s="21">
        <f>SUM(F306:K306)</f>
        <v>499484.53600000002</v>
      </c>
      <c r="M306" s="21">
        <v>46311.367088000006</v>
      </c>
      <c r="N306" s="21">
        <v>26591.752560000008</v>
      </c>
      <c r="O306" s="21">
        <v>23141.792912000001</v>
      </c>
      <c r="P306" s="21">
        <f>IF((D306*233.456*3%)&gt;7004,7004,(D306*233.456*3%))</f>
        <v>7004</v>
      </c>
      <c r="Q306" s="21">
        <f t="shared" si="14"/>
        <v>442746.99052799999</v>
      </c>
      <c r="R306" s="21">
        <v>319484.53600000002</v>
      </c>
    </row>
    <row r="307" spans="1:18" ht="15.75" thickBot="1" x14ac:dyDescent="0.3">
      <c r="A307" s="21" t="s">
        <v>107</v>
      </c>
      <c r="B307" s="22" t="s">
        <v>90</v>
      </c>
      <c r="C307" s="22" t="s">
        <v>95</v>
      </c>
      <c r="D307" s="22">
        <v>1100</v>
      </c>
      <c r="E307" s="22">
        <v>31</v>
      </c>
      <c r="F307" s="21">
        <f t="shared" si="12"/>
        <v>256801.59999999998</v>
      </c>
      <c r="G307" s="21">
        <f t="shared" si="13"/>
        <v>38520.239999999998</v>
      </c>
      <c r="H307" s="21">
        <v>60000</v>
      </c>
      <c r="I307" s="21">
        <v>15000</v>
      </c>
      <c r="J307" s="21">
        <v>15000</v>
      </c>
      <c r="K307" s="26">
        <v>90000</v>
      </c>
      <c r="L307" s="21">
        <f>SUM(F307:K307)</f>
        <v>475321.83999999997</v>
      </c>
      <c r="M307" s="21">
        <v>42808.826719999997</v>
      </c>
      <c r="N307" s="21">
        <v>21517.586399999993</v>
      </c>
      <c r="O307" s="21">
        <v>21391.573279999997</v>
      </c>
      <c r="P307" s="21">
        <f>IF((D307*233.456*3%)&gt;7004,7004,(D307*233.456*3%))</f>
        <v>7004</v>
      </c>
      <c r="Q307" s="21">
        <f t="shared" si="14"/>
        <v>425408.68031999998</v>
      </c>
      <c r="R307" s="21">
        <v>295321.83999999997</v>
      </c>
    </row>
    <row r="308" spans="1:18" ht="15.75" thickBot="1" x14ac:dyDescent="0.3">
      <c r="A308" s="21" t="s">
        <v>107</v>
      </c>
      <c r="B308" s="22" t="s">
        <v>90</v>
      </c>
      <c r="C308" s="22" t="s">
        <v>95</v>
      </c>
      <c r="D308" s="22">
        <v>990</v>
      </c>
      <c r="E308" s="22">
        <v>44</v>
      </c>
      <c r="F308" s="21">
        <f t="shared" si="12"/>
        <v>231121.44</v>
      </c>
      <c r="G308" s="21">
        <f t="shared" si="13"/>
        <v>34668.216</v>
      </c>
      <c r="H308" s="21">
        <v>60000</v>
      </c>
      <c r="I308" s="21">
        <v>15000</v>
      </c>
      <c r="J308" s="21">
        <v>15000</v>
      </c>
      <c r="K308" s="26">
        <v>90000</v>
      </c>
      <c r="L308" s="21">
        <f>SUM(F308:K308)</f>
        <v>445789.65600000002</v>
      </c>
      <c r="M308" s="21">
        <v>38527.944048000005</v>
      </c>
      <c r="N308" s="21">
        <v>15315.827760000004</v>
      </c>
      <c r="O308" s="21">
        <v>19252.415951999999</v>
      </c>
      <c r="P308" s="21">
        <f>IF((D308*233.456*3%)&gt;7004,7004,(D308*233.456*3%))</f>
        <v>6933.6431999999995</v>
      </c>
      <c r="Q308" s="21">
        <f t="shared" si="14"/>
        <v>404287.769088</v>
      </c>
      <c r="R308" s="21">
        <v>265789.65600000002</v>
      </c>
    </row>
    <row r="309" spans="1:18" ht="15.75" thickBot="1" x14ac:dyDescent="0.3">
      <c r="A309" s="21" t="s">
        <v>107</v>
      </c>
      <c r="B309" s="22" t="s">
        <v>90</v>
      </c>
      <c r="C309" s="22" t="s">
        <v>95</v>
      </c>
      <c r="D309" s="22">
        <v>915</v>
      </c>
      <c r="E309" s="22">
        <v>43</v>
      </c>
      <c r="F309" s="21">
        <f t="shared" si="12"/>
        <v>213612.24</v>
      </c>
      <c r="G309" s="21">
        <f t="shared" si="13"/>
        <v>32041.835999999996</v>
      </c>
      <c r="H309" s="21">
        <v>60000</v>
      </c>
      <c r="I309" s="21">
        <v>15000</v>
      </c>
      <c r="J309" s="21">
        <v>15000</v>
      </c>
      <c r="K309" s="26">
        <v>90000</v>
      </c>
      <c r="L309" s="21">
        <f>SUM(F309:K309)</f>
        <v>425654.076</v>
      </c>
      <c r="M309" s="21">
        <v>35609.160408000003</v>
      </c>
      <c r="N309" s="21">
        <v>11087.355960000001</v>
      </c>
      <c r="O309" s="21">
        <v>17793.899591999998</v>
      </c>
      <c r="P309" s="21">
        <f>IF((D309*233.456*3%)&gt;7004,7004,(D309*233.456*3%))</f>
        <v>6408.3671999999997</v>
      </c>
      <c r="Q309" s="21">
        <f t="shared" si="14"/>
        <v>390364.45324800001</v>
      </c>
      <c r="R309" s="21">
        <v>245654.076</v>
      </c>
    </row>
    <row r="310" spans="1:18" ht="15.75" thickBot="1" x14ac:dyDescent="0.3">
      <c r="A310" s="21" t="s">
        <v>107</v>
      </c>
      <c r="B310" s="22" t="s">
        <v>90</v>
      </c>
      <c r="C310" s="22" t="s">
        <v>95</v>
      </c>
      <c r="D310" s="22">
        <v>870</v>
      </c>
      <c r="E310" s="22">
        <v>42</v>
      </c>
      <c r="F310" s="21">
        <f t="shared" si="12"/>
        <v>203106.72</v>
      </c>
      <c r="G310" s="21">
        <f t="shared" si="13"/>
        <v>30466.007999999998</v>
      </c>
      <c r="H310" s="21">
        <v>60000</v>
      </c>
      <c r="I310" s="21">
        <v>15000</v>
      </c>
      <c r="J310" s="21">
        <v>15000</v>
      </c>
      <c r="K310" s="26">
        <v>90000</v>
      </c>
      <c r="L310" s="21">
        <f>SUM(F310:K310)</f>
        <v>413572.728</v>
      </c>
      <c r="M310" s="21">
        <v>33857.890224000002</v>
      </c>
      <c r="N310" s="21">
        <v>8871.636480000001</v>
      </c>
      <c r="O310" s="21">
        <v>16918.789776000001</v>
      </c>
      <c r="P310" s="21">
        <f>IF((D310*233.456*3%)&gt;7004,7004,(D310*233.456*3%))</f>
        <v>6093.2015999999994</v>
      </c>
      <c r="Q310" s="21">
        <f t="shared" si="14"/>
        <v>381689.10014400003</v>
      </c>
      <c r="R310" s="21">
        <v>233572.728</v>
      </c>
    </row>
    <row r="311" spans="1:18" ht="15.75" thickBot="1" x14ac:dyDescent="0.3">
      <c r="A311" s="21" t="s">
        <v>107</v>
      </c>
      <c r="B311" s="22" t="s">
        <v>90</v>
      </c>
      <c r="C311" s="22" t="s">
        <v>95</v>
      </c>
      <c r="D311" s="22">
        <v>830</v>
      </c>
      <c r="E311" s="22">
        <v>41</v>
      </c>
      <c r="F311" s="21">
        <f t="shared" si="12"/>
        <v>193768.47999999998</v>
      </c>
      <c r="G311" s="21">
        <f t="shared" si="13"/>
        <v>29065.271999999997</v>
      </c>
      <c r="H311" s="21">
        <v>60000</v>
      </c>
      <c r="I311" s="21">
        <v>15000</v>
      </c>
      <c r="J311" s="21">
        <v>15000</v>
      </c>
      <c r="K311" s="26">
        <v>90000</v>
      </c>
      <c r="L311" s="21">
        <f>SUM(F311:K311)</f>
        <v>402833.75199999998</v>
      </c>
      <c r="M311" s="21">
        <v>32301.205615999999</v>
      </c>
      <c r="N311" s="21">
        <v>7153.400319999997</v>
      </c>
      <c r="O311" s="21">
        <v>16140.914383999998</v>
      </c>
      <c r="P311" s="21">
        <f>IF((D311*233.456*3%)&gt;7004,7004,(D311*233.456*3%))</f>
        <v>5813.0543999999991</v>
      </c>
      <c r="Q311" s="21">
        <f t="shared" si="14"/>
        <v>373726.382896</v>
      </c>
      <c r="R311" s="21">
        <v>222833.75199999998</v>
      </c>
    </row>
    <row r="312" spans="1:18" ht="15.75" thickBot="1" x14ac:dyDescent="0.3">
      <c r="A312" s="21" t="s">
        <v>107</v>
      </c>
      <c r="B312" s="22" t="s">
        <v>96</v>
      </c>
      <c r="C312" s="22" t="s">
        <v>97</v>
      </c>
      <c r="D312" s="22">
        <v>1325</v>
      </c>
      <c r="E312" s="22">
        <v>13</v>
      </c>
      <c r="F312" s="21">
        <f t="shared" si="12"/>
        <v>309329.2</v>
      </c>
      <c r="G312" s="21">
        <f t="shared" si="13"/>
        <v>46399.38</v>
      </c>
      <c r="H312" s="21">
        <v>60000</v>
      </c>
      <c r="I312" s="21">
        <v>15000</v>
      </c>
      <c r="J312" s="21">
        <v>15000</v>
      </c>
      <c r="K312" s="26">
        <v>80000</v>
      </c>
      <c r="L312" s="21">
        <f>SUM(F312:K312)</f>
        <v>525728.58000000007</v>
      </c>
      <c r="M312" s="21">
        <v>51565.177640000009</v>
      </c>
      <c r="N312" s="21">
        <v>34203.001799999998</v>
      </c>
      <c r="O312" s="21">
        <v>25767.122360000001</v>
      </c>
      <c r="P312" s="21">
        <f>IF((D312*233.456*3%)&gt;7004,7004,(D312*233.456*3%))</f>
        <v>7004</v>
      </c>
      <c r="Q312" s="21">
        <f t="shared" si="14"/>
        <v>458754.45584000007</v>
      </c>
      <c r="R312" s="21">
        <v>355728.58</v>
      </c>
    </row>
    <row r="313" spans="1:18" ht="15.75" thickBot="1" x14ac:dyDescent="0.3">
      <c r="A313" s="21" t="s">
        <v>107</v>
      </c>
      <c r="B313" s="22" t="s">
        <v>96</v>
      </c>
      <c r="C313" s="22" t="s">
        <v>97</v>
      </c>
      <c r="D313" s="22">
        <v>1300</v>
      </c>
      <c r="E313" s="22">
        <v>12</v>
      </c>
      <c r="F313" s="21">
        <f t="shared" si="12"/>
        <v>303492.8</v>
      </c>
      <c r="G313" s="21">
        <f t="shared" si="13"/>
        <v>45523.92</v>
      </c>
      <c r="H313" s="21">
        <v>60000</v>
      </c>
      <c r="I313" s="21">
        <v>15000</v>
      </c>
      <c r="J313" s="21">
        <v>15000</v>
      </c>
      <c r="K313" s="26">
        <v>80000</v>
      </c>
      <c r="L313" s="21">
        <f>SUM(F313:K313)</f>
        <v>519016.72</v>
      </c>
      <c r="M313" s="21">
        <v>50592.249760000006</v>
      </c>
      <c r="N313" s="21">
        <v>32793.511199999994</v>
      </c>
      <c r="O313" s="21">
        <v>25280.950239999998</v>
      </c>
      <c r="P313" s="21">
        <f>IF((D313*233.456*3%)&gt;7004,7004,(D313*233.456*3%))</f>
        <v>7004</v>
      </c>
      <c r="Q313" s="21">
        <f t="shared" si="14"/>
        <v>453938.25855999999</v>
      </c>
      <c r="R313" s="21">
        <v>349016.72</v>
      </c>
    </row>
    <row r="314" spans="1:18" ht="15.75" thickBot="1" x14ac:dyDescent="0.3">
      <c r="A314" s="21" t="s">
        <v>107</v>
      </c>
      <c r="B314" s="22" t="s">
        <v>96</v>
      </c>
      <c r="C314" s="22" t="s">
        <v>97</v>
      </c>
      <c r="D314" s="22">
        <v>1270</v>
      </c>
      <c r="E314" s="22">
        <v>11</v>
      </c>
      <c r="F314" s="21">
        <f t="shared" si="12"/>
        <v>296489.12</v>
      </c>
      <c r="G314" s="21">
        <f t="shared" si="13"/>
        <v>44473.367999999995</v>
      </c>
      <c r="H314" s="21">
        <v>60000</v>
      </c>
      <c r="I314" s="21">
        <v>15000</v>
      </c>
      <c r="J314" s="21">
        <v>15000</v>
      </c>
      <c r="K314" s="26">
        <v>80000</v>
      </c>
      <c r="L314" s="21">
        <f>SUM(F314:K314)</f>
        <v>510962.48800000001</v>
      </c>
      <c r="M314" s="21">
        <v>49424.736304000005</v>
      </c>
      <c r="N314" s="21">
        <v>31102.122480000005</v>
      </c>
      <c r="O314" s="21">
        <v>24697.543696000001</v>
      </c>
      <c r="P314" s="21">
        <f>IF((D314*233.456*3%)&gt;7004,7004,(D314*233.456*3%))</f>
        <v>7004</v>
      </c>
      <c r="Q314" s="21">
        <f t="shared" si="14"/>
        <v>448158.82182399998</v>
      </c>
      <c r="R314" s="21">
        <v>340962.48800000001</v>
      </c>
    </row>
    <row r="315" spans="1:18" ht="15.75" thickBot="1" x14ac:dyDescent="0.3">
      <c r="A315" s="21" t="s">
        <v>107</v>
      </c>
      <c r="B315" s="22" t="s">
        <v>96</v>
      </c>
      <c r="C315" s="22" t="s">
        <v>97</v>
      </c>
      <c r="D315" s="22">
        <v>1185</v>
      </c>
      <c r="E315" s="22">
        <v>23</v>
      </c>
      <c r="F315" s="21">
        <f t="shared" si="12"/>
        <v>276645.36</v>
      </c>
      <c r="G315" s="21">
        <f t="shared" si="13"/>
        <v>41496.803999999996</v>
      </c>
      <c r="H315" s="21">
        <v>60000</v>
      </c>
      <c r="I315" s="21">
        <v>15000</v>
      </c>
      <c r="J315" s="21">
        <v>15000</v>
      </c>
      <c r="K315" s="26">
        <v>80000</v>
      </c>
      <c r="L315" s="21">
        <f>SUM(F315:K315)</f>
        <v>488142.16399999999</v>
      </c>
      <c r="M315" s="21">
        <v>46116.781512000001</v>
      </c>
      <c r="N315" s="21">
        <v>26309.854439999996</v>
      </c>
      <c r="O315" s="21">
        <v>23044.558487999999</v>
      </c>
      <c r="P315" s="21">
        <f>IF((D315*233.456*3%)&gt;7004,7004,(D315*233.456*3%))</f>
        <v>7004</v>
      </c>
      <c r="Q315" s="21">
        <f t="shared" si="14"/>
        <v>431783.75107200001</v>
      </c>
      <c r="R315" s="21">
        <v>318142.16399999999</v>
      </c>
    </row>
    <row r="316" spans="1:18" ht="15.75" thickBot="1" x14ac:dyDescent="0.3">
      <c r="A316" s="21" t="s">
        <v>107</v>
      </c>
      <c r="B316" s="22" t="s">
        <v>96</v>
      </c>
      <c r="C316" s="22" t="s">
        <v>97</v>
      </c>
      <c r="D316" s="22">
        <v>1135</v>
      </c>
      <c r="E316" s="22">
        <v>22</v>
      </c>
      <c r="F316" s="21">
        <f t="shared" si="12"/>
        <v>264972.56</v>
      </c>
      <c r="G316" s="21">
        <f t="shared" si="13"/>
        <v>39745.883999999998</v>
      </c>
      <c r="H316" s="21">
        <v>60000</v>
      </c>
      <c r="I316" s="21">
        <v>15000</v>
      </c>
      <c r="J316" s="21">
        <v>15000</v>
      </c>
      <c r="K316" s="26">
        <v>80000</v>
      </c>
      <c r="L316" s="21">
        <f>SUM(F316:K316)</f>
        <v>474718.44400000002</v>
      </c>
      <c r="M316" s="21">
        <v>44170.925752000003</v>
      </c>
      <c r="N316" s="21">
        <v>23490.873240000001</v>
      </c>
      <c r="O316" s="21">
        <v>22072.214248</v>
      </c>
      <c r="P316" s="21">
        <f>IF((D316*233.456*3%)&gt;7004,7004,(D316*233.456*3%))</f>
        <v>7004</v>
      </c>
      <c r="Q316" s="21">
        <f t="shared" si="14"/>
        <v>422151.35651200003</v>
      </c>
      <c r="R316" s="21">
        <v>304718.44400000002</v>
      </c>
    </row>
    <row r="317" spans="1:18" ht="15.75" thickBot="1" x14ac:dyDescent="0.3">
      <c r="A317" s="21" t="s">
        <v>107</v>
      </c>
      <c r="B317" s="22" t="s">
        <v>96</v>
      </c>
      <c r="C317" s="22" t="s">
        <v>97</v>
      </c>
      <c r="D317" s="22">
        <v>1085</v>
      </c>
      <c r="E317" s="22">
        <v>21</v>
      </c>
      <c r="F317" s="21">
        <f t="shared" si="12"/>
        <v>253299.75999999998</v>
      </c>
      <c r="G317" s="21">
        <f t="shared" si="13"/>
        <v>37994.963999999993</v>
      </c>
      <c r="H317" s="21">
        <v>60000</v>
      </c>
      <c r="I317" s="21">
        <v>15000</v>
      </c>
      <c r="J317" s="21">
        <v>15000</v>
      </c>
      <c r="K317" s="26">
        <v>80000</v>
      </c>
      <c r="L317" s="21">
        <f>SUM(F317:K317)</f>
        <v>461294.72399999999</v>
      </c>
      <c r="M317" s="21">
        <v>42225.069991999997</v>
      </c>
      <c r="N317" s="21">
        <v>20671.892039999999</v>
      </c>
      <c r="O317" s="21">
        <v>21099.870007999998</v>
      </c>
      <c r="P317" s="21">
        <f>IF((D317*233.456*3%)&gt;7004,7004,(D317*233.456*3%))</f>
        <v>7004</v>
      </c>
      <c r="Q317" s="21">
        <f t="shared" si="14"/>
        <v>412518.96195199998</v>
      </c>
      <c r="R317" s="21">
        <v>291294.72399999999</v>
      </c>
    </row>
    <row r="318" spans="1:18" ht="15.75" thickBot="1" x14ac:dyDescent="0.3">
      <c r="A318" s="21" t="s">
        <v>107</v>
      </c>
      <c r="B318" s="22" t="s">
        <v>96</v>
      </c>
      <c r="C318" s="22" t="s">
        <v>97</v>
      </c>
      <c r="D318" s="22">
        <v>1000</v>
      </c>
      <c r="E318" s="22">
        <v>33</v>
      </c>
      <c r="F318" s="21">
        <f t="shared" si="12"/>
        <v>233456</v>
      </c>
      <c r="G318" s="21">
        <f t="shared" si="13"/>
        <v>35018.400000000001</v>
      </c>
      <c r="H318" s="21">
        <v>60000</v>
      </c>
      <c r="I318" s="21">
        <v>15000</v>
      </c>
      <c r="J318" s="21">
        <v>15000</v>
      </c>
      <c r="K318" s="26">
        <v>80000</v>
      </c>
      <c r="L318" s="21">
        <f>SUM(F318:K318)</f>
        <v>438474.4</v>
      </c>
      <c r="M318" s="21">
        <v>38917.1152</v>
      </c>
      <c r="N318" s="21">
        <v>15879.624000000003</v>
      </c>
      <c r="O318" s="21">
        <v>19446.8848</v>
      </c>
      <c r="P318" s="21">
        <f>IF((D318*233.456*3%)&gt;7004,7004,(D318*233.456*3%))</f>
        <v>7003.6799999999994</v>
      </c>
      <c r="Q318" s="21">
        <f t="shared" si="14"/>
        <v>396144.21120000002</v>
      </c>
      <c r="R318" s="21">
        <v>268474.40000000002</v>
      </c>
    </row>
    <row r="319" spans="1:18" ht="15.75" thickBot="1" x14ac:dyDescent="0.3">
      <c r="A319" s="21" t="s">
        <v>107</v>
      </c>
      <c r="B319" s="22" t="s">
        <v>96</v>
      </c>
      <c r="C319" s="22" t="s">
        <v>97</v>
      </c>
      <c r="D319" s="22">
        <v>950</v>
      </c>
      <c r="E319" s="22">
        <v>32</v>
      </c>
      <c r="F319" s="21">
        <f t="shared" si="12"/>
        <v>221783.19999999998</v>
      </c>
      <c r="G319" s="21">
        <f t="shared" si="13"/>
        <v>33267.479999999996</v>
      </c>
      <c r="H319" s="21">
        <v>60000</v>
      </c>
      <c r="I319" s="21">
        <v>15000</v>
      </c>
      <c r="J319" s="21">
        <v>15000</v>
      </c>
      <c r="K319" s="26">
        <v>80000</v>
      </c>
      <c r="L319" s="21">
        <f>SUM(F319:K319)</f>
        <v>425050.68</v>
      </c>
      <c r="M319" s="21">
        <v>36971.259440000002</v>
      </c>
      <c r="N319" s="21">
        <v>13060.642799999998</v>
      </c>
      <c r="O319" s="21">
        <v>18474.540559999998</v>
      </c>
      <c r="P319" s="21">
        <f>IF((D319*233.456*3%)&gt;7004,7004,(D319*233.456*3%))</f>
        <v>6653.4959999999992</v>
      </c>
      <c r="Q319" s="21">
        <f t="shared" si="14"/>
        <v>386862.00063999998</v>
      </c>
      <c r="R319" s="21">
        <v>255050.68</v>
      </c>
    </row>
    <row r="320" spans="1:18" ht="15.75" thickBot="1" x14ac:dyDescent="0.3">
      <c r="A320" s="21" t="s">
        <v>107</v>
      </c>
      <c r="B320" s="22" t="s">
        <v>96</v>
      </c>
      <c r="C320" s="22" t="s">
        <v>97</v>
      </c>
      <c r="D320" s="22">
        <v>890</v>
      </c>
      <c r="E320" s="22">
        <v>31</v>
      </c>
      <c r="F320" s="21">
        <f t="shared" si="12"/>
        <v>207775.84</v>
      </c>
      <c r="G320" s="21">
        <f t="shared" si="13"/>
        <v>31166.375999999997</v>
      </c>
      <c r="H320" s="21">
        <v>60000</v>
      </c>
      <c r="I320" s="21">
        <v>15000</v>
      </c>
      <c r="J320" s="21">
        <v>15000</v>
      </c>
      <c r="K320" s="26">
        <v>80000</v>
      </c>
      <c r="L320" s="21">
        <f>SUM(F320:K320)</f>
        <v>408942.21600000001</v>
      </c>
      <c r="M320" s="21">
        <v>34636.232528</v>
      </c>
      <c r="N320" s="21">
        <v>9730.7545599999976</v>
      </c>
      <c r="O320" s="21">
        <v>17307.727471999999</v>
      </c>
      <c r="P320" s="21">
        <f>IF((D320*233.456*3%)&gt;7004,7004,(D320*233.456*3%))</f>
        <v>6233.2752</v>
      </c>
      <c r="Q320" s="21">
        <f t="shared" si="14"/>
        <v>375670.45876800001</v>
      </c>
      <c r="R320" s="21">
        <v>238942.21599999999</v>
      </c>
    </row>
    <row r="321" spans="1:18" ht="15.75" thickBot="1" x14ac:dyDescent="0.3">
      <c r="A321" s="21" t="s">
        <v>107</v>
      </c>
      <c r="B321" s="22" t="s">
        <v>96</v>
      </c>
      <c r="C321" s="22" t="s">
        <v>97</v>
      </c>
      <c r="D321" s="22">
        <v>840</v>
      </c>
      <c r="E321" s="22">
        <v>44</v>
      </c>
      <c r="F321" s="21">
        <f t="shared" si="12"/>
        <v>196103.03999999998</v>
      </c>
      <c r="G321" s="21">
        <f t="shared" si="13"/>
        <v>29415.455999999995</v>
      </c>
      <c r="H321" s="21">
        <v>60000</v>
      </c>
      <c r="I321" s="21">
        <v>15000</v>
      </c>
      <c r="J321" s="21">
        <v>15000</v>
      </c>
      <c r="K321" s="26">
        <v>80000</v>
      </c>
      <c r="L321" s="21">
        <f>SUM(F321:K321)</f>
        <v>395518.49599999998</v>
      </c>
      <c r="M321" s="21">
        <v>32690.376767999998</v>
      </c>
      <c r="N321" s="21">
        <v>7582.9593599999971</v>
      </c>
      <c r="O321" s="21">
        <v>16335.383231999998</v>
      </c>
      <c r="P321" s="21">
        <f>IF((D321*233.456*3%)&gt;7004,7004,(D321*233.456*3%))</f>
        <v>5883.0911999999989</v>
      </c>
      <c r="Q321" s="21">
        <f t="shared" si="14"/>
        <v>365717.06220799999</v>
      </c>
      <c r="R321" s="21">
        <v>225518.49599999998</v>
      </c>
    </row>
    <row r="322" spans="1:18" ht="15.75" thickBot="1" x14ac:dyDescent="0.3">
      <c r="A322" s="21" t="s">
        <v>107</v>
      </c>
      <c r="B322" s="22" t="s">
        <v>96</v>
      </c>
      <c r="C322" s="22" t="s">
        <v>97</v>
      </c>
      <c r="D322" s="22">
        <v>785</v>
      </c>
      <c r="E322" s="22">
        <v>43</v>
      </c>
      <c r="F322" s="21">
        <f t="shared" si="12"/>
        <v>183262.96</v>
      </c>
      <c r="G322" s="21">
        <f t="shared" si="13"/>
        <v>27489.444</v>
      </c>
      <c r="H322" s="21">
        <v>60000</v>
      </c>
      <c r="I322" s="21">
        <v>15000</v>
      </c>
      <c r="J322" s="21">
        <v>15000</v>
      </c>
      <c r="K322" s="26">
        <v>80000</v>
      </c>
      <c r="L322" s="21">
        <f>SUM(F322:K322)</f>
        <v>380752.40399999998</v>
      </c>
      <c r="M322" s="21">
        <v>30549.935432000002</v>
      </c>
      <c r="N322" s="21">
        <v>5220.3846399999966</v>
      </c>
      <c r="O322" s="21">
        <v>15265.804568</v>
      </c>
      <c r="P322" s="21">
        <f>IF((D322*233.456*3%)&gt;7004,7004,(D322*233.456*3%))</f>
        <v>5497.8887999999997</v>
      </c>
      <c r="Q322" s="21">
        <f t="shared" si="14"/>
        <v>354768.325992</v>
      </c>
      <c r="R322" s="21">
        <v>210752.40399999998</v>
      </c>
    </row>
    <row r="323" spans="1:18" ht="15.75" thickBot="1" x14ac:dyDescent="0.3">
      <c r="A323" s="21" t="s">
        <v>107</v>
      </c>
      <c r="B323" s="22" t="s">
        <v>96</v>
      </c>
      <c r="C323" s="22" t="s">
        <v>97</v>
      </c>
      <c r="D323" s="22">
        <v>730</v>
      </c>
      <c r="E323" s="22">
        <v>42</v>
      </c>
      <c r="F323" s="21">
        <f t="shared" ref="F323:F394" si="15">D323*233.456</f>
        <v>170422.88</v>
      </c>
      <c r="G323" s="21">
        <f t="shared" ref="G323:G394" si="16">F323*15%</f>
        <v>25563.432000000001</v>
      </c>
      <c r="H323" s="21">
        <v>60000</v>
      </c>
      <c r="I323" s="21">
        <v>15000</v>
      </c>
      <c r="J323" s="21">
        <v>15000</v>
      </c>
      <c r="K323" s="26">
        <v>80000</v>
      </c>
      <c r="L323" s="21">
        <f>SUM(F323:K323)</f>
        <v>365986.31200000003</v>
      </c>
      <c r="M323" s="21">
        <v>28409.494096000002</v>
      </c>
      <c r="N323" s="21">
        <v>2857.8099199999997</v>
      </c>
      <c r="O323" s="21">
        <v>14196.225904000001</v>
      </c>
      <c r="P323" s="21">
        <f>IF((D323*233.456*3%)&gt;7004,7004,(D323*233.456*3%))</f>
        <v>5112.6863999999996</v>
      </c>
      <c r="Q323" s="21">
        <f t="shared" ref="Q323:Q384" si="17">L323-SUM(N323:P323)</f>
        <v>343819.58977600001</v>
      </c>
      <c r="R323" s="21">
        <v>195986.31200000001</v>
      </c>
    </row>
    <row r="324" spans="1:18" ht="15.75" thickBot="1" x14ac:dyDescent="0.3">
      <c r="A324" s="21" t="s">
        <v>107</v>
      </c>
      <c r="B324" s="22" t="s">
        <v>96</v>
      </c>
      <c r="C324" s="22" t="s">
        <v>97</v>
      </c>
      <c r="D324" s="22">
        <v>680</v>
      </c>
      <c r="E324" s="22">
        <v>41</v>
      </c>
      <c r="F324" s="21">
        <f t="shared" si="15"/>
        <v>158750.07999999999</v>
      </c>
      <c r="G324" s="21">
        <f t="shared" si="16"/>
        <v>23812.511999999999</v>
      </c>
      <c r="H324" s="21">
        <v>60000</v>
      </c>
      <c r="I324" s="21">
        <v>15000</v>
      </c>
      <c r="J324" s="21">
        <v>15000</v>
      </c>
      <c r="K324" s="26">
        <v>80000</v>
      </c>
      <c r="L324" s="21">
        <f>SUM(F324:K324)</f>
        <v>352562.59199999995</v>
      </c>
      <c r="M324" s="21">
        <v>26463.638336</v>
      </c>
      <c r="N324" s="21">
        <v>710.01471999999558</v>
      </c>
      <c r="O324" s="21">
        <v>13223.881663999999</v>
      </c>
      <c r="P324" s="21">
        <f>IF((D324*233.456*3%)&gt;7004,7004,(D324*233.456*3%))</f>
        <v>4762.5023999999994</v>
      </c>
      <c r="Q324" s="21">
        <f t="shared" si="17"/>
        <v>333866.19321599993</v>
      </c>
      <c r="R324" s="21">
        <v>182562.59199999998</v>
      </c>
    </row>
    <row r="325" spans="1:18" ht="15.75" thickBot="1" x14ac:dyDescent="0.3">
      <c r="A325" s="21" t="s">
        <v>107</v>
      </c>
      <c r="B325" s="22" t="s">
        <v>99</v>
      </c>
      <c r="C325" s="22" t="s">
        <v>100</v>
      </c>
      <c r="D325" s="22">
        <v>855</v>
      </c>
      <c r="E325" s="22">
        <v>13</v>
      </c>
      <c r="F325" s="21">
        <f t="shared" si="15"/>
        <v>199604.88</v>
      </c>
      <c r="G325" s="21">
        <f t="shared" si="16"/>
        <v>29940.732</v>
      </c>
      <c r="H325" s="21">
        <v>60000</v>
      </c>
      <c r="I325" s="21">
        <v>15000</v>
      </c>
      <c r="J325" s="21">
        <v>15000</v>
      </c>
      <c r="K325" s="26">
        <v>70000</v>
      </c>
      <c r="L325" s="21">
        <f>SUM(F325:K325)</f>
        <v>389545.61199999996</v>
      </c>
      <c r="M325" s="21">
        <v>27825.737367999998</v>
      </c>
      <c r="N325" s="21">
        <v>2213.4713599999959</v>
      </c>
      <c r="O325" s="21">
        <v>13904.522632</v>
      </c>
      <c r="P325" s="21">
        <f>IF((D325*233.456*3%)&gt;7004,7004,(D325*233.456*3%))</f>
        <v>5988.1463999999996</v>
      </c>
      <c r="Q325" s="21">
        <f t="shared" ref="Q325:Q336" si="18">L325-SUM(N325:P325)</f>
        <v>367439.47160799999</v>
      </c>
      <c r="R325" s="21">
        <v>191959.19599999997</v>
      </c>
    </row>
    <row r="326" spans="1:18" ht="15.75" thickBot="1" x14ac:dyDescent="0.3">
      <c r="A326" s="21" t="s">
        <v>107</v>
      </c>
      <c r="B326" s="22" t="s">
        <v>99</v>
      </c>
      <c r="C326" s="22" t="s">
        <v>100</v>
      </c>
      <c r="D326" s="22">
        <v>840</v>
      </c>
      <c r="E326" s="22">
        <v>12</v>
      </c>
      <c r="F326" s="21">
        <f t="shared" si="15"/>
        <v>196103.03999999998</v>
      </c>
      <c r="G326" s="21">
        <f t="shared" si="16"/>
        <v>29415.455999999995</v>
      </c>
      <c r="H326" s="21">
        <v>60000</v>
      </c>
      <c r="I326" s="21">
        <v>15000</v>
      </c>
      <c r="J326" s="21">
        <v>15000</v>
      </c>
      <c r="K326" s="26">
        <v>70000</v>
      </c>
      <c r="L326" s="21">
        <f>SUM(F326:K326)</f>
        <v>385518.49599999998</v>
      </c>
      <c r="M326" s="21">
        <v>27241.980639999998</v>
      </c>
      <c r="N326" s="21">
        <v>1569.1327999999994</v>
      </c>
      <c r="O326" s="21">
        <v>13612.81936</v>
      </c>
      <c r="P326" s="21">
        <f>IF((D326*233.456*3%)&gt;7004,7004,(D326*233.456*3%))</f>
        <v>5883.0911999999989</v>
      </c>
      <c r="Q326" s="21">
        <f t="shared" si="18"/>
        <v>364453.45263999997</v>
      </c>
      <c r="R326" s="21">
        <v>187932.08</v>
      </c>
    </row>
    <row r="327" spans="1:18" ht="15.75" thickBot="1" x14ac:dyDescent="0.3">
      <c r="A327" s="21" t="s">
        <v>107</v>
      </c>
      <c r="B327" s="22" t="s">
        <v>99</v>
      </c>
      <c r="C327" s="22" t="s">
        <v>100</v>
      </c>
      <c r="D327" s="22">
        <v>825</v>
      </c>
      <c r="E327" s="22">
        <v>11</v>
      </c>
      <c r="F327" s="21">
        <f t="shared" si="15"/>
        <v>192601.19999999998</v>
      </c>
      <c r="G327" s="21">
        <f t="shared" si="16"/>
        <v>28890.179999999997</v>
      </c>
      <c r="H327" s="21">
        <v>60000</v>
      </c>
      <c r="I327" s="21">
        <v>15000</v>
      </c>
      <c r="J327" s="21">
        <v>15000</v>
      </c>
      <c r="K327" s="26">
        <v>70000</v>
      </c>
      <c r="L327" s="21">
        <f>SUM(F327:K327)</f>
        <v>381491.38</v>
      </c>
      <c r="M327" s="21">
        <v>26658.223912000001</v>
      </c>
      <c r="N327" s="21">
        <v>924.79423999999563</v>
      </c>
      <c r="O327" s="21">
        <v>13321.116087999999</v>
      </c>
      <c r="P327" s="21">
        <f>IF((D327*233.456*3%)&gt;7004,7004,(D327*233.456*3%))</f>
        <v>5778.0359999999991</v>
      </c>
      <c r="Q327" s="21">
        <f t="shared" si="18"/>
        <v>361467.43367200001</v>
      </c>
      <c r="R327" s="21">
        <v>183904.96399999998</v>
      </c>
    </row>
    <row r="328" spans="1:18" ht="15.75" thickBot="1" x14ac:dyDescent="0.3">
      <c r="A328" s="21" t="s">
        <v>107</v>
      </c>
      <c r="B328" s="22" t="s">
        <v>99</v>
      </c>
      <c r="C328" s="22" t="s">
        <v>100</v>
      </c>
      <c r="D328" s="22">
        <v>805</v>
      </c>
      <c r="E328" s="22">
        <v>23</v>
      </c>
      <c r="F328" s="21">
        <f t="shared" si="15"/>
        <v>187932.08</v>
      </c>
      <c r="G328" s="21">
        <f t="shared" si="16"/>
        <v>28189.811999999998</v>
      </c>
      <c r="H328" s="21">
        <v>60000</v>
      </c>
      <c r="I328" s="21">
        <v>15000</v>
      </c>
      <c r="J328" s="21">
        <v>15000</v>
      </c>
      <c r="K328" s="26">
        <v>70000</v>
      </c>
      <c r="L328" s="21">
        <f>SUM(F328:K328)</f>
        <v>376121.89199999999</v>
      </c>
      <c r="M328" s="21">
        <v>26269.052759999999</v>
      </c>
      <c r="N328" s="21">
        <v>495.23519999999553</v>
      </c>
      <c r="O328" s="21">
        <v>13126.647239999998</v>
      </c>
      <c r="P328" s="21">
        <f>IF((D328*233.456*3%)&gt;7004,7004,(D328*233.456*3%))</f>
        <v>5637.9623999999994</v>
      </c>
      <c r="Q328" s="21">
        <f t="shared" si="18"/>
        <v>356862.04716000002</v>
      </c>
      <c r="R328" s="21">
        <v>181220.21999999997</v>
      </c>
    </row>
    <row r="329" spans="1:18" ht="15.75" thickBot="1" x14ac:dyDescent="0.3">
      <c r="A329" s="21" t="s">
        <v>107</v>
      </c>
      <c r="B329" s="22" t="s">
        <v>99</v>
      </c>
      <c r="C329" s="22" t="s">
        <v>100</v>
      </c>
      <c r="D329" s="22">
        <v>775</v>
      </c>
      <c r="E329" s="22">
        <v>22</v>
      </c>
      <c r="F329" s="21">
        <f t="shared" si="15"/>
        <v>180928.4</v>
      </c>
      <c r="G329" s="21">
        <f t="shared" si="16"/>
        <v>27139.26</v>
      </c>
      <c r="H329" s="21">
        <v>60000</v>
      </c>
      <c r="I329" s="21">
        <v>15000</v>
      </c>
      <c r="J329" s="21">
        <v>15000</v>
      </c>
      <c r="K329" s="26">
        <v>70000</v>
      </c>
      <c r="L329" s="21">
        <f>SUM(F329:K329)</f>
        <v>368067.66000000003</v>
      </c>
      <c r="M329" s="21">
        <v>25879.881608</v>
      </c>
      <c r="N329" s="21">
        <v>65.676159999999072</v>
      </c>
      <c r="O329" s="21">
        <v>12932.178392</v>
      </c>
      <c r="P329" s="21">
        <f>IF((D329*233.456*3%)&gt;7004,7004,(D329*233.456*3%))</f>
        <v>5427.8519999999999</v>
      </c>
      <c r="Q329" s="21">
        <f t="shared" si="18"/>
        <v>349641.95344800001</v>
      </c>
      <c r="R329" s="21">
        <v>178535.476</v>
      </c>
    </row>
    <row r="330" spans="1:18" ht="15.75" thickBot="1" x14ac:dyDescent="0.3">
      <c r="A330" s="21" t="s">
        <v>107</v>
      </c>
      <c r="B330" s="22" t="s">
        <v>99</v>
      </c>
      <c r="C330" s="22" t="s">
        <v>100</v>
      </c>
      <c r="D330" s="22">
        <v>755</v>
      </c>
      <c r="E330" s="22">
        <v>21</v>
      </c>
      <c r="F330" s="21">
        <f t="shared" si="15"/>
        <v>176259.28</v>
      </c>
      <c r="G330" s="21">
        <f t="shared" si="16"/>
        <v>26438.892</v>
      </c>
      <c r="H330" s="21">
        <v>60000</v>
      </c>
      <c r="I330" s="21">
        <v>15000</v>
      </c>
      <c r="J330" s="21">
        <v>15000</v>
      </c>
      <c r="K330" s="26">
        <v>70000</v>
      </c>
      <c r="L330" s="21">
        <f>SUM(F330:K330)</f>
        <v>362698.17200000002</v>
      </c>
      <c r="M330" s="21">
        <v>25490.710456000001</v>
      </c>
      <c r="N330" s="21">
        <v>0</v>
      </c>
      <c r="O330" s="21">
        <v>12737.709543999999</v>
      </c>
      <c r="P330" s="21">
        <f>IF((D330*233.456*3%)&gt;7004,7004,(D330*233.456*3%))</f>
        <v>5287.7784000000001</v>
      </c>
      <c r="Q330" s="21">
        <f t="shared" si="18"/>
        <v>344672.68405600003</v>
      </c>
      <c r="R330" s="21">
        <v>175850.73199999999</v>
      </c>
    </row>
    <row r="331" spans="1:18" ht="15.75" thickBot="1" x14ac:dyDescent="0.3">
      <c r="A331" s="21" t="s">
        <v>107</v>
      </c>
      <c r="B331" s="22" t="s">
        <v>99</v>
      </c>
      <c r="C331" s="22" t="s">
        <v>100</v>
      </c>
      <c r="D331" s="22">
        <v>700</v>
      </c>
      <c r="E331" s="22">
        <v>33</v>
      </c>
      <c r="F331" s="21">
        <f t="shared" si="15"/>
        <v>163419.19999999998</v>
      </c>
      <c r="G331" s="21">
        <f t="shared" si="16"/>
        <v>24512.879999999997</v>
      </c>
      <c r="H331" s="21">
        <v>60000</v>
      </c>
      <c r="I331" s="21">
        <v>15000</v>
      </c>
      <c r="J331" s="21">
        <v>15000</v>
      </c>
      <c r="K331" s="26">
        <v>70000</v>
      </c>
      <c r="L331" s="21">
        <f>SUM(F331:K331)</f>
        <v>347932.07999999996</v>
      </c>
      <c r="M331" s="21">
        <v>24128.611424000002</v>
      </c>
      <c r="N331" s="21">
        <v>0</v>
      </c>
      <c r="O331" s="21">
        <v>12057.068576</v>
      </c>
      <c r="P331" s="21">
        <f>IF((D331*233.456*3%)&gt;7004,7004,(D331*233.456*3%))</f>
        <v>4902.5759999999991</v>
      </c>
      <c r="Q331" s="21">
        <f t="shared" si="18"/>
        <v>330972.43542399997</v>
      </c>
      <c r="R331" s="21">
        <v>166454.128</v>
      </c>
    </row>
    <row r="332" spans="1:18" ht="15.75" thickBot="1" x14ac:dyDescent="0.3">
      <c r="A332" s="21" t="s">
        <v>107</v>
      </c>
      <c r="B332" s="22" t="s">
        <v>99</v>
      </c>
      <c r="C332" s="22" t="s">
        <v>100</v>
      </c>
      <c r="D332" s="22">
        <v>680</v>
      </c>
      <c r="E332" s="22">
        <v>32</v>
      </c>
      <c r="F332" s="21">
        <f t="shared" si="15"/>
        <v>158750.07999999999</v>
      </c>
      <c r="G332" s="21">
        <f t="shared" si="16"/>
        <v>23812.511999999999</v>
      </c>
      <c r="H332" s="21">
        <v>60000</v>
      </c>
      <c r="I332" s="21">
        <v>15000</v>
      </c>
      <c r="J332" s="21">
        <v>15000</v>
      </c>
      <c r="K332" s="26">
        <v>70000</v>
      </c>
      <c r="L332" s="21">
        <f>SUM(F332:K332)</f>
        <v>342562.59199999995</v>
      </c>
      <c r="M332" s="21">
        <v>23350.269120000004</v>
      </c>
      <c r="N332" s="21">
        <v>0</v>
      </c>
      <c r="O332" s="21">
        <v>11668.130879999999</v>
      </c>
      <c r="P332" s="21">
        <f>IF((D332*233.456*3%)&gt;7004,7004,(D332*233.456*3%))</f>
        <v>4762.5023999999994</v>
      </c>
      <c r="Q332" s="21">
        <f t="shared" si="18"/>
        <v>326131.95871999994</v>
      </c>
      <c r="R332" s="21">
        <v>161084.64000000001</v>
      </c>
    </row>
    <row r="333" spans="1:18" ht="15.75" thickBot="1" x14ac:dyDescent="0.3">
      <c r="A333" s="21" t="s">
        <v>107</v>
      </c>
      <c r="B333" s="22" t="s">
        <v>99</v>
      </c>
      <c r="C333" s="22" t="s">
        <v>100</v>
      </c>
      <c r="D333" s="22">
        <v>655</v>
      </c>
      <c r="E333" s="22">
        <v>31</v>
      </c>
      <c r="F333" s="21">
        <f t="shared" si="15"/>
        <v>152913.68</v>
      </c>
      <c r="G333" s="21">
        <f t="shared" si="16"/>
        <v>22937.052</v>
      </c>
      <c r="H333" s="21">
        <v>60000</v>
      </c>
      <c r="I333" s="21">
        <v>15000</v>
      </c>
      <c r="J333" s="21">
        <v>15000</v>
      </c>
      <c r="K333" s="26">
        <v>70000</v>
      </c>
      <c r="L333" s="21">
        <f>SUM(F333:K333)</f>
        <v>335850.73199999996</v>
      </c>
      <c r="M333" s="21">
        <v>22961.097967999998</v>
      </c>
      <c r="N333" s="21">
        <v>0</v>
      </c>
      <c r="O333" s="21">
        <v>11473.662031999998</v>
      </c>
      <c r="P333" s="21">
        <f>IF((D333*233.456*3%)&gt;7004,7004,(D333*233.456*3%))</f>
        <v>4587.4103999999998</v>
      </c>
      <c r="Q333" s="21">
        <f t="shared" si="18"/>
        <v>319789.65956799994</v>
      </c>
      <c r="R333" s="21">
        <v>158399.89599999998</v>
      </c>
    </row>
    <row r="334" spans="1:18" ht="15.75" thickBot="1" x14ac:dyDescent="0.3">
      <c r="A334" s="21" t="s">
        <v>107</v>
      </c>
      <c r="B334" s="22" t="s">
        <v>99</v>
      </c>
      <c r="C334" s="22" t="s">
        <v>100</v>
      </c>
      <c r="D334" s="22">
        <v>610</v>
      </c>
      <c r="E334" s="22">
        <v>44</v>
      </c>
      <c r="F334" s="21">
        <f t="shared" si="15"/>
        <v>142408.16</v>
      </c>
      <c r="G334" s="21">
        <f t="shared" si="16"/>
        <v>21361.223999999998</v>
      </c>
      <c r="H334" s="21">
        <v>60000</v>
      </c>
      <c r="I334" s="21">
        <v>15000</v>
      </c>
      <c r="J334" s="21">
        <v>15000</v>
      </c>
      <c r="K334" s="26">
        <v>70000</v>
      </c>
      <c r="L334" s="21">
        <f>SUM(F334:K334)</f>
        <v>323769.38399999996</v>
      </c>
      <c r="M334" s="21">
        <v>21988.170087999999</v>
      </c>
      <c r="N334" s="21">
        <v>0</v>
      </c>
      <c r="O334" s="21">
        <v>10987.489912000001</v>
      </c>
      <c r="P334" s="21">
        <f>IF((D334*233.456*3%)&gt;7004,7004,(D334*233.456*3%))</f>
        <v>4272.2448000000004</v>
      </c>
      <c r="Q334" s="21">
        <f t="shared" si="18"/>
        <v>308509.64928799996</v>
      </c>
      <c r="R334" s="21">
        <v>151688.03599999999</v>
      </c>
    </row>
    <row r="335" spans="1:18" ht="15.75" thickBot="1" x14ac:dyDescent="0.3">
      <c r="A335" s="21" t="s">
        <v>107</v>
      </c>
      <c r="B335" s="22" t="s">
        <v>99</v>
      </c>
      <c r="C335" s="22" t="s">
        <v>100</v>
      </c>
      <c r="D335" s="22">
        <v>585</v>
      </c>
      <c r="E335" s="22">
        <v>43</v>
      </c>
      <c r="F335" s="21">
        <f t="shared" si="15"/>
        <v>136571.75999999998</v>
      </c>
      <c r="G335" s="21">
        <f t="shared" si="16"/>
        <v>20485.763999999996</v>
      </c>
      <c r="H335" s="21">
        <v>60000</v>
      </c>
      <c r="I335" s="21">
        <v>15000</v>
      </c>
      <c r="J335" s="21">
        <v>15000</v>
      </c>
      <c r="K335" s="26">
        <v>70000</v>
      </c>
      <c r="L335" s="21">
        <f>SUM(F335:K335)</f>
        <v>317057.52399999998</v>
      </c>
      <c r="M335" s="21">
        <v>21598.998936</v>
      </c>
      <c r="N335" s="21">
        <v>0</v>
      </c>
      <c r="O335" s="21">
        <v>10793.021063999999</v>
      </c>
      <c r="P335" s="21">
        <f>IF((D335*233.456*3%)&gt;7004,7004,(D335*233.456*3%))</f>
        <v>4097.1527999999989</v>
      </c>
      <c r="Q335" s="21">
        <f t="shared" si="18"/>
        <v>302167.35013599996</v>
      </c>
      <c r="R335" s="21">
        <v>149003.29199999999</v>
      </c>
    </row>
    <row r="336" spans="1:18" ht="15.75" thickBot="1" x14ac:dyDescent="0.3">
      <c r="A336" s="21" t="s">
        <v>107</v>
      </c>
      <c r="B336" s="22" t="s">
        <v>99</v>
      </c>
      <c r="C336" s="22" t="s">
        <v>100</v>
      </c>
      <c r="D336" s="22">
        <v>560</v>
      </c>
      <c r="E336" s="22">
        <v>42</v>
      </c>
      <c r="F336" s="21">
        <f t="shared" si="15"/>
        <v>130735.36</v>
      </c>
      <c r="G336" s="21">
        <f t="shared" si="16"/>
        <v>19610.304</v>
      </c>
      <c r="H336" s="21">
        <v>60000</v>
      </c>
      <c r="I336" s="21">
        <v>15000</v>
      </c>
      <c r="J336" s="21">
        <v>15000</v>
      </c>
      <c r="K336" s="26">
        <v>70000</v>
      </c>
      <c r="L336" s="21">
        <f>SUM(F336:K336)</f>
        <v>310345.66399999999</v>
      </c>
      <c r="M336" s="21">
        <v>21209.827784000001</v>
      </c>
      <c r="N336" s="21">
        <v>0</v>
      </c>
      <c r="O336" s="21">
        <v>10598.552216</v>
      </c>
      <c r="P336" s="21">
        <f>IF((D336*233.456*3%)&gt;7004,7004,(D336*233.456*3%))</f>
        <v>3922.0607999999997</v>
      </c>
      <c r="Q336" s="21">
        <f t="shared" si="18"/>
        <v>295825.05098399997</v>
      </c>
      <c r="R336" s="21">
        <v>146318.54799999998</v>
      </c>
    </row>
    <row r="337" spans="1:18" ht="15.75" thickBot="1" x14ac:dyDescent="0.3">
      <c r="A337" s="21" t="s">
        <v>107</v>
      </c>
      <c r="B337" s="22" t="s">
        <v>99</v>
      </c>
      <c r="C337" s="22" t="s">
        <v>100</v>
      </c>
      <c r="D337" s="22">
        <v>535</v>
      </c>
      <c r="E337" s="22">
        <v>41</v>
      </c>
      <c r="F337" s="21">
        <f t="shared" si="15"/>
        <v>124898.95999999999</v>
      </c>
      <c r="G337" s="21">
        <f t="shared" si="16"/>
        <v>18734.843999999997</v>
      </c>
      <c r="H337" s="21">
        <v>60000</v>
      </c>
      <c r="I337" s="21">
        <v>15000</v>
      </c>
      <c r="J337" s="21">
        <v>15000</v>
      </c>
      <c r="K337" s="26">
        <v>70000</v>
      </c>
      <c r="L337" s="21">
        <f>SUM(F337:K337)</f>
        <v>303633.804</v>
      </c>
      <c r="M337" s="21">
        <v>20820.656632000002</v>
      </c>
      <c r="N337" s="21">
        <v>0</v>
      </c>
      <c r="O337" s="21">
        <v>10404.083368</v>
      </c>
      <c r="P337" s="21">
        <f>IF((D337*233.456*3%)&gt;7004,7004,(D337*233.456*3%))</f>
        <v>3746.9687999999996</v>
      </c>
      <c r="Q337" s="21">
        <f t="shared" ref="Q337" si="19">L337-SUM(N337:P337)</f>
        <v>289482.75183199998</v>
      </c>
      <c r="R337" s="21">
        <v>143633.804</v>
      </c>
    </row>
    <row r="338" spans="1:18" ht="15.75" thickBot="1" x14ac:dyDescent="0.3">
      <c r="A338" s="21" t="s">
        <v>107</v>
      </c>
      <c r="B338" s="22" t="s">
        <v>99</v>
      </c>
      <c r="C338" s="22" t="s">
        <v>102</v>
      </c>
      <c r="D338" s="22">
        <v>690</v>
      </c>
      <c r="E338" s="22">
        <v>13</v>
      </c>
      <c r="F338" s="21">
        <f t="shared" si="15"/>
        <v>161084.63999999998</v>
      </c>
      <c r="G338" s="21">
        <f t="shared" si="16"/>
        <v>24162.695999999996</v>
      </c>
      <c r="H338" s="21">
        <v>60000</v>
      </c>
      <c r="I338" s="21">
        <v>15000</v>
      </c>
      <c r="J338" s="21">
        <v>15000</v>
      </c>
      <c r="K338" s="26">
        <v>70000</v>
      </c>
      <c r="L338" s="21">
        <f>SUM(F338:K338)</f>
        <v>345247.33600000001</v>
      </c>
      <c r="M338" s="21">
        <v>26852.809487999999</v>
      </c>
      <c r="N338" s="21">
        <v>1139.5737599999957</v>
      </c>
      <c r="O338" s="21">
        <v>13418.350511999999</v>
      </c>
      <c r="P338" s="21">
        <f>IF((D338*233.456*3%)&gt;7004,7004,(D338*233.456*3%))</f>
        <v>4832.5391999999993</v>
      </c>
      <c r="Q338" s="21">
        <f t="shared" si="17"/>
        <v>325856.87252800004</v>
      </c>
      <c r="R338" s="21">
        <v>185247.33599999998</v>
      </c>
    </row>
    <row r="339" spans="1:18" ht="15.75" thickBot="1" x14ac:dyDescent="0.3">
      <c r="A339" s="21" t="s">
        <v>107</v>
      </c>
      <c r="B339" s="22" t="s">
        <v>99</v>
      </c>
      <c r="C339" s="22" t="s">
        <v>102</v>
      </c>
      <c r="D339" s="22">
        <v>675</v>
      </c>
      <c r="E339" s="22">
        <v>12</v>
      </c>
      <c r="F339" s="21">
        <f t="shared" si="15"/>
        <v>157582.79999999999</v>
      </c>
      <c r="G339" s="21">
        <f t="shared" si="16"/>
        <v>23637.42</v>
      </c>
      <c r="H339" s="21">
        <v>60000</v>
      </c>
      <c r="I339" s="21">
        <v>15000</v>
      </c>
      <c r="J339" s="21">
        <v>15000</v>
      </c>
      <c r="K339" s="26">
        <v>70000</v>
      </c>
      <c r="L339" s="21">
        <f>SUM(F339:K339)</f>
        <v>341220.22</v>
      </c>
      <c r="M339" s="21">
        <v>26269.052759999999</v>
      </c>
      <c r="N339" s="21">
        <v>495.23519999999553</v>
      </c>
      <c r="O339" s="21">
        <v>13126.647239999998</v>
      </c>
      <c r="P339" s="21">
        <f>IF((D339*233.456*3%)&gt;7004,7004,(D339*233.456*3%))</f>
        <v>4727.4839999999995</v>
      </c>
      <c r="Q339" s="21">
        <f t="shared" si="17"/>
        <v>322870.85355999996</v>
      </c>
      <c r="R339" s="21">
        <v>181220.21999999997</v>
      </c>
    </row>
    <row r="340" spans="1:18" ht="15.75" thickBot="1" x14ac:dyDescent="0.3">
      <c r="A340" s="21" t="s">
        <v>107</v>
      </c>
      <c r="B340" s="22" t="s">
        <v>99</v>
      </c>
      <c r="C340" s="22" t="s">
        <v>102</v>
      </c>
      <c r="D340" s="22">
        <v>660</v>
      </c>
      <c r="E340" s="22">
        <v>11</v>
      </c>
      <c r="F340" s="21">
        <f t="shared" si="15"/>
        <v>154080.95999999999</v>
      </c>
      <c r="G340" s="21">
        <f t="shared" si="16"/>
        <v>23112.143999999997</v>
      </c>
      <c r="H340" s="21">
        <v>60000</v>
      </c>
      <c r="I340" s="21">
        <v>15000</v>
      </c>
      <c r="J340" s="21">
        <v>15000</v>
      </c>
      <c r="K340" s="26">
        <v>70000</v>
      </c>
      <c r="L340" s="21">
        <f>SUM(F340:K340)</f>
        <v>337193.10399999999</v>
      </c>
      <c r="M340" s="21">
        <v>25685.296032000002</v>
      </c>
      <c r="N340" s="21">
        <v>0</v>
      </c>
      <c r="O340" s="21">
        <v>12834.943968</v>
      </c>
      <c r="P340" s="21">
        <f>IF((D340*233.456*3%)&gt;7004,7004,(D340*233.456*3%))</f>
        <v>4622.4287999999997</v>
      </c>
      <c r="Q340" s="21">
        <f t="shared" si="17"/>
        <v>319735.73123199999</v>
      </c>
      <c r="R340" s="21">
        <v>177193.10399999999</v>
      </c>
    </row>
    <row r="341" spans="1:18" ht="15.75" thickBot="1" x14ac:dyDescent="0.3">
      <c r="A341" s="21" t="s">
        <v>107</v>
      </c>
      <c r="B341" s="22" t="s">
        <v>99</v>
      </c>
      <c r="C341" s="22" t="s">
        <v>102</v>
      </c>
      <c r="D341" s="22">
        <v>650</v>
      </c>
      <c r="E341" s="22">
        <v>23</v>
      </c>
      <c r="F341" s="21">
        <f t="shared" si="15"/>
        <v>151746.4</v>
      </c>
      <c r="G341" s="21">
        <f t="shared" si="16"/>
        <v>22761.96</v>
      </c>
      <c r="H341" s="21">
        <v>60000</v>
      </c>
      <c r="I341" s="21">
        <v>15000</v>
      </c>
      <c r="J341" s="21">
        <v>15000</v>
      </c>
      <c r="K341" s="26">
        <v>70000</v>
      </c>
      <c r="L341" s="21">
        <f>SUM(F341:K341)</f>
        <v>334508.36</v>
      </c>
      <c r="M341" s="21">
        <v>25296.124880000003</v>
      </c>
      <c r="N341" s="21">
        <v>0</v>
      </c>
      <c r="O341" s="21">
        <v>12640.475119999999</v>
      </c>
      <c r="P341" s="21">
        <f>IF((D341*233.456*3%)&gt;7004,7004,(D341*233.456*3%))</f>
        <v>4552.3919999999998</v>
      </c>
      <c r="Q341" s="21">
        <f t="shared" si="17"/>
        <v>317315.49287999998</v>
      </c>
      <c r="R341" s="21">
        <v>174508.36</v>
      </c>
    </row>
    <row r="342" spans="1:18" ht="15.75" thickBot="1" x14ac:dyDescent="0.3">
      <c r="A342" s="21" t="s">
        <v>107</v>
      </c>
      <c r="B342" s="22" t="s">
        <v>99</v>
      </c>
      <c r="C342" s="22" t="s">
        <v>102</v>
      </c>
      <c r="D342" s="22">
        <v>640</v>
      </c>
      <c r="E342" s="22">
        <v>22</v>
      </c>
      <c r="F342" s="21">
        <f t="shared" si="15"/>
        <v>149411.84</v>
      </c>
      <c r="G342" s="21">
        <f t="shared" si="16"/>
        <v>22411.775999999998</v>
      </c>
      <c r="H342" s="21">
        <v>60000</v>
      </c>
      <c r="I342" s="21">
        <v>15000</v>
      </c>
      <c r="J342" s="21">
        <v>15000</v>
      </c>
      <c r="K342" s="26">
        <v>70000</v>
      </c>
      <c r="L342" s="21">
        <f>SUM(F342:K342)</f>
        <v>331823.61599999998</v>
      </c>
      <c r="M342" s="21">
        <v>24906.953728</v>
      </c>
      <c r="N342" s="21">
        <v>0</v>
      </c>
      <c r="O342" s="21">
        <v>12446.006271999999</v>
      </c>
      <c r="P342" s="21">
        <f>IF((D342*233.456*3%)&gt;7004,7004,(D342*233.456*3%))</f>
        <v>4482.3552</v>
      </c>
      <c r="Q342" s="21">
        <f t="shared" si="17"/>
        <v>314895.25452799996</v>
      </c>
      <c r="R342" s="21">
        <v>171823.61599999998</v>
      </c>
    </row>
    <row r="343" spans="1:18" ht="15.75" thickBot="1" x14ac:dyDescent="0.3">
      <c r="A343" s="21" t="s">
        <v>107</v>
      </c>
      <c r="B343" s="22" t="s">
        <v>99</v>
      </c>
      <c r="C343" s="22" t="s">
        <v>102</v>
      </c>
      <c r="D343" s="22">
        <v>630</v>
      </c>
      <c r="E343" s="22">
        <v>21</v>
      </c>
      <c r="F343" s="21">
        <f t="shared" si="15"/>
        <v>147077.28</v>
      </c>
      <c r="G343" s="21">
        <f t="shared" si="16"/>
        <v>22061.592000000001</v>
      </c>
      <c r="H343" s="21">
        <v>60000</v>
      </c>
      <c r="I343" s="21">
        <v>15000</v>
      </c>
      <c r="J343" s="21">
        <v>15000</v>
      </c>
      <c r="K343" s="26">
        <v>70000</v>
      </c>
      <c r="L343" s="21">
        <f>SUM(F343:K343)</f>
        <v>329138.87199999997</v>
      </c>
      <c r="M343" s="21">
        <v>24517.782576000001</v>
      </c>
      <c r="N343" s="21">
        <v>0</v>
      </c>
      <c r="O343" s="21">
        <v>12251.537424</v>
      </c>
      <c r="P343" s="21">
        <f>IF((D343*233.456*3%)&gt;7004,7004,(D343*233.456*3%))</f>
        <v>4412.3184000000001</v>
      </c>
      <c r="Q343" s="21">
        <f t="shared" si="17"/>
        <v>312475.016176</v>
      </c>
      <c r="R343" s="21">
        <v>169138.872</v>
      </c>
    </row>
    <row r="344" spans="1:18" ht="15.75" thickBot="1" x14ac:dyDescent="0.3">
      <c r="A344" s="21" t="s">
        <v>107</v>
      </c>
      <c r="B344" s="22" t="s">
        <v>99</v>
      </c>
      <c r="C344" s="22" t="s">
        <v>102</v>
      </c>
      <c r="D344" s="22">
        <v>595</v>
      </c>
      <c r="E344" s="22">
        <v>33</v>
      </c>
      <c r="F344" s="21">
        <f t="shared" si="15"/>
        <v>138906.32</v>
      </c>
      <c r="G344" s="21">
        <f t="shared" si="16"/>
        <v>20835.948</v>
      </c>
      <c r="H344" s="21">
        <v>60000</v>
      </c>
      <c r="I344" s="21">
        <v>15000</v>
      </c>
      <c r="J344" s="21">
        <v>15000</v>
      </c>
      <c r="K344" s="26">
        <v>70000</v>
      </c>
      <c r="L344" s="21">
        <f>SUM(F344:K344)</f>
        <v>319742.26800000004</v>
      </c>
      <c r="M344" s="21">
        <v>23155.683544000003</v>
      </c>
      <c r="N344" s="21">
        <v>0</v>
      </c>
      <c r="O344" s="21">
        <v>11570.896456</v>
      </c>
      <c r="P344" s="21">
        <f>IF((D344*233.456*3%)&gt;7004,7004,(D344*233.456*3%))</f>
        <v>4167.1895999999997</v>
      </c>
      <c r="Q344" s="21">
        <f t="shared" si="17"/>
        <v>304004.18194400007</v>
      </c>
      <c r="R344" s="21">
        <v>159742.26800000001</v>
      </c>
    </row>
    <row r="345" spans="1:18" ht="15.75" thickBot="1" x14ac:dyDescent="0.3">
      <c r="A345" s="21" t="s">
        <v>107</v>
      </c>
      <c r="B345" s="22" t="s">
        <v>99</v>
      </c>
      <c r="C345" s="22" t="s">
        <v>102</v>
      </c>
      <c r="D345" s="22">
        <v>575</v>
      </c>
      <c r="E345" s="22">
        <v>32</v>
      </c>
      <c r="F345" s="21">
        <f t="shared" si="15"/>
        <v>134237.19999999998</v>
      </c>
      <c r="G345" s="21">
        <f t="shared" si="16"/>
        <v>20135.579999999998</v>
      </c>
      <c r="H345" s="21">
        <v>60000</v>
      </c>
      <c r="I345" s="21">
        <v>15000</v>
      </c>
      <c r="J345" s="21">
        <v>15000</v>
      </c>
      <c r="K345" s="26">
        <v>70000</v>
      </c>
      <c r="L345" s="21">
        <f>SUM(F345:K345)</f>
        <v>314372.77999999997</v>
      </c>
      <c r="M345" s="21">
        <v>22377.341239999998</v>
      </c>
      <c r="N345" s="21">
        <v>0</v>
      </c>
      <c r="O345" s="21">
        <v>11181.958759999998</v>
      </c>
      <c r="P345" s="21">
        <f>IF((D345*233.456*3%)&gt;7004,7004,(D345*233.456*3%))</f>
        <v>4027.1159999999995</v>
      </c>
      <c r="Q345" s="21">
        <f t="shared" si="17"/>
        <v>299163.70523999998</v>
      </c>
      <c r="R345" s="21">
        <v>154372.77999999997</v>
      </c>
    </row>
    <row r="346" spans="1:18" ht="15.75" thickBot="1" x14ac:dyDescent="0.3">
      <c r="A346" s="21" t="s">
        <v>107</v>
      </c>
      <c r="B346" s="22" t="s">
        <v>99</v>
      </c>
      <c r="C346" s="22" t="s">
        <v>102</v>
      </c>
      <c r="D346" s="22">
        <v>565</v>
      </c>
      <c r="E346" s="22">
        <v>31</v>
      </c>
      <c r="F346" s="21">
        <f t="shared" si="15"/>
        <v>131902.63999999998</v>
      </c>
      <c r="G346" s="21">
        <f t="shared" si="16"/>
        <v>19785.395999999997</v>
      </c>
      <c r="H346" s="21">
        <v>60000</v>
      </c>
      <c r="I346" s="21">
        <v>15000</v>
      </c>
      <c r="J346" s="21">
        <v>15000</v>
      </c>
      <c r="K346" s="26">
        <v>70000</v>
      </c>
      <c r="L346" s="21">
        <f>SUM(F346:K346)</f>
        <v>311688.03599999996</v>
      </c>
      <c r="M346" s="21">
        <v>21988.170087999999</v>
      </c>
      <c r="N346" s="21">
        <v>0</v>
      </c>
      <c r="O346" s="21">
        <v>10987.489911999999</v>
      </c>
      <c r="P346" s="21">
        <f>IF((D346*233.456*3%)&gt;7004,7004,(D346*233.456*3%))</f>
        <v>3957.0791999999992</v>
      </c>
      <c r="Q346" s="21">
        <f t="shared" si="17"/>
        <v>296743.46688799997</v>
      </c>
      <c r="R346" s="21">
        <v>151688.03599999999</v>
      </c>
    </row>
    <row r="347" spans="1:18" ht="15.75" thickBot="1" x14ac:dyDescent="0.3">
      <c r="A347" s="21" t="s">
        <v>107</v>
      </c>
      <c r="B347" s="22" t="s">
        <v>99</v>
      </c>
      <c r="C347" s="22" t="s">
        <v>102</v>
      </c>
      <c r="D347" s="22">
        <v>540</v>
      </c>
      <c r="E347" s="22">
        <v>44</v>
      </c>
      <c r="F347" s="21">
        <f t="shared" si="15"/>
        <v>126066.23999999999</v>
      </c>
      <c r="G347" s="21">
        <f t="shared" si="16"/>
        <v>18909.935999999998</v>
      </c>
      <c r="H347" s="21">
        <v>60000</v>
      </c>
      <c r="I347" s="21">
        <v>15000</v>
      </c>
      <c r="J347" s="21">
        <v>15000</v>
      </c>
      <c r="K347" s="26">
        <v>70000</v>
      </c>
      <c r="L347" s="21">
        <f>SUM(F347:K347)</f>
        <v>304976.17599999998</v>
      </c>
      <c r="M347" s="21">
        <v>21015.242208</v>
      </c>
      <c r="N347" s="21">
        <v>0</v>
      </c>
      <c r="O347" s="21">
        <v>10501.317792</v>
      </c>
      <c r="P347" s="21">
        <f>IF((D347*233.456*3%)&gt;7004,7004,(D347*233.456*3%))</f>
        <v>3781.9871999999996</v>
      </c>
      <c r="Q347" s="21">
        <f t="shared" si="17"/>
        <v>290692.87100799999</v>
      </c>
      <c r="R347" s="21">
        <v>144976.17599999998</v>
      </c>
    </row>
    <row r="348" spans="1:18" ht="15.75" thickBot="1" x14ac:dyDescent="0.3">
      <c r="A348" s="21" t="s">
        <v>107</v>
      </c>
      <c r="B348" s="22" t="s">
        <v>99</v>
      </c>
      <c r="C348" s="22" t="s">
        <v>102</v>
      </c>
      <c r="D348" s="22">
        <v>530</v>
      </c>
      <c r="E348" s="22">
        <v>43</v>
      </c>
      <c r="F348" s="21">
        <f t="shared" si="15"/>
        <v>123731.68</v>
      </c>
      <c r="G348" s="21">
        <f t="shared" si="16"/>
        <v>18559.751999999997</v>
      </c>
      <c r="H348" s="21">
        <v>60000</v>
      </c>
      <c r="I348" s="21">
        <v>15000</v>
      </c>
      <c r="J348" s="21">
        <v>15000</v>
      </c>
      <c r="K348" s="26">
        <v>70000</v>
      </c>
      <c r="L348" s="21">
        <f>SUM(F348:K348)</f>
        <v>302291.43200000003</v>
      </c>
      <c r="M348" s="21">
        <v>20626.071056000001</v>
      </c>
      <c r="N348" s="21">
        <v>0</v>
      </c>
      <c r="O348" s="21">
        <v>10306.848943999999</v>
      </c>
      <c r="P348" s="21">
        <f>IF((D348*233.456*3%)&gt;7004,7004,(D348*233.456*3%))</f>
        <v>3711.9503999999997</v>
      </c>
      <c r="Q348" s="21">
        <f t="shared" si="17"/>
        <v>288272.63265600003</v>
      </c>
      <c r="R348" s="21">
        <v>142291.432</v>
      </c>
    </row>
    <row r="349" spans="1:18" ht="15.75" thickBot="1" x14ac:dyDescent="0.3">
      <c r="A349" s="21" t="s">
        <v>107</v>
      </c>
      <c r="B349" s="22" t="s">
        <v>99</v>
      </c>
      <c r="C349" s="22" t="s">
        <v>102</v>
      </c>
      <c r="D349" s="22">
        <v>520</v>
      </c>
      <c r="E349" s="22">
        <v>42</v>
      </c>
      <c r="F349" s="21">
        <f t="shared" si="15"/>
        <v>121397.12</v>
      </c>
      <c r="G349" s="21">
        <f t="shared" si="16"/>
        <v>18209.567999999999</v>
      </c>
      <c r="H349" s="21">
        <v>60000</v>
      </c>
      <c r="I349" s="21">
        <v>15000</v>
      </c>
      <c r="J349" s="21">
        <v>15000</v>
      </c>
      <c r="K349" s="26">
        <v>70000</v>
      </c>
      <c r="L349" s="21">
        <f>SUM(F349:K349)</f>
        <v>299606.68799999997</v>
      </c>
      <c r="M349" s="21">
        <v>20236.899904000002</v>
      </c>
      <c r="N349" s="21">
        <v>0</v>
      </c>
      <c r="O349" s="21">
        <v>10112.380095999999</v>
      </c>
      <c r="P349" s="21">
        <f>IF((D349*233.456*3%)&gt;7004,7004,(D349*233.456*3%))</f>
        <v>3641.9135999999999</v>
      </c>
      <c r="Q349" s="21">
        <f t="shared" si="17"/>
        <v>285852.39430399996</v>
      </c>
      <c r="R349" s="21">
        <v>139606.68799999999</v>
      </c>
    </row>
    <row r="350" spans="1:18" ht="15.75" thickBot="1" x14ac:dyDescent="0.3">
      <c r="A350" s="21" t="s">
        <v>107</v>
      </c>
      <c r="B350" s="22" t="s">
        <v>99</v>
      </c>
      <c r="C350" s="22" t="s">
        <v>102</v>
      </c>
      <c r="D350" s="22">
        <v>510</v>
      </c>
      <c r="E350" s="22">
        <v>41</v>
      </c>
      <c r="F350" s="21">
        <f t="shared" si="15"/>
        <v>119062.56</v>
      </c>
      <c r="G350" s="21">
        <f t="shared" si="16"/>
        <v>17859.383999999998</v>
      </c>
      <c r="H350" s="21">
        <v>60000</v>
      </c>
      <c r="I350" s="21">
        <v>15000</v>
      </c>
      <c r="J350" s="21">
        <v>15000</v>
      </c>
      <c r="K350" s="26">
        <v>70000</v>
      </c>
      <c r="L350" s="21">
        <f>SUM(F350:K350)</f>
        <v>296921.94400000002</v>
      </c>
      <c r="M350" s="21">
        <v>19847.728752000003</v>
      </c>
      <c r="N350" s="21">
        <v>0</v>
      </c>
      <c r="O350" s="21">
        <v>9917.9112480000003</v>
      </c>
      <c r="P350" s="21">
        <f>IF((D350*233.456*3%)&gt;7004,7004,(D350*233.456*3%))</f>
        <v>3571.8768</v>
      </c>
      <c r="Q350" s="21">
        <f t="shared" si="17"/>
        <v>283432.155952</v>
      </c>
      <c r="R350" s="21">
        <v>136921.94399999999</v>
      </c>
    </row>
    <row r="351" spans="1:18" ht="15.75" thickBot="1" x14ac:dyDescent="0.3">
      <c r="A351" s="21" t="s">
        <v>107</v>
      </c>
      <c r="B351" s="22" t="s">
        <v>103</v>
      </c>
      <c r="C351" s="22" t="s">
        <v>105</v>
      </c>
      <c r="D351" s="22">
        <v>605</v>
      </c>
      <c r="E351" s="22">
        <v>13</v>
      </c>
      <c r="F351" s="21">
        <f t="shared" si="15"/>
        <v>141240.88</v>
      </c>
      <c r="G351" s="21">
        <f t="shared" si="16"/>
        <v>21186.132000000001</v>
      </c>
      <c r="H351" s="21">
        <v>60000</v>
      </c>
      <c r="I351" s="21">
        <v>15000</v>
      </c>
      <c r="J351" s="21">
        <v>15000</v>
      </c>
      <c r="K351" s="26"/>
      <c r="L351" s="21">
        <f>SUM(F351:K351)</f>
        <v>252427.01200000002</v>
      </c>
      <c r="M351" s="21">
        <v>23544.854696000002</v>
      </c>
      <c r="N351" s="21">
        <v>0</v>
      </c>
      <c r="O351" s="21">
        <v>11765.365304000001</v>
      </c>
      <c r="P351" s="21">
        <f>IF((D351*233.456*3%)&gt;7004,7004,(D351*233.456*3%))</f>
        <v>4237.2263999999996</v>
      </c>
      <c r="Q351" s="21">
        <f t="shared" si="17"/>
        <v>236424.42029600003</v>
      </c>
      <c r="R351" s="21">
        <v>162427.01200000002</v>
      </c>
    </row>
    <row r="352" spans="1:18" ht="15.75" thickBot="1" x14ac:dyDescent="0.3">
      <c r="A352" s="21" t="s">
        <v>107</v>
      </c>
      <c r="B352" s="22" t="s">
        <v>103</v>
      </c>
      <c r="C352" s="22" t="s">
        <v>105</v>
      </c>
      <c r="D352" s="22">
        <v>600</v>
      </c>
      <c r="E352" s="22">
        <v>12</v>
      </c>
      <c r="F352" s="21">
        <f t="shared" si="15"/>
        <v>140073.60000000001</v>
      </c>
      <c r="G352" s="21">
        <f t="shared" si="16"/>
        <v>21011.040000000001</v>
      </c>
      <c r="H352" s="21">
        <v>60000</v>
      </c>
      <c r="I352" s="21">
        <v>15000</v>
      </c>
      <c r="J352" s="21">
        <v>15000</v>
      </c>
      <c r="K352" s="26"/>
      <c r="L352" s="21">
        <f>SUM(F352:K352)</f>
        <v>251084.64</v>
      </c>
      <c r="M352" s="21">
        <v>23350.269120000004</v>
      </c>
      <c r="N352" s="21">
        <v>0</v>
      </c>
      <c r="O352" s="21">
        <v>11668.130880000001</v>
      </c>
      <c r="P352" s="21">
        <f>IF((D352*233.456*3%)&gt;7004,7004,(D352*233.456*3%))</f>
        <v>4202.2079999999996</v>
      </c>
      <c r="Q352" s="21">
        <f t="shared" si="17"/>
        <v>235214.30112000002</v>
      </c>
      <c r="R352" s="21">
        <v>161084.64000000001</v>
      </c>
    </row>
    <row r="353" spans="1:18" ht="15.75" thickBot="1" x14ac:dyDescent="0.3">
      <c r="A353" s="21" t="s">
        <v>107</v>
      </c>
      <c r="B353" s="22" t="s">
        <v>103</v>
      </c>
      <c r="C353" s="22" t="s">
        <v>105</v>
      </c>
      <c r="D353" s="22">
        <v>595</v>
      </c>
      <c r="E353" s="22">
        <v>11</v>
      </c>
      <c r="F353" s="21">
        <f t="shared" si="15"/>
        <v>138906.32</v>
      </c>
      <c r="G353" s="21">
        <f t="shared" si="16"/>
        <v>20835.948</v>
      </c>
      <c r="H353" s="21">
        <v>60000</v>
      </c>
      <c r="I353" s="21">
        <v>15000</v>
      </c>
      <c r="J353" s="21">
        <v>15000</v>
      </c>
      <c r="K353" s="26"/>
      <c r="L353" s="21">
        <f>SUM(F353:K353)</f>
        <v>249742.26800000001</v>
      </c>
      <c r="M353" s="21">
        <v>23155.683544000003</v>
      </c>
      <c r="N353" s="21">
        <v>0</v>
      </c>
      <c r="O353" s="21">
        <v>11570.896456</v>
      </c>
      <c r="P353" s="21">
        <f>IF((D353*233.456*3%)&gt;7004,7004,(D353*233.456*3%))</f>
        <v>4167.1895999999997</v>
      </c>
      <c r="Q353" s="21">
        <f t="shared" si="17"/>
        <v>234004.18194400001</v>
      </c>
      <c r="R353" s="21">
        <v>159742.26800000001</v>
      </c>
    </row>
    <row r="354" spans="1:18" ht="15.75" thickBot="1" x14ac:dyDescent="0.3">
      <c r="A354" s="21" t="s">
        <v>107</v>
      </c>
      <c r="B354" s="22" t="s">
        <v>103</v>
      </c>
      <c r="C354" s="22" t="s">
        <v>105</v>
      </c>
      <c r="D354" s="22">
        <v>575</v>
      </c>
      <c r="E354" s="22">
        <v>23</v>
      </c>
      <c r="F354" s="21">
        <f t="shared" si="15"/>
        <v>134237.19999999998</v>
      </c>
      <c r="G354" s="21">
        <f t="shared" si="16"/>
        <v>20135.579999999998</v>
      </c>
      <c r="H354" s="21">
        <v>60000</v>
      </c>
      <c r="I354" s="21">
        <v>15000</v>
      </c>
      <c r="J354" s="21">
        <v>15000</v>
      </c>
      <c r="K354" s="26"/>
      <c r="L354" s="21">
        <f>SUM(F354:K354)</f>
        <v>244372.77999999997</v>
      </c>
      <c r="M354" s="21">
        <v>22377.341239999998</v>
      </c>
      <c r="N354" s="21">
        <v>0</v>
      </c>
      <c r="O354" s="21">
        <v>11181.958759999998</v>
      </c>
      <c r="P354" s="21">
        <f>IF((D354*233.456*3%)&gt;7004,7004,(D354*233.456*3%))</f>
        <v>4027.1159999999995</v>
      </c>
      <c r="Q354" s="21">
        <f t="shared" si="17"/>
        <v>229163.70523999998</v>
      </c>
      <c r="R354" s="21">
        <v>154372.77999999997</v>
      </c>
    </row>
    <row r="355" spans="1:18" ht="15.75" thickBot="1" x14ac:dyDescent="0.3">
      <c r="A355" s="21" t="s">
        <v>107</v>
      </c>
      <c r="B355" s="22" t="s">
        <v>103</v>
      </c>
      <c r="C355" s="22" t="s">
        <v>105</v>
      </c>
      <c r="D355" s="22">
        <v>560</v>
      </c>
      <c r="E355" s="22">
        <v>22</v>
      </c>
      <c r="F355" s="21">
        <f t="shared" si="15"/>
        <v>130735.36</v>
      </c>
      <c r="G355" s="21">
        <f t="shared" si="16"/>
        <v>19610.304</v>
      </c>
      <c r="H355" s="21">
        <v>60000</v>
      </c>
      <c r="I355" s="21">
        <v>15000</v>
      </c>
      <c r="J355" s="21">
        <v>15000</v>
      </c>
      <c r="K355" s="26"/>
      <c r="L355" s="21">
        <f>SUM(F355:K355)</f>
        <v>240345.66399999999</v>
      </c>
      <c r="M355" s="21">
        <v>21793.584512000001</v>
      </c>
      <c r="N355" s="21">
        <v>0</v>
      </c>
      <c r="O355" s="21">
        <v>10890.255488000001</v>
      </c>
      <c r="P355" s="21">
        <f>IF((D355*233.456*3%)&gt;7004,7004,(D355*233.456*3%))</f>
        <v>3922.0607999999997</v>
      </c>
      <c r="Q355" s="21">
        <f t="shared" si="17"/>
        <v>225533.34771199999</v>
      </c>
      <c r="R355" s="21">
        <v>150345.66399999999</v>
      </c>
    </row>
    <row r="356" spans="1:18" ht="15.75" thickBot="1" x14ac:dyDescent="0.3">
      <c r="A356" s="21" t="s">
        <v>107</v>
      </c>
      <c r="B356" s="22" t="s">
        <v>103</v>
      </c>
      <c r="C356" s="22" t="s">
        <v>105</v>
      </c>
      <c r="D356" s="22">
        <v>545</v>
      </c>
      <c r="E356" s="22">
        <v>21</v>
      </c>
      <c r="F356" s="21">
        <f t="shared" si="15"/>
        <v>127233.51999999999</v>
      </c>
      <c r="G356" s="21">
        <f t="shared" si="16"/>
        <v>19085.027999999998</v>
      </c>
      <c r="H356" s="21">
        <v>60000</v>
      </c>
      <c r="I356" s="21">
        <v>15000</v>
      </c>
      <c r="J356" s="21">
        <v>15000</v>
      </c>
      <c r="K356" s="26"/>
      <c r="L356" s="21">
        <f>SUM(F356:K356)</f>
        <v>236318.54799999998</v>
      </c>
      <c r="M356" s="21">
        <v>21209.827784000001</v>
      </c>
      <c r="N356" s="21">
        <v>0</v>
      </c>
      <c r="O356" s="21">
        <v>10598.552215999998</v>
      </c>
      <c r="P356" s="21">
        <f>IF((D356*233.456*3%)&gt;7004,7004,(D356*233.456*3%))</f>
        <v>3817.0055999999995</v>
      </c>
      <c r="Q356" s="21">
        <f t="shared" si="17"/>
        <v>221902.99018399999</v>
      </c>
      <c r="R356" s="21">
        <v>146318.54799999998</v>
      </c>
    </row>
    <row r="357" spans="1:18" ht="15.75" thickBot="1" x14ac:dyDescent="0.3">
      <c r="A357" s="21" t="s">
        <v>107</v>
      </c>
      <c r="B357" s="22" t="s">
        <v>103</v>
      </c>
      <c r="C357" s="22" t="s">
        <v>105</v>
      </c>
      <c r="D357" s="22">
        <v>525</v>
      </c>
      <c r="E357" s="22">
        <v>33</v>
      </c>
      <c r="F357" s="21">
        <f t="shared" si="15"/>
        <v>122564.4</v>
      </c>
      <c r="G357" s="21">
        <f t="shared" si="16"/>
        <v>18384.66</v>
      </c>
      <c r="H357" s="21">
        <v>60000</v>
      </c>
      <c r="I357" s="21">
        <v>15000</v>
      </c>
      <c r="J357" s="21">
        <v>15000</v>
      </c>
      <c r="K357" s="26"/>
      <c r="L357" s="21">
        <f>SUM(F357:K357)</f>
        <v>230949.06</v>
      </c>
      <c r="M357" s="21">
        <v>20431.485479999999</v>
      </c>
      <c r="N357" s="21">
        <v>0</v>
      </c>
      <c r="O357" s="21">
        <v>10209.614519999999</v>
      </c>
      <c r="P357" s="21">
        <f>IF((D357*233.456*3%)&gt;7004,7004,(D357*233.456*3%))</f>
        <v>3676.9319999999998</v>
      </c>
      <c r="Q357" s="21">
        <f t="shared" si="17"/>
        <v>217062.51347999999</v>
      </c>
      <c r="R357" s="21">
        <v>140949.06</v>
      </c>
    </row>
    <row r="358" spans="1:18" ht="15.75" thickBot="1" x14ac:dyDescent="0.3">
      <c r="A358" s="21" t="s">
        <v>107</v>
      </c>
      <c r="B358" s="22" t="s">
        <v>103</v>
      </c>
      <c r="C358" s="22" t="s">
        <v>105</v>
      </c>
      <c r="D358" s="22">
        <v>515</v>
      </c>
      <c r="E358" s="22">
        <v>32</v>
      </c>
      <c r="F358" s="21">
        <f t="shared" si="15"/>
        <v>120229.84</v>
      </c>
      <c r="G358" s="21">
        <f t="shared" si="16"/>
        <v>18034.475999999999</v>
      </c>
      <c r="H358" s="21">
        <v>60000</v>
      </c>
      <c r="I358" s="21">
        <v>15000</v>
      </c>
      <c r="J358" s="21">
        <v>15000</v>
      </c>
      <c r="K358" s="26"/>
      <c r="L358" s="21">
        <f>SUM(F358:K358)</f>
        <v>228264.31599999999</v>
      </c>
      <c r="M358" s="21">
        <v>20042.314328</v>
      </c>
      <c r="N358" s="21">
        <v>0</v>
      </c>
      <c r="O358" s="21">
        <v>10015.145671999999</v>
      </c>
      <c r="P358" s="21">
        <f>IF((D358*233.456*3%)&gt;7004,7004,(D358*233.456*3%))</f>
        <v>3606.8951999999999</v>
      </c>
      <c r="Q358" s="21">
        <f t="shared" si="17"/>
        <v>214642.27512800001</v>
      </c>
      <c r="R358" s="21">
        <v>138264.31599999999</v>
      </c>
    </row>
    <row r="359" spans="1:18" ht="15.75" thickBot="1" x14ac:dyDescent="0.3">
      <c r="A359" s="21" t="s">
        <v>107</v>
      </c>
      <c r="B359" s="22" t="s">
        <v>103</v>
      </c>
      <c r="C359" s="22" t="s">
        <v>105</v>
      </c>
      <c r="D359" s="22">
        <v>500</v>
      </c>
      <c r="E359" s="22">
        <v>31</v>
      </c>
      <c r="F359" s="21">
        <f t="shared" si="15"/>
        <v>116728</v>
      </c>
      <c r="G359" s="21">
        <f t="shared" si="16"/>
        <v>17509.2</v>
      </c>
      <c r="H359" s="21">
        <v>60000</v>
      </c>
      <c r="I359" s="21">
        <v>15000</v>
      </c>
      <c r="J359" s="21">
        <v>15000</v>
      </c>
      <c r="K359" s="26"/>
      <c r="L359" s="21">
        <f>SUM(F359:K359)</f>
        <v>224237.2</v>
      </c>
      <c r="M359" s="21">
        <v>19458.5576</v>
      </c>
      <c r="N359" s="21">
        <v>0</v>
      </c>
      <c r="O359" s="21">
        <v>9723.4423999999999</v>
      </c>
      <c r="P359" s="21">
        <f>IF((D359*233.456*3%)&gt;7004,7004,(D359*233.456*3%))</f>
        <v>3501.8399999999997</v>
      </c>
      <c r="Q359" s="21">
        <f t="shared" si="17"/>
        <v>211011.91760000002</v>
      </c>
      <c r="R359" s="21">
        <v>134237.20000000001</v>
      </c>
    </row>
    <row r="360" spans="1:18" ht="15.75" thickBot="1" x14ac:dyDescent="0.3">
      <c r="A360" s="21" t="s">
        <v>107</v>
      </c>
      <c r="B360" s="22" t="s">
        <v>103</v>
      </c>
      <c r="C360" s="22" t="s">
        <v>105</v>
      </c>
      <c r="D360" s="22">
        <v>485</v>
      </c>
      <c r="E360" s="22">
        <v>44</v>
      </c>
      <c r="F360" s="21">
        <f t="shared" si="15"/>
        <v>113226.15999999999</v>
      </c>
      <c r="G360" s="21">
        <f t="shared" si="16"/>
        <v>16983.923999999999</v>
      </c>
      <c r="H360" s="21">
        <v>60000</v>
      </c>
      <c r="I360" s="21">
        <v>15000</v>
      </c>
      <c r="J360" s="21">
        <v>15000</v>
      </c>
      <c r="K360" s="26"/>
      <c r="L360" s="21">
        <f>SUM(F360:K360)</f>
        <v>220210.08399999997</v>
      </c>
      <c r="M360" s="21">
        <v>18874.800872</v>
      </c>
      <c r="N360" s="21">
        <v>0</v>
      </c>
      <c r="O360" s="21">
        <v>9431.7391279999993</v>
      </c>
      <c r="P360" s="21">
        <f>IF((D360*233.456*3%)&gt;7004,7004,(D360*233.456*3%))</f>
        <v>3396.7847999999994</v>
      </c>
      <c r="Q360" s="21">
        <f t="shared" si="17"/>
        <v>207381.56007199996</v>
      </c>
      <c r="R360" s="21">
        <v>130210.08399999999</v>
      </c>
    </row>
    <row r="361" spans="1:18" ht="15.75" thickBot="1" x14ac:dyDescent="0.3">
      <c r="A361" s="21" t="s">
        <v>107</v>
      </c>
      <c r="B361" s="22" t="s">
        <v>103</v>
      </c>
      <c r="C361" s="22" t="s">
        <v>105</v>
      </c>
      <c r="D361" s="22">
        <v>475</v>
      </c>
      <c r="E361" s="22">
        <v>43</v>
      </c>
      <c r="F361" s="21">
        <f t="shared" si="15"/>
        <v>110891.59999999999</v>
      </c>
      <c r="G361" s="21">
        <f t="shared" si="16"/>
        <v>16633.739999999998</v>
      </c>
      <c r="H361" s="21">
        <v>60000</v>
      </c>
      <c r="I361" s="21">
        <v>15000</v>
      </c>
      <c r="J361" s="21">
        <v>15000</v>
      </c>
      <c r="K361" s="26"/>
      <c r="L361" s="21">
        <f>SUM(F361:K361)</f>
        <v>217525.34</v>
      </c>
      <c r="M361" s="21">
        <v>18485.629720000001</v>
      </c>
      <c r="N361" s="21">
        <v>0</v>
      </c>
      <c r="O361" s="21">
        <v>9237.2702799999988</v>
      </c>
      <c r="P361" s="21">
        <f>IF((D361*233.456*3%)&gt;7004,7004,(D361*233.456*3%))</f>
        <v>3326.7479999999996</v>
      </c>
      <c r="Q361" s="21">
        <f t="shared" si="17"/>
        <v>204961.32172000001</v>
      </c>
      <c r="R361" s="21">
        <v>127525.34</v>
      </c>
    </row>
    <row r="362" spans="1:18" ht="15.75" thickBot="1" x14ac:dyDescent="0.3">
      <c r="A362" s="21" t="s">
        <v>107</v>
      </c>
      <c r="B362" s="22" t="s">
        <v>103</v>
      </c>
      <c r="C362" s="22" t="s">
        <v>105</v>
      </c>
      <c r="D362" s="22">
        <v>470</v>
      </c>
      <c r="E362" s="22">
        <v>42</v>
      </c>
      <c r="F362" s="21">
        <f t="shared" si="15"/>
        <v>109724.31999999999</v>
      </c>
      <c r="G362" s="21">
        <f t="shared" si="16"/>
        <v>16458.647999999997</v>
      </c>
      <c r="H362" s="21">
        <v>60000</v>
      </c>
      <c r="I362" s="21">
        <v>15000</v>
      </c>
      <c r="J362" s="21">
        <v>15000</v>
      </c>
      <c r="K362" s="26"/>
      <c r="L362" s="21">
        <f>SUM(F362:K362)</f>
        <v>216182.96799999999</v>
      </c>
      <c r="M362" s="21">
        <v>18291.044144</v>
      </c>
      <c r="N362" s="21">
        <v>0</v>
      </c>
      <c r="O362" s="21">
        <v>9140.0358559999986</v>
      </c>
      <c r="P362" s="21">
        <f>IF((D362*233.456*3%)&gt;7004,7004,(D362*233.456*3%))</f>
        <v>3291.7295999999997</v>
      </c>
      <c r="Q362" s="21">
        <f t="shared" si="17"/>
        <v>203751.202544</v>
      </c>
      <c r="R362" s="21">
        <v>126182.96799999999</v>
      </c>
    </row>
    <row r="363" spans="1:18" ht="15.75" thickBot="1" x14ac:dyDescent="0.3">
      <c r="A363" s="21" t="s">
        <v>107</v>
      </c>
      <c r="B363" s="22" t="s">
        <v>103</v>
      </c>
      <c r="C363" s="22" t="s">
        <v>105</v>
      </c>
      <c r="D363" s="22">
        <v>465</v>
      </c>
      <c r="E363" s="22">
        <v>41</v>
      </c>
      <c r="F363" s="21">
        <f t="shared" si="15"/>
        <v>108557.04</v>
      </c>
      <c r="G363" s="21">
        <f t="shared" si="16"/>
        <v>16283.555999999999</v>
      </c>
      <c r="H363" s="21">
        <v>60000</v>
      </c>
      <c r="I363" s="21">
        <v>15000</v>
      </c>
      <c r="J363" s="21">
        <v>15000</v>
      </c>
      <c r="K363" s="26"/>
      <c r="L363" s="21">
        <f>SUM(F363:K363)</f>
        <v>214840.59599999999</v>
      </c>
      <c r="M363" s="21">
        <v>18096.458568000002</v>
      </c>
      <c r="N363" s="21">
        <v>0</v>
      </c>
      <c r="O363" s="21">
        <v>9042.8014320000002</v>
      </c>
      <c r="P363" s="21">
        <f>IF((D363*233.456*3%)&gt;7004,7004,(D363*233.456*3%))</f>
        <v>3256.7111999999997</v>
      </c>
      <c r="Q363" s="21">
        <f>L363-SUM(N363:P363)</f>
        <v>202541.08336799999</v>
      </c>
      <c r="R363" s="21">
        <v>124840.59599999999</v>
      </c>
    </row>
    <row r="364" spans="1:18" ht="15.75" thickBot="1" x14ac:dyDescent="0.3">
      <c r="A364" s="21" t="s">
        <v>108</v>
      </c>
      <c r="B364" s="22" t="s">
        <v>90</v>
      </c>
      <c r="C364" s="22" t="s">
        <v>91</v>
      </c>
      <c r="D364" s="22">
        <v>2600</v>
      </c>
      <c r="E364" s="22">
        <v>21</v>
      </c>
      <c r="F364" s="21">
        <f t="shared" si="15"/>
        <v>606985.6</v>
      </c>
      <c r="G364" s="21">
        <f t="shared" si="16"/>
        <v>91047.84</v>
      </c>
      <c r="H364" s="21">
        <v>90000</v>
      </c>
      <c r="I364" s="21">
        <v>15000</v>
      </c>
      <c r="J364" s="21">
        <v>15000</v>
      </c>
      <c r="K364" s="26">
        <v>200000</v>
      </c>
      <c r="L364" s="21">
        <f>SUM(F364:K364)</f>
        <v>1018033.44</v>
      </c>
      <c r="M364" s="21">
        <v>101184.49952000001</v>
      </c>
      <c r="N364" s="21">
        <v>127087.02239999999</v>
      </c>
      <c r="O364" s="21">
        <v>50561.900479999997</v>
      </c>
      <c r="P364" s="21">
        <f>IF((D364*233.456*3%)&gt;7004,7004,(D364*233.456*3%))</f>
        <v>7004</v>
      </c>
      <c r="Q364" s="21">
        <f t="shared" ref="Q364:Q427" si="20">L364-SUM(N364:P364)</f>
        <v>833380.51711999997</v>
      </c>
      <c r="R364" s="21">
        <v>798033.44</v>
      </c>
    </row>
    <row r="365" spans="1:18" ht="15.75" thickBot="1" x14ac:dyDescent="0.3">
      <c r="A365" s="21" t="s">
        <v>108</v>
      </c>
      <c r="B365" s="22" t="s">
        <v>90</v>
      </c>
      <c r="C365" s="22" t="s">
        <v>91</v>
      </c>
      <c r="D365" s="22">
        <v>2545</v>
      </c>
      <c r="E365" s="22">
        <v>33</v>
      </c>
      <c r="F365" s="21">
        <f t="shared" si="15"/>
        <v>594145.52</v>
      </c>
      <c r="G365" s="21">
        <f t="shared" si="16"/>
        <v>89121.827999999994</v>
      </c>
      <c r="H365" s="21">
        <v>90000</v>
      </c>
      <c r="I365" s="21">
        <v>15000</v>
      </c>
      <c r="J365" s="21">
        <v>15000</v>
      </c>
      <c r="K365" s="26">
        <v>200000</v>
      </c>
      <c r="L365" s="21">
        <f>SUM(F365:K365)</f>
        <v>1003267.348</v>
      </c>
      <c r="M365" s="21">
        <v>99044.058184000009</v>
      </c>
      <c r="N365" s="21">
        <v>123986.14308000001</v>
      </c>
      <c r="O365" s="21">
        <v>49492.321816000003</v>
      </c>
      <c r="P365" s="21">
        <f>IF((D365*233.456*3%)&gt;7004,7004,(D365*233.456*3%))</f>
        <v>7004</v>
      </c>
      <c r="Q365" s="21">
        <f t="shared" si="20"/>
        <v>822784.88310400001</v>
      </c>
      <c r="R365" s="21">
        <v>783267.348</v>
      </c>
    </row>
    <row r="366" spans="1:18" ht="15.75" thickBot="1" x14ac:dyDescent="0.3">
      <c r="A366" s="21" t="s">
        <v>108</v>
      </c>
      <c r="B366" s="22" t="s">
        <v>90</v>
      </c>
      <c r="C366" s="22" t="s">
        <v>91</v>
      </c>
      <c r="D366" s="22">
        <v>2505</v>
      </c>
      <c r="E366" s="22">
        <v>32</v>
      </c>
      <c r="F366" s="21">
        <f t="shared" si="15"/>
        <v>584807.28</v>
      </c>
      <c r="G366" s="21">
        <f t="shared" si="16"/>
        <v>87721.092000000004</v>
      </c>
      <c r="H366" s="21">
        <v>90000</v>
      </c>
      <c r="I366" s="21">
        <v>15000</v>
      </c>
      <c r="J366" s="21">
        <v>15000</v>
      </c>
      <c r="K366" s="26">
        <v>200000</v>
      </c>
      <c r="L366" s="21">
        <f>SUM(F366:K366)</f>
        <v>992528.37199999997</v>
      </c>
      <c r="M366" s="21">
        <v>97487.373576000013</v>
      </c>
      <c r="N366" s="21">
        <v>121730.95812</v>
      </c>
      <c r="O366" s="21">
        <v>48714.446424000002</v>
      </c>
      <c r="P366" s="21">
        <f>IF((D366*233.456*3%)&gt;7004,7004,(D366*233.456*3%))</f>
        <v>7004</v>
      </c>
      <c r="Q366" s="21">
        <f t="shared" si="20"/>
        <v>815078.96745599993</v>
      </c>
      <c r="R366" s="21">
        <v>772528.37199999997</v>
      </c>
    </row>
    <row r="367" spans="1:18" ht="15.75" thickBot="1" x14ac:dyDescent="0.3">
      <c r="A367" s="21" t="s">
        <v>108</v>
      </c>
      <c r="B367" s="22" t="s">
        <v>90</v>
      </c>
      <c r="C367" s="22" t="s">
        <v>91</v>
      </c>
      <c r="D367" s="22">
        <v>2420</v>
      </c>
      <c r="E367" s="22">
        <v>31</v>
      </c>
      <c r="F367" s="21">
        <f t="shared" si="15"/>
        <v>564963.52</v>
      </c>
      <c r="G367" s="21">
        <f t="shared" si="16"/>
        <v>84744.528000000006</v>
      </c>
      <c r="H367" s="21">
        <v>90000</v>
      </c>
      <c r="I367" s="21">
        <v>15000</v>
      </c>
      <c r="J367" s="21">
        <v>15000</v>
      </c>
      <c r="K367" s="26">
        <v>200000</v>
      </c>
      <c r="L367" s="21">
        <f>SUM(F367:K367)</f>
        <v>969708.04800000007</v>
      </c>
      <c r="M367" s="21">
        <v>94179.418784000009</v>
      </c>
      <c r="N367" s="21">
        <v>116938.69008000003</v>
      </c>
      <c r="O367" s="21">
        <v>47061.461216000003</v>
      </c>
      <c r="P367" s="21">
        <f>IF((D367*233.456*3%)&gt;7004,7004,(D367*233.456*3%))</f>
        <v>7004</v>
      </c>
      <c r="Q367" s="21">
        <f t="shared" si="20"/>
        <v>798703.89670400007</v>
      </c>
      <c r="R367" s="21">
        <v>749708.04800000007</v>
      </c>
    </row>
    <row r="368" spans="1:18" ht="15.75" thickBot="1" x14ac:dyDescent="0.3">
      <c r="A368" s="21" t="s">
        <v>108</v>
      </c>
      <c r="B368" s="22" t="s">
        <v>90</v>
      </c>
      <c r="C368" s="22" t="s">
        <v>91</v>
      </c>
      <c r="D368" s="22">
        <v>2385</v>
      </c>
      <c r="E368" s="22">
        <v>44</v>
      </c>
      <c r="F368" s="21">
        <f t="shared" si="15"/>
        <v>556792.55999999994</v>
      </c>
      <c r="G368" s="21">
        <f t="shared" si="16"/>
        <v>83518.883999999991</v>
      </c>
      <c r="H368" s="21">
        <v>90000</v>
      </c>
      <c r="I368" s="21">
        <v>15000</v>
      </c>
      <c r="J368" s="21">
        <v>15000</v>
      </c>
      <c r="K368" s="26">
        <v>200000</v>
      </c>
      <c r="L368" s="21">
        <f>SUM(F368:K368)</f>
        <v>960311.4439999999</v>
      </c>
      <c r="M368" s="21">
        <v>92817.319751999996</v>
      </c>
      <c r="N368" s="21">
        <v>114965.40323999996</v>
      </c>
      <c r="O368" s="21">
        <v>46380.820247999996</v>
      </c>
      <c r="P368" s="21">
        <f>IF((D368*233.456*3%)&gt;7004,7004,(D368*233.456*3%))</f>
        <v>7004</v>
      </c>
      <c r="Q368" s="21">
        <f t="shared" si="20"/>
        <v>791961.22051199991</v>
      </c>
      <c r="R368" s="21">
        <v>740311.4439999999</v>
      </c>
    </row>
    <row r="369" spans="1:18" ht="15.75" thickBot="1" x14ac:dyDescent="0.3">
      <c r="A369" s="21" t="s">
        <v>108</v>
      </c>
      <c r="B369" s="22" t="s">
        <v>90</v>
      </c>
      <c r="C369" s="22" t="s">
        <v>91</v>
      </c>
      <c r="D369" s="22">
        <v>2340</v>
      </c>
      <c r="E369" s="22">
        <v>43</v>
      </c>
      <c r="F369" s="21">
        <f t="shared" si="15"/>
        <v>546287.03999999992</v>
      </c>
      <c r="G369" s="21">
        <f t="shared" si="16"/>
        <v>81943.055999999982</v>
      </c>
      <c r="H369" s="21">
        <v>90000</v>
      </c>
      <c r="I369" s="21">
        <v>15000</v>
      </c>
      <c r="J369" s="21">
        <v>15000</v>
      </c>
      <c r="K369" s="26">
        <v>200000</v>
      </c>
      <c r="L369" s="21">
        <f>SUM(F369:K369)</f>
        <v>948230.0959999999</v>
      </c>
      <c r="M369" s="21">
        <v>91066.049567999988</v>
      </c>
      <c r="N369" s="21">
        <v>112428.32015999997</v>
      </c>
      <c r="O369" s="21">
        <v>45505.710431999993</v>
      </c>
      <c r="P369" s="21">
        <f>IF((D369*233.456*3%)&gt;7004,7004,(D369*233.456*3%))</f>
        <v>7004</v>
      </c>
      <c r="Q369" s="21">
        <f t="shared" si="20"/>
        <v>783292.06540799991</v>
      </c>
      <c r="R369" s="21">
        <v>728230.0959999999</v>
      </c>
    </row>
    <row r="370" spans="1:18" ht="15.75" thickBot="1" x14ac:dyDescent="0.3">
      <c r="A370" s="21" t="s">
        <v>108</v>
      </c>
      <c r="B370" s="22" t="s">
        <v>90</v>
      </c>
      <c r="C370" s="22" t="s">
        <v>91</v>
      </c>
      <c r="D370" s="22">
        <v>2265</v>
      </c>
      <c r="E370" s="22">
        <v>42</v>
      </c>
      <c r="F370" s="21">
        <f t="shared" si="15"/>
        <v>528777.84</v>
      </c>
      <c r="G370" s="21">
        <f t="shared" si="16"/>
        <v>79316.675999999992</v>
      </c>
      <c r="H370" s="21">
        <v>90000</v>
      </c>
      <c r="I370" s="21">
        <v>15000</v>
      </c>
      <c r="J370" s="21">
        <v>15000</v>
      </c>
      <c r="K370" s="26">
        <v>200000</v>
      </c>
      <c r="L370" s="21">
        <f>SUM(F370:K370)</f>
        <v>928094.51599999995</v>
      </c>
      <c r="M370" s="21">
        <v>88147.265928000008</v>
      </c>
      <c r="N370" s="21">
        <v>108199.84835999999</v>
      </c>
      <c r="O370" s="21">
        <v>44047.194071999998</v>
      </c>
      <c r="P370" s="21">
        <f>IF((D370*233.456*3%)&gt;7004,7004,(D370*233.456*3%))</f>
        <v>7004</v>
      </c>
      <c r="Q370" s="21">
        <f t="shared" si="20"/>
        <v>768843.4735679999</v>
      </c>
      <c r="R370" s="21">
        <v>708094.51599999995</v>
      </c>
    </row>
    <row r="371" spans="1:18" ht="15.75" thickBot="1" x14ac:dyDescent="0.3">
      <c r="A371" s="21" t="s">
        <v>108</v>
      </c>
      <c r="B371" s="22" t="s">
        <v>90</v>
      </c>
      <c r="C371" s="22" t="s">
        <v>91</v>
      </c>
      <c r="D371" s="22">
        <v>2210</v>
      </c>
      <c r="E371" s="22">
        <v>41</v>
      </c>
      <c r="F371" s="21">
        <f t="shared" si="15"/>
        <v>515937.75999999995</v>
      </c>
      <c r="G371" s="21">
        <f t="shared" si="16"/>
        <v>77390.66399999999</v>
      </c>
      <c r="H371" s="21">
        <v>90000</v>
      </c>
      <c r="I371" s="21">
        <v>15000</v>
      </c>
      <c r="J371" s="21">
        <v>15000</v>
      </c>
      <c r="K371" s="26">
        <v>200000</v>
      </c>
      <c r="L371" s="21">
        <f>SUM(F371:K371)</f>
        <v>913328.42399999988</v>
      </c>
      <c r="M371" s="21">
        <v>86006.824592000004</v>
      </c>
      <c r="N371" s="21">
        <v>105098.96903999997</v>
      </c>
      <c r="O371" s="21">
        <v>42977.615407999998</v>
      </c>
      <c r="P371" s="21">
        <f>IF((D371*233.456*3%)&gt;7004,7004,(D371*233.456*3%))</f>
        <v>7004</v>
      </c>
      <c r="Q371" s="21">
        <f t="shared" si="20"/>
        <v>758247.83955199993</v>
      </c>
      <c r="R371" s="21">
        <v>693328.42399999988</v>
      </c>
    </row>
    <row r="372" spans="1:18" ht="15.75" thickBot="1" x14ac:dyDescent="0.3">
      <c r="A372" s="21" t="s">
        <v>108</v>
      </c>
      <c r="B372" s="22" t="s">
        <v>90</v>
      </c>
      <c r="C372" s="22" t="s">
        <v>92</v>
      </c>
      <c r="D372" s="22">
        <v>2395</v>
      </c>
      <c r="E372" s="22">
        <v>13</v>
      </c>
      <c r="F372" s="21">
        <f t="shared" si="15"/>
        <v>559127.12</v>
      </c>
      <c r="G372" s="21">
        <f t="shared" si="16"/>
        <v>83869.067999999999</v>
      </c>
      <c r="H372" s="21">
        <v>90000</v>
      </c>
      <c r="I372" s="21">
        <v>15000</v>
      </c>
      <c r="J372" s="21">
        <v>15000</v>
      </c>
      <c r="K372" s="26">
        <v>200000</v>
      </c>
      <c r="L372" s="21">
        <f>SUM(F372:K372)</f>
        <v>962996.18799999997</v>
      </c>
      <c r="M372" s="21">
        <v>93206.490904000006</v>
      </c>
      <c r="N372" s="21">
        <v>115529.19948000001</v>
      </c>
      <c r="O372" s="21">
        <v>46575.289096</v>
      </c>
      <c r="P372" s="21">
        <f>IF((D372*233.456*3%)&gt;7004,7004,(D372*233.456*3%))</f>
        <v>7004</v>
      </c>
      <c r="Q372" s="21">
        <f t="shared" si="20"/>
        <v>793887.69942399999</v>
      </c>
      <c r="R372" s="21">
        <v>742996.18799999997</v>
      </c>
    </row>
    <row r="373" spans="1:18" ht="15.75" thickBot="1" x14ac:dyDescent="0.3">
      <c r="A373" s="21" t="s">
        <v>108</v>
      </c>
      <c r="B373" s="22" t="s">
        <v>90</v>
      </c>
      <c r="C373" s="22" t="s">
        <v>92</v>
      </c>
      <c r="D373" s="22">
        <v>2380</v>
      </c>
      <c r="E373" s="22">
        <v>12</v>
      </c>
      <c r="F373" s="21">
        <f t="shared" si="15"/>
        <v>555625.28</v>
      </c>
      <c r="G373" s="21">
        <f t="shared" si="16"/>
        <v>83343.792000000001</v>
      </c>
      <c r="H373" s="21">
        <v>90000</v>
      </c>
      <c r="I373" s="21">
        <v>15000</v>
      </c>
      <c r="J373" s="21">
        <v>15000</v>
      </c>
      <c r="K373" s="26">
        <v>200000</v>
      </c>
      <c r="L373" s="21">
        <f>SUM(F373:K373)</f>
        <v>958969.07200000004</v>
      </c>
      <c r="M373" s="21">
        <v>92622.734176000013</v>
      </c>
      <c r="N373" s="21">
        <v>114683.50511999999</v>
      </c>
      <c r="O373" s="21">
        <v>46283.585824000002</v>
      </c>
      <c r="P373" s="21">
        <f>IF((D373*233.456*3%)&gt;7004,7004,(D373*233.456*3%))</f>
        <v>7004</v>
      </c>
      <c r="Q373" s="21">
        <f t="shared" si="20"/>
        <v>790997.98105600011</v>
      </c>
      <c r="R373" s="21">
        <v>738969.07200000004</v>
      </c>
    </row>
    <row r="374" spans="1:18" ht="15.75" thickBot="1" x14ac:dyDescent="0.3">
      <c r="A374" s="21" t="s">
        <v>108</v>
      </c>
      <c r="B374" s="22" t="s">
        <v>90</v>
      </c>
      <c r="C374" s="22" t="s">
        <v>92</v>
      </c>
      <c r="D374" s="22">
        <v>2305</v>
      </c>
      <c r="E374" s="22">
        <v>11</v>
      </c>
      <c r="F374" s="21">
        <f t="shared" si="15"/>
        <v>538116.07999999996</v>
      </c>
      <c r="G374" s="21">
        <f t="shared" si="16"/>
        <v>80717.411999999997</v>
      </c>
      <c r="H374" s="21">
        <v>90000</v>
      </c>
      <c r="I374" s="21">
        <v>15000</v>
      </c>
      <c r="J374" s="21">
        <v>15000</v>
      </c>
      <c r="K374" s="26">
        <v>200000</v>
      </c>
      <c r="L374" s="21">
        <f>SUM(F374:K374)</f>
        <v>938833.49199999997</v>
      </c>
      <c r="M374" s="21">
        <v>89703.950536000004</v>
      </c>
      <c r="N374" s="21">
        <v>110455.03331999999</v>
      </c>
      <c r="O374" s="21">
        <v>44825.069463999993</v>
      </c>
      <c r="P374" s="21">
        <f>IF((D374*233.456*3%)&gt;7004,7004,(D374*233.456*3%))</f>
        <v>7004</v>
      </c>
      <c r="Q374" s="21">
        <f t="shared" si="20"/>
        <v>776549.38921599998</v>
      </c>
      <c r="R374" s="21">
        <v>718833.49199999997</v>
      </c>
    </row>
    <row r="375" spans="1:18" ht="15.75" thickBot="1" x14ac:dyDescent="0.3">
      <c r="A375" s="21" t="s">
        <v>108</v>
      </c>
      <c r="B375" s="22" t="s">
        <v>90</v>
      </c>
      <c r="C375" s="22" t="s">
        <v>92</v>
      </c>
      <c r="D375" s="22">
        <v>2230</v>
      </c>
      <c r="E375" s="22">
        <v>23</v>
      </c>
      <c r="F375" s="21">
        <f t="shared" si="15"/>
        <v>520606.87999999995</v>
      </c>
      <c r="G375" s="21">
        <f t="shared" si="16"/>
        <v>78091.031999999992</v>
      </c>
      <c r="H375" s="21">
        <v>90000</v>
      </c>
      <c r="I375" s="21">
        <v>15000</v>
      </c>
      <c r="J375" s="21">
        <v>15000</v>
      </c>
      <c r="K375" s="26">
        <v>200000</v>
      </c>
      <c r="L375" s="21">
        <f>SUM(F375:K375)</f>
        <v>918697.91199999989</v>
      </c>
      <c r="M375" s="21">
        <v>86785.166895999995</v>
      </c>
      <c r="N375" s="21">
        <v>106226.56151999997</v>
      </c>
      <c r="O375" s="21">
        <v>43366.553103999991</v>
      </c>
      <c r="P375" s="21">
        <f>IF((D375*233.456*3%)&gt;7004,7004,(D375*233.456*3%))</f>
        <v>7004</v>
      </c>
      <c r="Q375" s="21">
        <f t="shared" si="20"/>
        <v>762100.79737599986</v>
      </c>
      <c r="R375" s="21">
        <v>698697.91199999989</v>
      </c>
    </row>
    <row r="376" spans="1:18" ht="15.75" thickBot="1" x14ac:dyDescent="0.3">
      <c r="A376" s="21" t="s">
        <v>108</v>
      </c>
      <c r="B376" s="22" t="s">
        <v>90</v>
      </c>
      <c r="C376" s="22" t="s">
        <v>92</v>
      </c>
      <c r="D376" s="22">
        <v>2205</v>
      </c>
      <c r="E376" s="22">
        <v>22</v>
      </c>
      <c r="F376" s="21">
        <f t="shared" si="15"/>
        <v>514770.48</v>
      </c>
      <c r="G376" s="21">
        <f t="shared" si="16"/>
        <v>77215.572</v>
      </c>
      <c r="H376" s="21">
        <v>90000</v>
      </c>
      <c r="I376" s="21">
        <v>15000</v>
      </c>
      <c r="J376" s="21">
        <v>15000</v>
      </c>
      <c r="K376" s="26">
        <v>200000</v>
      </c>
      <c r="L376" s="21">
        <f>SUM(F376:K376)</f>
        <v>911986.05200000003</v>
      </c>
      <c r="M376" s="21">
        <v>85812.239016000007</v>
      </c>
      <c r="N376" s="21">
        <v>104817.07092</v>
      </c>
      <c r="O376" s="21">
        <v>42880.380983999996</v>
      </c>
      <c r="P376" s="21">
        <f>IF((D376*233.456*3%)&gt;7004,7004,(D376*233.456*3%))</f>
        <v>7004</v>
      </c>
      <c r="Q376" s="21">
        <f t="shared" si="20"/>
        <v>757284.60009600001</v>
      </c>
      <c r="R376" s="21">
        <v>691986.05200000003</v>
      </c>
    </row>
    <row r="377" spans="1:18" ht="15.75" thickBot="1" x14ac:dyDescent="0.3">
      <c r="A377" s="21" t="s">
        <v>108</v>
      </c>
      <c r="B377" s="22" t="s">
        <v>90</v>
      </c>
      <c r="C377" s="22" t="s">
        <v>92</v>
      </c>
      <c r="D377" s="22">
        <v>2130</v>
      </c>
      <c r="E377" s="22">
        <v>21</v>
      </c>
      <c r="F377" s="21">
        <f t="shared" si="15"/>
        <v>497261.27999999997</v>
      </c>
      <c r="G377" s="21">
        <f t="shared" si="16"/>
        <v>74589.191999999995</v>
      </c>
      <c r="H377" s="21">
        <v>90000</v>
      </c>
      <c r="I377" s="21">
        <v>15000</v>
      </c>
      <c r="J377" s="21">
        <v>15000</v>
      </c>
      <c r="K377" s="26">
        <v>200000</v>
      </c>
      <c r="L377" s="21">
        <f>SUM(F377:K377)</f>
        <v>891850.47199999995</v>
      </c>
      <c r="M377" s="21">
        <v>82893.455375999998</v>
      </c>
      <c r="N377" s="21">
        <v>100588.59911999998</v>
      </c>
      <c r="O377" s="21">
        <v>41421.864623999994</v>
      </c>
      <c r="P377" s="21">
        <f>IF((D377*233.456*3%)&gt;7004,7004,(D377*233.456*3%))</f>
        <v>7004</v>
      </c>
      <c r="Q377" s="21">
        <f t="shared" si="20"/>
        <v>742836.008256</v>
      </c>
      <c r="R377" s="21">
        <v>671850.47199999995</v>
      </c>
    </row>
    <row r="378" spans="1:18" ht="15.75" thickBot="1" x14ac:dyDescent="0.3">
      <c r="A378" s="21" t="s">
        <v>108</v>
      </c>
      <c r="B378" s="22" t="s">
        <v>90</v>
      </c>
      <c r="C378" s="22" t="s">
        <v>92</v>
      </c>
      <c r="D378" s="22">
        <v>2015</v>
      </c>
      <c r="E378" s="22">
        <v>33</v>
      </c>
      <c r="F378" s="21">
        <f t="shared" si="15"/>
        <v>470413.83999999997</v>
      </c>
      <c r="G378" s="21">
        <f t="shared" si="16"/>
        <v>70562.075999999986</v>
      </c>
      <c r="H378" s="21">
        <v>90000</v>
      </c>
      <c r="I378" s="21">
        <v>15000</v>
      </c>
      <c r="J378" s="21">
        <v>15000</v>
      </c>
      <c r="K378" s="26">
        <v>200000</v>
      </c>
      <c r="L378" s="21">
        <f>SUM(F378:K378)</f>
        <v>860975.91599999997</v>
      </c>
      <c r="M378" s="21">
        <v>78417.987128000008</v>
      </c>
      <c r="N378" s="21">
        <v>94104.942359999986</v>
      </c>
      <c r="O378" s="21">
        <v>39185.472871999998</v>
      </c>
      <c r="P378" s="21">
        <f>IF((D378*233.456*3%)&gt;7004,7004,(D378*233.456*3%))</f>
        <v>7004</v>
      </c>
      <c r="Q378" s="21">
        <f t="shared" si="20"/>
        <v>720681.50076800003</v>
      </c>
      <c r="R378" s="21">
        <v>640975.91599999997</v>
      </c>
    </row>
    <row r="379" spans="1:18" ht="15.75" thickBot="1" x14ac:dyDescent="0.3">
      <c r="A379" s="21" t="s">
        <v>108</v>
      </c>
      <c r="B379" s="22" t="s">
        <v>90</v>
      </c>
      <c r="C379" s="22" t="s">
        <v>92</v>
      </c>
      <c r="D379" s="22">
        <v>1905</v>
      </c>
      <c r="E379" s="22">
        <v>32</v>
      </c>
      <c r="F379" s="21">
        <f t="shared" si="15"/>
        <v>444733.68</v>
      </c>
      <c r="G379" s="21">
        <f t="shared" si="16"/>
        <v>66710.051999999996</v>
      </c>
      <c r="H379" s="21">
        <v>90000</v>
      </c>
      <c r="I379" s="21">
        <v>15000</v>
      </c>
      <c r="J379" s="21">
        <v>15000</v>
      </c>
      <c r="K379" s="26">
        <v>200000</v>
      </c>
      <c r="L379" s="21">
        <f>SUM(F379:K379)</f>
        <v>831443.73199999996</v>
      </c>
      <c r="M379" s="21">
        <v>74137.104456000001</v>
      </c>
      <c r="N379" s="21">
        <v>87903.183719999986</v>
      </c>
      <c r="O379" s="21">
        <v>37046.315543999997</v>
      </c>
      <c r="P379" s="21">
        <f>IF((D379*233.456*3%)&gt;7004,7004,(D379*233.456*3%))</f>
        <v>7004</v>
      </c>
      <c r="Q379" s="21">
        <f t="shared" si="20"/>
        <v>699490.23273599998</v>
      </c>
      <c r="R379" s="21">
        <v>611443.73199999996</v>
      </c>
    </row>
    <row r="380" spans="1:18" ht="15.75" thickBot="1" x14ac:dyDescent="0.3">
      <c r="A380" s="21" t="s">
        <v>108</v>
      </c>
      <c r="B380" s="22" t="s">
        <v>90</v>
      </c>
      <c r="C380" s="22" t="s">
        <v>92</v>
      </c>
      <c r="D380" s="22">
        <v>1830</v>
      </c>
      <c r="E380" s="22">
        <v>31</v>
      </c>
      <c r="F380" s="21">
        <f t="shared" si="15"/>
        <v>427224.48</v>
      </c>
      <c r="G380" s="21">
        <f t="shared" si="16"/>
        <v>64083.671999999991</v>
      </c>
      <c r="H380" s="21">
        <v>90000</v>
      </c>
      <c r="I380" s="21">
        <v>15000</v>
      </c>
      <c r="J380" s="21">
        <v>15000</v>
      </c>
      <c r="K380" s="26">
        <v>200000</v>
      </c>
      <c r="L380" s="21">
        <f>SUM(F380:K380)</f>
        <v>811308.152</v>
      </c>
      <c r="M380" s="21">
        <v>71218.320816000007</v>
      </c>
      <c r="N380" s="21">
        <v>83674.711920000002</v>
      </c>
      <c r="O380" s="21">
        <v>35587.799183999996</v>
      </c>
      <c r="P380" s="21">
        <f>IF((D380*233.456*3%)&gt;7004,7004,(D380*233.456*3%))</f>
        <v>7004</v>
      </c>
      <c r="Q380" s="21">
        <f t="shared" si="20"/>
        <v>685041.64089599997</v>
      </c>
      <c r="R380" s="21">
        <v>591308.152</v>
      </c>
    </row>
    <row r="381" spans="1:18" ht="15.75" thickBot="1" x14ac:dyDescent="0.3">
      <c r="A381" s="21" t="s">
        <v>108</v>
      </c>
      <c r="B381" s="22" t="s">
        <v>90</v>
      </c>
      <c r="C381" s="22" t="s">
        <v>92</v>
      </c>
      <c r="D381" s="22">
        <v>1735</v>
      </c>
      <c r="E381" s="22">
        <v>44</v>
      </c>
      <c r="F381" s="21">
        <f t="shared" si="15"/>
        <v>405046.16</v>
      </c>
      <c r="G381" s="21">
        <f t="shared" si="16"/>
        <v>60756.923999999992</v>
      </c>
      <c r="H381" s="21">
        <v>90000</v>
      </c>
      <c r="I381" s="21">
        <v>15000</v>
      </c>
      <c r="J381" s="21">
        <v>15000</v>
      </c>
      <c r="K381" s="26">
        <v>200000</v>
      </c>
      <c r="L381" s="21">
        <f>SUM(F381:K381)</f>
        <v>785803.08400000003</v>
      </c>
      <c r="M381" s="21">
        <v>67521.194872000007</v>
      </c>
      <c r="N381" s="21">
        <v>78318.64764000001</v>
      </c>
      <c r="O381" s="21">
        <v>33740.345128000001</v>
      </c>
      <c r="P381" s="21">
        <f>IF((D381*233.456*3%)&gt;7004,7004,(D381*233.456*3%))</f>
        <v>7004</v>
      </c>
      <c r="Q381" s="21">
        <f t="shared" si="20"/>
        <v>666740.09123200004</v>
      </c>
      <c r="R381" s="21">
        <v>565803.08400000003</v>
      </c>
    </row>
    <row r="382" spans="1:18" ht="15.75" thickBot="1" x14ac:dyDescent="0.3">
      <c r="A382" s="21" t="s">
        <v>108</v>
      </c>
      <c r="B382" s="22" t="s">
        <v>90</v>
      </c>
      <c r="C382" s="22" t="s">
        <v>92</v>
      </c>
      <c r="D382" s="22">
        <v>1660</v>
      </c>
      <c r="E382" s="22">
        <v>43</v>
      </c>
      <c r="F382" s="21">
        <f t="shared" si="15"/>
        <v>387536.95999999996</v>
      </c>
      <c r="G382" s="21">
        <f t="shared" si="16"/>
        <v>58130.543999999994</v>
      </c>
      <c r="H382" s="21">
        <v>90000</v>
      </c>
      <c r="I382" s="21">
        <v>15000</v>
      </c>
      <c r="J382" s="21">
        <v>15000</v>
      </c>
      <c r="K382" s="26">
        <v>200000</v>
      </c>
      <c r="L382" s="21">
        <f>SUM(F382:K382)</f>
        <v>765667.50399999996</v>
      </c>
      <c r="M382" s="21">
        <v>64602.411231999999</v>
      </c>
      <c r="N382" s="21">
        <v>74090.175839999982</v>
      </c>
      <c r="O382" s="21">
        <v>32281.828767999996</v>
      </c>
      <c r="P382" s="21">
        <f>IF((D382*233.456*3%)&gt;7004,7004,(D382*233.456*3%))</f>
        <v>7004</v>
      </c>
      <c r="Q382" s="21">
        <f t="shared" si="20"/>
        <v>652291.49939200003</v>
      </c>
      <c r="R382" s="21">
        <v>545667.50399999996</v>
      </c>
    </row>
    <row r="383" spans="1:18" ht="15.75" thickBot="1" x14ac:dyDescent="0.3">
      <c r="A383" s="21" t="s">
        <v>108</v>
      </c>
      <c r="B383" s="22" t="s">
        <v>90</v>
      </c>
      <c r="C383" s="22" t="s">
        <v>92</v>
      </c>
      <c r="D383" s="22">
        <v>1610</v>
      </c>
      <c r="E383" s="22">
        <v>42</v>
      </c>
      <c r="F383" s="21">
        <f t="shared" si="15"/>
        <v>375864.16</v>
      </c>
      <c r="G383" s="21">
        <f t="shared" si="16"/>
        <v>56379.623999999996</v>
      </c>
      <c r="H383" s="21">
        <v>90000</v>
      </c>
      <c r="I383" s="21">
        <v>15000</v>
      </c>
      <c r="J383" s="21">
        <v>15000</v>
      </c>
      <c r="K383" s="26">
        <v>200000</v>
      </c>
      <c r="L383" s="21">
        <f>SUM(F383:K383)</f>
        <v>752243.78399999999</v>
      </c>
      <c r="M383" s="21">
        <v>62656.555472</v>
      </c>
      <c r="N383" s="21">
        <v>71271.194640000002</v>
      </c>
      <c r="O383" s="21">
        <v>31309.484527999997</v>
      </c>
      <c r="P383" s="21">
        <f>IF((D383*233.456*3%)&gt;7004,7004,(D383*233.456*3%))</f>
        <v>7004</v>
      </c>
      <c r="Q383" s="21">
        <f t="shared" si="20"/>
        <v>642659.10483199998</v>
      </c>
      <c r="R383" s="21">
        <v>532243.78399999999</v>
      </c>
    </row>
    <row r="384" spans="1:18" ht="15.75" thickBot="1" x14ac:dyDescent="0.3">
      <c r="A384" s="21" t="s">
        <v>108</v>
      </c>
      <c r="B384" s="22" t="s">
        <v>90</v>
      </c>
      <c r="C384" s="22" t="s">
        <v>92</v>
      </c>
      <c r="D384" s="22">
        <v>1565</v>
      </c>
      <c r="E384" s="22">
        <v>41</v>
      </c>
      <c r="F384" s="21">
        <f t="shared" si="15"/>
        <v>365358.63999999996</v>
      </c>
      <c r="G384" s="21">
        <f t="shared" si="16"/>
        <v>54803.795999999995</v>
      </c>
      <c r="H384" s="21">
        <v>90000</v>
      </c>
      <c r="I384" s="21">
        <v>15000</v>
      </c>
      <c r="J384" s="21">
        <v>15000</v>
      </c>
      <c r="K384" s="26">
        <v>200000</v>
      </c>
      <c r="L384" s="21">
        <f>SUM(F384:K384)</f>
        <v>740162.43599999999</v>
      </c>
      <c r="M384" s="21">
        <v>60905.285287999999</v>
      </c>
      <c r="N384" s="21">
        <v>68734.11155999999</v>
      </c>
      <c r="O384" s="21">
        <v>30434.374711999997</v>
      </c>
      <c r="P384" s="21">
        <f>IF((D384*233.456*3%)&gt;7004,7004,(D384*233.456*3%))</f>
        <v>7004</v>
      </c>
      <c r="Q384" s="21">
        <f t="shared" si="20"/>
        <v>633989.94972799998</v>
      </c>
      <c r="R384" s="21">
        <v>520162.43599999993</v>
      </c>
    </row>
    <row r="385" spans="1:18" ht="15.75" thickBot="1" x14ac:dyDescent="0.3">
      <c r="A385" s="21" t="s">
        <v>108</v>
      </c>
      <c r="B385" s="22" t="s">
        <v>90</v>
      </c>
      <c r="C385" s="22" t="s">
        <v>93</v>
      </c>
      <c r="D385" s="22">
        <v>2365</v>
      </c>
      <c r="E385" s="22">
        <v>13</v>
      </c>
      <c r="F385" s="21">
        <f t="shared" si="15"/>
        <v>552123.43999999994</v>
      </c>
      <c r="G385" s="21">
        <f t="shared" si="16"/>
        <v>82818.515999999989</v>
      </c>
      <c r="H385" s="21">
        <v>90000</v>
      </c>
      <c r="I385" s="21">
        <v>15000</v>
      </c>
      <c r="J385" s="21">
        <v>15000</v>
      </c>
      <c r="K385" s="26">
        <v>200000</v>
      </c>
      <c r="L385" s="21">
        <f>SUM(F385:K385)</f>
        <v>954941.95599999989</v>
      </c>
      <c r="M385" s="21">
        <v>92038.977448000005</v>
      </c>
      <c r="N385" s="21">
        <v>113837.81075999998</v>
      </c>
      <c r="O385" s="21">
        <v>45991.882551999995</v>
      </c>
      <c r="P385" s="21">
        <f>IF((D385*233.456*3%)&gt;7004,7004,(D385*233.456*3%))</f>
        <v>7004</v>
      </c>
      <c r="Q385" s="21">
        <f t="shared" si="20"/>
        <v>788108.26268799999</v>
      </c>
      <c r="R385" s="21">
        <v>734941.95599999989</v>
      </c>
    </row>
    <row r="386" spans="1:18" ht="15.75" thickBot="1" x14ac:dyDescent="0.3">
      <c r="A386" s="21" t="s">
        <v>108</v>
      </c>
      <c r="B386" s="22" t="s">
        <v>90</v>
      </c>
      <c r="C386" s="22" t="s">
        <v>93</v>
      </c>
      <c r="D386" s="22">
        <v>2355</v>
      </c>
      <c r="E386" s="22">
        <v>12</v>
      </c>
      <c r="F386" s="21">
        <f t="shared" si="15"/>
        <v>549788.88</v>
      </c>
      <c r="G386" s="21">
        <f t="shared" si="16"/>
        <v>82468.331999999995</v>
      </c>
      <c r="H386" s="21">
        <v>90000</v>
      </c>
      <c r="I386" s="21">
        <v>15000</v>
      </c>
      <c r="J386" s="21">
        <v>15000</v>
      </c>
      <c r="K386" s="26">
        <v>200000</v>
      </c>
      <c r="L386" s="21">
        <f>SUM(F386:K386)</f>
        <v>952257.21200000006</v>
      </c>
      <c r="M386" s="21">
        <v>91649.80629600001</v>
      </c>
      <c r="N386" s="21">
        <v>113274.01452000001</v>
      </c>
      <c r="O386" s="21">
        <v>45797.413703999999</v>
      </c>
      <c r="P386" s="21">
        <f>IF((D386*233.456*3%)&gt;7004,7004,(D386*233.456*3%))</f>
        <v>7004</v>
      </c>
      <c r="Q386" s="21">
        <f t="shared" si="20"/>
        <v>786181.78377600003</v>
      </c>
      <c r="R386" s="21">
        <v>732257.21200000006</v>
      </c>
    </row>
    <row r="387" spans="1:18" ht="15.75" thickBot="1" x14ac:dyDescent="0.3">
      <c r="A387" s="21" t="s">
        <v>108</v>
      </c>
      <c r="B387" s="22" t="s">
        <v>90</v>
      </c>
      <c r="C387" s="22" t="s">
        <v>93</v>
      </c>
      <c r="D387" s="22">
        <v>2290</v>
      </c>
      <c r="E387" s="22">
        <v>11</v>
      </c>
      <c r="F387" s="21">
        <f t="shared" si="15"/>
        <v>534614.24</v>
      </c>
      <c r="G387" s="21">
        <f t="shared" si="16"/>
        <v>80192.135999999999</v>
      </c>
      <c r="H387" s="21">
        <v>90000</v>
      </c>
      <c r="I387" s="21">
        <v>15000</v>
      </c>
      <c r="J387" s="21">
        <v>15000</v>
      </c>
      <c r="K387" s="26">
        <v>200000</v>
      </c>
      <c r="L387" s="21">
        <f>SUM(F387:K387)</f>
        <v>934806.37599999993</v>
      </c>
      <c r="M387" s="21">
        <v>89120.193808000011</v>
      </c>
      <c r="N387" s="21">
        <v>109609.33895999998</v>
      </c>
      <c r="O387" s="21">
        <v>44533.366192000001</v>
      </c>
      <c r="P387" s="21">
        <f>IF((D387*233.456*3%)&gt;7004,7004,(D387*233.456*3%))</f>
        <v>7004</v>
      </c>
      <c r="Q387" s="21">
        <f t="shared" si="20"/>
        <v>773659.67084799998</v>
      </c>
      <c r="R387" s="21">
        <v>714806.37599999993</v>
      </c>
    </row>
    <row r="388" spans="1:18" ht="15.75" thickBot="1" x14ac:dyDescent="0.3">
      <c r="A388" s="21" t="s">
        <v>108</v>
      </c>
      <c r="B388" s="22" t="s">
        <v>90</v>
      </c>
      <c r="C388" s="22" t="s">
        <v>93</v>
      </c>
      <c r="D388" s="22">
        <v>2155</v>
      </c>
      <c r="E388" s="22">
        <v>23</v>
      </c>
      <c r="F388" s="21">
        <f t="shared" si="15"/>
        <v>503097.68</v>
      </c>
      <c r="G388" s="21">
        <f t="shared" si="16"/>
        <v>75464.652000000002</v>
      </c>
      <c r="H388" s="21">
        <v>90000</v>
      </c>
      <c r="I388" s="21">
        <v>15000</v>
      </c>
      <c r="J388" s="21">
        <v>15000</v>
      </c>
      <c r="K388" s="26">
        <v>200000</v>
      </c>
      <c r="L388" s="21">
        <f>SUM(F388:K388)</f>
        <v>898562.33199999994</v>
      </c>
      <c r="M388" s="21">
        <v>83866.383256000001</v>
      </c>
      <c r="N388" s="21">
        <v>101998.08971999999</v>
      </c>
      <c r="O388" s="21">
        <v>41908.036743999997</v>
      </c>
      <c r="P388" s="21">
        <f>IF((D388*233.456*3%)&gt;7004,7004,(D388*233.456*3%))</f>
        <v>7004</v>
      </c>
      <c r="Q388" s="21">
        <f t="shared" si="20"/>
        <v>747652.20553599996</v>
      </c>
      <c r="R388" s="21">
        <v>678562.33199999994</v>
      </c>
    </row>
    <row r="389" spans="1:18" ht="15.75" thickBot="1" x14ac:dyDescent="0.3">
      <c r="A389" s="21" t="s">
        <v>108</v>
      </c>
      <c r="B389" s="22" t="s">
        <v>90</v>
      </c>
      <c r="C389" s="22" t="s">
        <v>93</v>
      </c>
      <c r="D389" s="22">
        <v>2060</v>
      </c>
      <c r="E389" s="22">
        <v>22</v>
      </c>
      <c r="F389" s="21">
        <f t="shared" si="15"/>
        <v>480919.36</v>
      </c>
      <c r="G389" s="21">
        <f t="shared" si="16"/>
        <v>72137.903999999995</v>
      </c>
      <c r="H389" s="21">
        <v>90000</v>
      </c>
      <c r="I389" s="21">
        <v>15000</v>
      </c>
      <c r="J389" s="21">
        <v>15000</v>
      </c>
      <c r="K389" s="26">
        <v>200000</v>
      </c>
      <c r="L389" s="21">
        <f>SUM(F389:K389)</f>
        <v>873057.26399999997</v>
      </c>
      <c r="M389" s="21">
        <v>80169.257312000002</v>
      </c>
      <c r="N389" s="21">
        <v>96642.025439999983</v>
      </c>
      <c r="O389" s="21">
        <v>40060.582687999995</v>
      </c>
      <c r="P389" s="21">
        <f>IF((D389*233.456*3%)&gt;7004,7004,(D389*233.456*3%))</f>
        <v>7004</v>
      </c>
      <c r="Q389" s="21">
        <f t="shared" si="20"/>
        <v>729350.65587199992</v>
      </c>
      <c r="R389" s="21">
        <v>653057.26399999997</v>
      </c>
    </row>
    <row r="390" spans="1:18" ht="15.75" thickBot="1" x14ac:dyDescent="0.3">
      <c r="A390" s="21" t="s">
        <v>108</v>
      </c>
      <c r="B390" s="22" t="s">
        <v>90</v>
      </c>
      <c r="C390" s="22" t="s">
        <v>93</v>
      </c>
      <c r="D390" s="22">
        <v>1930</v>
      </c>
      <c r="E390" s="22">
        <v>21</v>
      </c>
      <c r="F390" s="21">
        <f t="shared" si="15"/>
        <v>450570.07999999996</v>
      </c>
      <c r="G390" s="21">
        <f t="shared" si="16"/>
        <v>67585.511999999988</v>
      </c>
      <c r="H390" s="21">
        <v>90000</v>
      </c>
      <c r="I390" s="21">
        <v>15000</v>
      </c>
      <c r="J390" s="21">
        <v>15000</v>
      </c>
      <c r="K390" s="26">
        <v>200000</v>
      </c>
      <c r="L390" s="21">
        <f>SUM(F390:K390)</f>
        <v>838155.59199999995</v>
      </c>
      <c r="M390" s="21">
        <v>75110.032336000004</v>
      </c>
      <c r="N390" s="21">
        <v>89312.674319999991</v>
      </c>
      <c r="O390" s="21">
        <v>37532.487663999993</v>
      </c>
      <c r="P390" s="21">
        <f>IF((D390*233.456*3%)&gt;7004,7004,(D390*233.456*3%))</f>
        <v>7004</v>
      </c>
      <c r="Q390" s="21">
        <f t="shared" si="20"/>
        <v>704306.43001599994</v>
      </c>
      <c r="R390" s="21">
        <v>618155.59199999995</v>
      </c>
    </row>
    <row r="391" spans="1:18" ht="15.75" thickBot="1" x14ac:dyDescent="0.3">
      <c r="A391" s="21" t="s">
        <v>108</v>
      </c>
      <c r="B391" s="22" t="s">
        <v>90</v>
      </c>
      <c r="C391" s="22" t="s">
        <v>93</v>
      </c>
      <c r="D391" s="22">
        <v>1770</v>
      </c>
      <c r="E391" s="22">
        <v>33</v>
      </c>
      <c r="F391" s="21">
        <f t="shared" si="15"/>
        <v>413217.12</v>
      </c>
      <c r="G391" s="21">
        <f t="shared" si="16"/>
        <v>61982.567999999999</v>
      </c>
      <c r="H391" s="21">
        <v>90000</v>
      </c>
      <c r="I391" s="21">
        <v>15000</v>
      </c>
      <c r="J391" s="21">
        <v>15000</v>
      </c>
      <c r="K391" s="26">
        <v>200000</v>
      </c>
      <c r="L391" s="21">
        <f>SUM(F391:K391)</f>
        <v>795199.68799999997</v>
      </c>
      <c r="M391" s="21">
        <v>68883.293904000006</v>
      </c>
      <c r="N391" s="21">
        <v>80291.934479999996</v>
      </c>
      <c r="O391" s="21">
        <v>34420.986096000001</v>
      </c>
      <c r="P391" s="21">
        <f>IF((D391*233.456*3%)&gt;7004,7004,(D391*233.456*3%))</f>
        <v>7004</v>
      </c>
      <c r="Q391" s="21">
        <f t="shared" si="20"/>
        <v>673482.76742399996</v>
      </c>
      <c r="R391" s="21">
        <v>575199.68799999997</v>
      </c>
    </row>
    <row r="392" spans="1:18" ht="15.75" thickBot="1" x14ac:dyDescent="0.3">
      <c r="A392" s="21" t="s">
        <v>108</v>
      </c>
      <c r="B392" s="22" t="s">
        <v>90</v>
      </c>
      <c r="C392" s="22" t="s">
        <v>93</v>
      </c>
      <c r="D392" s="22">
        <v>1640</v>
      </c>
      <c r="E392" s="22">
        <v>32</v>
      </c>
      <c r="F392" s="21">
        <f t="shared" si="15"/>
        <v>382867.83999999997</v>
      </c>
      <c r="G392" s="21">
        <f t="shared" si="16"/>
        <v>57430.175999999992</v>
      </c>
      <c r="H392" s="21">
        <v>90000</v>
      </c>
      <c r="I392" s="21">
        <v>15000</v>
      </c>
      <c r="J392" s="21">
        <v>15000</v>
      </c>
      <c r="K392" s="26">
        <v>200000</v>
      </c>
      <c r="L392" s="21">
        <f>SUM(F392:K392)</f>
        <v>760298.01599999995</v>
      </c>
      <c r="M392" s="21">
        <v>63824.068928000001</v>
      </c>
      <c r="N392" s="21">
        <v>72962.58335999999</v>
      </c>
      <c r="O392" s="21">
        <v>31892.891071999999</v>
      </c>
      <c r="P392" s="21">
        <f>IF((D392*233.456*3%)&gt;7004,7004,(D392*233.456*3%))</f>
        <v>7004</v>
      </c>
      <c r="Q392" s="21">
        <f t="shared" si="20"/>
        <v>648438.54156799999</v>
      </c>
      <c r="R392" s="21">
        <v>540298.01599999995</v>
      </c>
    </row>
    <row r="393" spans="1:18" ht="15.75" thickBot="1" x14ac:dyDescent="0.3">
      <c r="A393" s="21" t="s">
        <v>108</v>
      </c>
      <c r="B393" s="22" t="s">
        <v>90</v>
      </c>
      <c r="C393" s="22" t="s">
        <v>93</v>
      </c>
      <c r="D393" s="22">
        <v>1545</v>
      </c>
      <c r="E393" s="22">
        <v>31</v>
      </c>
      <c r="F393" s="21">
        <f t="shared" si="15"/>
        <v>360689.51999999996</v>
      </c>
      <c r="G393" s="21">
        <f t="shared" si="16"/>
        <v>54103.427999999993</v>
      </c>
      <c r="H393" s="21">
        <v>90000</v>
      </c>
      <c r="I393" s="21">
        <v>15000</v>
      </c>
      <c r="J393" s="21">
        <v>15000</v>
      </c>
      <c r="K393" s="26">
        <v>200000</v>
      </c>
      <c r="L393" s="21">
        <f>SUM(F393:K393)</f>
        <v>734792.94799999997</v>
      </c>
      <c r="M393" s="21">
        <v>60126.942984000001</v>
      </c>
      <c r="N393" s="21">
        <v>67606.519079999998</v>
      </c>
      <c r="O393" s="21">
        <v>30045.437015999996</v>
      </c>
      <c r="P393" s="21">
        <f>IF((D393*233.456*3%)&gt;7004,7004,(D393*233.456*3%))</f>
        <v>7004</v>
      </c>
      <c r="Q393" s="21">
        <f t="shared" si="20"/>
        <v>630136.99190399994</v>
      </c>
      <c r="R393" s="21">
        <v>514792.94799999997</v>
      </c>
    </row>
    <row r="394" spans="1:18" ht="15.75" thickBot="1" x14ac:dyDescent="0.3">
      <c r="A394" s="21" t="s">
        <v>108</v>
      </c>
      <c r="B394" s="22" t="s">
        <v>90</v>
      </c>
      <c r="C394" s="22" t="s">
        <v>93</v>
      </c>
      <c r="D394" s="22">
        <v>1415</v>
      </c>
      <c r="E394" s="22">
        <v>44</v>
      </c>
      <c r="F394" s="21">
        <f t="shared" si="15"/>
        <v>330340.24</v>
      </c>
      <c r="G394" s="21">
        <f t="shared" si="16"/>
        <v>49551.036</v>
      </c>
      <c r="H394" s="21">
        <v>90000</v>
      </c>
      <c r="I394" s="21">
        <v>15000</v>
      </c>
      <c r="J394" s="21">
        <v>15000</v>
      </c>
      <c r="K394" s="26">
        <v>200000</v>
      </c>
      <c r="L394" s="21">
        <f>SUM(F394:K394)</f>
        <v>699891.27600000007</v>
      </c>
      <c r="M394" s="21">
        <v>55067.718008000003</v>
      </c>
      <c r="N394" s="21">
        <v>60277.167959999992</v>
      </c>
      <c r="O394" s="21">
        <v>27517.341991999998</v>
      </c>
      <c r="P394" s="21">
        <f>IF((D394*233.456*3%)&gt;7004,7004,(D394*233.456*3%))</f>
        <v>7004</v>
      </c>
      <c r="Q394" s="21">
        <f t="shared" si="20"/>
        <v>605092.76604800008</v>
      </c>
      <c r="R394" s="21">
        <v>479891.27600000001</v>
      </c>
    </row>
    <row r="395" spans="1:18" ht="15.75" thickBot="1" x14ac:dyDescent="0.3">
      <c r="A395" s="21" t="s">
        <v>108</v>
      </c>
      <c r="B395" s="22" t="s">
        <v>90</v>
      </c>
      <c r="C395" s="22" t="s">
        <v>93</v>
      </c>
      <c r="D395" s="22">
        <v>1320</v>
      </c>
      <c r="E395" s="22">
        <v>43</v>
      </c>
      <c r="F395" s="21">
        <f t="shared" ref="F395:F458" si="21">D395*233.456</f>
        <v>308161.91999999998</v>
      </c>
      <c r="G395" s="21">
        <f t="shared" ref="G395:G458" si="22">F395*15%</f>
        <v>46224.287999999993</v>
      </c>
      <c r="H395" s="21">
        <v>90000</v>
      </c>
      <c r="I395" s="21">
        <v>15000</v>
      </c>
      <c r="J395" s="21">
        <v>15000</v>
      </c>
      <c r="K395" s="26">
        <v>200000</v>
      </c>
      <c r="L395" s="21">
        <f>SUM(F395:K395)</f>
        <v>674386.20799999998</v>
      </c>
      <c r="M395" s="21">
        <v>51370.592064000004</v>
      </c>
      <c r="N395" s="21">
        <v>54921.10368</v>
      </c>
      <c r="O395" s="21">
        <v>25669.887935999999</v>
      </c>
      <c r="P395" s="21">
        <f>IF((D395*233.456*3%)&gt;7004,7004,(D395*233.456*3%))</f>
        <v>7004</v>
      </c>
      <c r="Q395" s="21">
        <f t="shared" si="20"/>
        <v>586791.21638400003</v>
      </c>
      <c r="R395" s="21">
        <v>454386.20799999998</v>
      </c>
    </row>
    <row r="396" spans="1:18" ht="15.75" thickBot="1" x14ac:dyDescent="0.3">
      <c r="A396" s="21" t="s">
        <v>108</v>
      </c>
      <c r="B396" s="22" t="s">
        <v>90</v>
      </c>
      <c r="C396" s="22" t="s">
        <v>93</v>
      </c>
      <c r="D396" s="22">
        <v>1255</v>
      </c>
      <c r="E396" s="22">
        <v>42</v>
      </c>
      <c r="F396" s="21">
        <f t="shared" si="21"/>
        <v>292987.27999999997</v>
      </c>
      <c r="G396" s="21">
        <f t="shared" si="22"/>
        <v>43948.091999999997</v>
      </c>
      <c r="H396" s="21">
        <v>90000</v>
      </c>
      <c r="I396" s="21">
        <v>15000</v>
      </c>
      <c r="J396" s="21">
        <v>15000</v>
      </c>
      <c r="K396" s="26">
        <v>200000</v>
      </c>
      <c r="L396" s="21">
        <f>SUM(F396:K396)</f>
        <v>656935.37199999997</v>
      </c>
      <c r="M396" s="21">
        <v>48840.979575999998</v>
      </c>
      <c r="N396" s="21">
        <v>51256.428119999997</v>
      </c>
      <c r="O396" s="21">
        <v>24405.840423999998</v>
      </c>
      <c r="P396" s="21">
        <f>IF((D396*233.456*3%)&gt;7004,7004,(D396*233.456*3%))</f>
        <v>7004</v>
      </c>
      <c r="Q396" s="21">
        <f t="shared" si="20"/>
        <v>574269.10345599998</v>
      </c>
      <c r="R396" s="21">
        <v>436935.37199999997</v>
      </c>
    </row>
    <row r="397" spans="1:18" ht="15.75" thickBot="1" x14ac:dyDescent="0.3">
      <c r="A397" s="21" t="s">
        <v>108</v>
      </c>
      <c r="B397" s="22" t="s">
        <v>90</v>
      </c>
      <c r="C397" s="22" t="s">
        <v>93</v>
      </c>
      <c r="D397" s="22">
        <v>1215</v>
      </c>
      <c r="E397" s="22">
        <v>41</v>
      </c>
      <c r="F397" s="21">
        <f t="shared" si="21"/>
        <v>283649.03999999998</v>
      </c>
      <c r="G397" s="21">
        <f t="shared" si="22"/>
        <v>42547.355999999992</v>
      </c>
      <c r="H397" s="21">
        <v>90000</v>
      </c>
      <c r="I397" s="21">
        <v>15000</v>
      </c>
      <c r="J397" s="21">
        <v>15000</v>
      </c>
      <c r="K397" s="26">
        <v>200000</v>
      </c>
      <c r="L397" s="21">
        <f>SUM(F397:K397)</f>
        <v>646196.39599999995</v>
      </c>
      <c r="M397" s="21">
        <v>47284.294968000002</v>
      </c>
      <c r="N397" s="21">
        <v>49001.243159999991</v>
      </c>
      <c r="O397" s="21">
        <v>23627.965031999996</v>
      </c>
      <c r="P397" s="21">
        <f>IF((D397*233.456*3%)&gt;7004,7004,(D397*233.456*3%))</f>
        <v>7004</v>
      </c>
      <c r="Q397" s="21">
        <f t="shared" si="20"/>
        <v>566563.18780800002</v>
      </c>
      <c r="R397" s="21">
        <v>426196.39599999995</v>
      </c>
    </row>
    <row r="398" spans="1:18" ht="15.75" thickBot="1" x14ac:dyDescent="0.3">
      <c r="A398" s="21" t="s">
        <v>108</v>
      </c>
      <c r="B398" s="22" t="s">
        <v>90</v>
      </c>
      <c r="C398" s="22" t="s">
        <v>94</v>
      </c>
      <c r="D398" s="22">
        <v>2345</v>
      </c>
      <c r="E398" s="22">
        <v>13</v>
      </c>
      <c r="F398" s="21">
        <f t="shared" si="21"/>
        <v>547454.31999999995</v>
      </c>
      <c r="G398" s="21">
        <f t="shared" si="22"/>
        <v>82118.147999999986</v>
      </c>
      <c r="H398" s="21">
        <v>90000</v>
      </c>
      <c r="I398" s="21">
        <v>15000</v>
      </c>
      <c r="J398" s="21">
        <v>15000</v>
      </c>
      <c r="K398" s="26">
        <v>200000</v>
      </c>
      <c r="L398" s="21">
        <f>SUM(F398:K398)</f>
        <v>949572.46799999988</v>
      </c>
      <c r="M398" s="21">
        <v>91260.635144</v>
      </c>
      <c r="N398" s="21">
        <v>112710.21827999997</v>
      </c>
      <c r="O398" s="21">
        <v>45602.944855999995</v>
      </c>
      <c r="P398" s="21">
        <f>IF((D398*233.456*3%)&gt;7004,7004,(D398*233.456*3%))</f>
        <v>7004</v>
      </c>
      <c r="Q398" s="21">
        <f t="shared" si="20"/>
        <v>784255.30486399995</v>
      </c>
      <c r="R398" s="21">
        <v>729572.46799999988</v>
      </c>
    </row>
    <row r="399" spans="1:18" ht="15.75" thickBot="1" x14ac:dyDescent="0.3">
      <c r="A399" s="21" t="s">
        <v>108</v>
      </c>
      <c r="B399" s="22" t="s">
        <v>90</v>
      </c>
      <c r="C399" s="22" t="s">
        <v>94</v>
      </c>
      <c r="D399" s="22">
        <v>2315</v>
      </c>
      <c r="E399" s="22">
        <v>12</v>
      </c>
      <c r="F399" s="21">
        <f t="shared" si="21"/>
        <v>540450.64</v>
      </c>
      <c r="G399" s="21">
        <f t="shared" si="22"/>
        <v>81067.596000000005</v>
      </c>
      <c r="H399" s="21">
        <v>90000</v>
      </c>
      <c r="I399" s="21">
        <v>15000</v>
      </c>
      <c r="J399" s="21">
        <v>15000</v>
      </c>
      <c r="K399" s="26">
        <v>200000</v>
      </c>
      <c r="L399" s="21">
        <f>SUM(F399:K399)</f>
        <v>941518.23600000003</v>
      </c>
      <c r="M399" s="21">
        <v>90093.121688000014</v>
      </c>
      <c r="N399" s="21">
        <v>111018.82956</v>
      </c>
      <c r="O399" s="21">
        <v>45019.538312000004</v>
      </c>
      <c r="P399" s="21">
        <f>IF((D399*233.456*3%)&gt;7004,7004,(D399*233.456*3%))</f>
        <v>7004</v>
      </c>
      <c r="Q399" s="21">
        <f t="shared" si="20"/>
        <v>778475.86812800006</v>
      </c>
      <c r="R399" s="21">
        <v>721518.23600000003</v>
      </c>
    </row>
    <row r="400" spans="1:18" ht="15.75" thickBot="1" x14ac:dyDescent="0.3">
      <c r="A400" s="21" t="s">
        <v>108</v>
      </c>
      <c r="B400" s="22" t="s">
        <v>90</v>
      </c>
      <c r="C400" s="22" t="s">
        <v>94</v>
      </c>
      <c r="D400" s="22">
        <v>2265</v>
      </c>
      <c r="E400" s="22">
        <v>11</v>
      </c>
      <c r="F400" s="21">
        <f t="shared" si="21"/>
        <v>528777.84</v>
      </c>
      <c r="G400" s="21">
        <f t="shared" si="22"/>
        <v>79316.675999999992</v>
      </c>
      <c r="H400" s="21">
        <v>90000</v>
      </c>
      <c r="I400" s="21">
        <v>15000</v>
      </c>
      <c r="J400" s="21">
        <v>15000</v>
      </c>
      <c r="K400" s="26">
        <v>200000</v>
      </c>
      <c r="L400" s="21">
        <f>SUM(F400:K400)</f>
        <v>928094.51599999995</v>
      </c>
      <c r="M400" s="21">
        <v>88147.265928000008</v>
      </c>
      <c r="N400" s="21">
        <v>108199.84835999999</v>
      </c>
      <c r="O400" s="21">
        <v>44047.194071999998</v>
      </c>
      <c r="P400" s="21">
        <f>IF((D400*233.456*3%)&gt;7004,7004,(D400*233.456*3%))</f>
        <v>7004</v>
      </c>
      <c r="Q400" s="21">
        <f t="shared" si="20"/>
        <v>768843.4735679999</v>
      </c>
      <c r="R400" s="21">
        <v>708094.51599999995</v>
      </c>
    </row>
    <row r="401" spans="1:18" ht="15.75" thickBot="1" x14ac:dyDescent="0.3">
      <c r="A401" s="21" t="s">
        <v>108</v>
      </c>
      <c r="B401" s="22" t="s">
        <v>90</v>
      </c>
      <c r="C401" s="22" t="s">
        <v>94</v>
      </c>
      <c r="D401" s="22">
        <v>2140</v>
      </c>
      <c r="E401" s="22">
        <v>23</v>
      </c>
      <c r="F401" s="21">
        <f t="shared" si="21"/>
        <v>499595.83999999997</v>
      </c>
      <c r="G401" s="21">
        <f t="shared" si="22"/>
        <v>74939.375999999989</v>
      </c>
      <c r="H401" s="21">
        <v>90000</v>
      </c>
      <c r="I401" s="21">
        <v>15000</v>
      </c>
      <c r="J401" s="21">
        <v>15000</v>
      </c>
      <c r="K401" s="26">
        <v>200000</v>
      </c>
      <c r="L401" s="21">
        <f>SUM(F401:K401)</f>
        <v>894535.21600000001</v>
      </c>
      <c r="M401" s="21">
        <v>83282.626528000008</v>
      </c>
      <c r="N401" s="21">
        <v>101152.39535999999</v>
      </c>
      <c r="O401" s="21">
        <v>41616.333471999998</v>
      </c>
      <c r="P401" s="21">
        <f>IF((D401*233.456*3%)&gt;7004,7004,(D401*233.456*3%))</f>
        <v>7004</v>
      </c>
      <c r="Q401" s="21">
        <f t="shared" si="20"/>
        <v>744762.48716800008</v>
      </c>
      <c r="R401" s="21">
        <v>674535.21600000001</v>
      </c>
    </row>
    <row r="402" spans="1:18" ht="15.75" thickBot="1" x14ac:dyDescent="0.3">
      <c r="A402" s="21" t="s">
        <v>108</v>
      </c>
      <c r="B402" s="22" t="s">
        <v>90</v>
      </c>
      <c r="C402" s="22" t="s">
        <v>94</v>
      </c>
      <c r="D402" s="22">
        <v>1985</v>
      </c>
      <c r="E402" s="22">
        <v>22</v>
      </c>
      <c r="F402" s="21">
        <f t="shared" si="21"/>
        <v>463410.16</v>
      </c>
      <c r="G402" s="21">
        <f t="shared" si="22"/>
        <v>69511.52399999999</v>
      </c>
      <c r="H402" s="21">
        <v>90000</v>
      </c>
      <c r="I402" s="21">
        <v>15000</v>
      </c>
      <c r="J402" s="21">
        <v>15000</v>
      </c>
      <c r="K402" s="26">
        <v>200000</v>
      </c>
      <c r="L402" s="21">
        <f>SUM(F402:K402)</f>
        <v>852921.68400000001</v>
      </c>
      <c r="M402" s="21">
        <v>77250.473672000007</v>
      </c>
      <c r="N402" s="21">
        <v>92413.553639999998</v>
      </c>
      <c r="O402" s="21">
        <v>38602.066328000001</v>
      </c>
      <c r="P402" s="21">
        <f>IF((D402*233.456*3%)&gt;7004,7004,(D402*233.456*3%))</f>
        <v>7004</v>
      </c>
      <c r="Q402" s="21">
        <f t="shared" si="20"/>
        <v>714902.06403200002</v>
      </c>
      <c r="R402" s="21">
        <v>632921.68400000001</v>
      </c>
    </row>
    <row r="403" spans="1:18" ht="15.75" thickBot="1" x14ac:dyDescent="0.3">
      <c r="A403" s="21" t="s">
        <v>108</v>
      </c>
      <c r="B403" s="22" t="s">
        <v>90</v>
      </c>
      <c r="C403" s="22" t="s">
        <v>94</v>
      </c>
      <c r="D403" s="22">
        <v>1855</v>
      </c>
      <c r="E403" s="22">
        <v>21</v>
      </c>
      <c r="F403" s="21">
        <f t="shared" si="21"/>
        <v>433060.88</v>
      </c>
      <c r="G403" s="21">
        <f t="shared" si="22"/>
        <v>64959.131999999998</v>
      </c>
      <c r="H403" s="21">
        <v>90000</v>
      </c>
      <c r="I403" s="21">
        <v>15000</v>
      </c>
      <c r="J403" s="21">
        <v>15000</v>
      </c>
      <c r="K403" s="26">
        <v>200000</v>
      </c>
      <c r="L403" s="21">
        <f>SUM(F403:K403)</f>
        <v>818020.01199999999</v>
      </c>
      <c r="M403" s="21">
        <v>72191.24869600001</v>
      </c>
      <c r="N403" s="21">
        <v>85084.202519999992</v>
      </c>
      <c r="O403" s="21">
        <v>36073.971303999999</v>
      </c>
      <c r="P403" s="21">
        <f>IF((D403*233.456*3%)&gt;7004,7004,(D403*233.456*3%))</f>
        <v>7004</v>
      </c>
      <c r="Q403" s="21">
        <f t="shared" si="20"/>
        <v>689857.83817599993</v>
      </c>
      <c r="R403" s="21">
        <v>598020.01199999999</v>
      </c>
    </row>
    <row r="404" spans="1:18" ht="15.75" thickBot="1" x14ac:dyDescent="0.3">
      <c r="A404" s="21" t="s">
        <v>108</v>
      </c>
      <c r="B404" s="22" t="s">
        <v>90</v>
      </c>
      <c r="C404" s="22" t="s">
        <v>94</v>
      </c>
      <c r="D404" s="22">
        <v>1690</v>
      </c>
      <c r="E404" s="22">
        <v>33</v>
      </c>
      <c r="F404" s="21">
        <f t="shared" si="21"/>
        <v>394540.63999999996</v>
      </c>
      <c r="G404" s="21">
        <f t="shared" si="22"/>
        <v>59181.09599999999</v>
      </c>
      <c r="H404" s="21">
        <v>90000</v>
      </c>
      <c r="I404" s="21">
        <v>15000</v>
      </c>
      <c r="J404" s="21">
        <v>15000</v>
      </c>
      <c r="K404" s="26">
        <v>200000</v>
      </c>
      <c r="L404" s="21">
        <f>SUM(F404:K404)</f>
        <v>773721.73599999992</v>
      </c>
      <c r="M404" s="21">
        <v>65769.924687999999</v>
      </c>
      <c r="N404" s="21">
        <v>75781.564559999984</v>
      </c>
      <c r="O404" s="21">
        <v>32865.235311999997</v>
      </c>
      <c r="P404" s="21">
        <f>IF((D404*233.456*3%)&gt;7004,7004,(D404*233.456*3%))</f>
        <v>7004</v>
      </c>
      <c r="Q404" s="21">
        <f t="shared" si="20"/>
        <v>658070.93612799991</v>
      </c>
      <c r="R404" s="21">
        <v>553721.73599999992</v>
      </c>
    </row>
    <row r="405" spans="1:18" ht="15.75" thickBot="1" x14ac:dyDescent="0.3">
      <c r="A405" s="21" t="s">
        <v>108</v>
      </c>
      <c r="B405" s="22" t="s">
        <v>90</v>
      </c>
      <c r="C405" s="22" t="s">
        <v>94</v>
      </c>
      <c r="D405" s="22">
        <v>1565</v>
      </c>
      <c r="E405" s="22">
        <v>32</v>
      </c>
      <c r="F405" s="21">
        <f t="shared" si="21"/>
        <v>365358.63999999996</v>
      </c>
      <c r="G405" s="21">
        <f t="shared" si="22"/>
        <v>54803.795999999995</v>
      </c>
      <c r="H405" s="21">
        <v>90000</v>
      </c>
      <c r="I405" s="21">
        <v>15000</v>
      </c>
      <c r="J405" s="21">
        <v>15000</v>
      </c>
      <c r="K405" s="26">
        <v>200000</v>
      </c>
      <c r="L405" s="21">
        <f>SUM(F405:K405)</f>
        <v>740162.43599999999</v>
      </c>
      <c r="M405" s="21">
        <v>60905.285287999999</v>
      </c>
      <c r="N405" s="21">
        <v>68734.11155999999</v>
      </c>
      <c r="O405" s="21">
        <v>30434.374711999997</v>
      </c>
      <c r="P405" s="21">
        <f>IF((D405*233.456*3%)&gt;7004,7004,(D405*233.456*3%))</f>
        <v>7004</v>
      </c>
      <c r="Q405" s="21">
        <f t="shared" si="20"/>
        <v>633989.94972799998</v>
      </c>
      <c r="R405" s="21">
        <v>520162.43599999993</v>
      </c>
    </row>
    <row r="406" spans="1:18" ht="15.75" thickBot="1" x14ac:dyDescent="0.3">
      <c r="A406" s="21" t="s">
        <v>108</v>
      </c>
      <c r="B406" s="22" t="s">
        <v>90</v>
      </c>
      <c r="C406" s="22" t="s">
        <v>94</v>
      </c>
      <c r="D406" s="22">
        <v>1470</v>
      </c>
      <c r="E406" s="22">
        <v>31</v>
      </c>
      <c r="F406" s="21">
        <f t="shared" si="21"/>
        <v>343180.32</v>
      </c>
      <c r="G406" s="21">
        <f t="shared" si="22"/>
        <v>51477.048000000003</v>
      </c>
      <c r="H406" s="21">
        <v>90000</v>
      </c>
      <c r="I406" s="21">
        <v>15000</v>
      </c>
      <c r="J406" s="21">
        <v>15000</v>
      </c>
      <c r="K406" s="26">
        <v>200000</v>
      </c>
      <c r="L406" s="21">
        <f>SUM(F406:K406)</f>
        <v>714657.36800000002</v>
      </c>
      <c r="M406" s="21">
        <v>57208.159344000007</v>
      </c>
      <c r="N406" s="21">
        <v>63378.047279999999</v>
      </c>
      <c r="O406" s="21">
        <v>28586.920656000002</v>
      </c>
      <c r="P406" s="21">
        <f>IF((D406*233.456*3%)&gt;7004,7004,(D406*233.456*3%))</f>
        <v>7004</v>
      </c>
      <c r="Q406" s="21">
        <f t="shared" si="20"/>
        <v>615688.40006400004</v>
      </c>
      <c r="R406" s="21">
        <v>494657.36800000002</v>
      </c>
    </row>
    <row r="407" spans="1:18" ht="15.75" thickBot="1" x14ac:dyDescent="0.3">
      <c r="A407" s="21" t="s">
        <v>108</v>
      </c>
      <c r="B407" s="22" t="s">
        <v>90</v>
      </c>
      <c r="C407" s="22" t="s">
        <v>94</v>
      </c>
      <c r="D407" s="22">
        <v>1350</v>
      </c>
      <c r="E407" s="22">
        <v>44</v>
      </c>
      <c r="F407" s="21">
        <f t="shared" si="21"/>
        <v>315165.59999999998</v>
      </c>
      <c r="G407" s="21">
        <f t="shared" si="22"/>
        <v>47274.84</v>
      </c>
      <c r="H407" s="21">
        <v>90000</v>
      </c>
      <c r="I407" s="21">
        <v>15000</v>
      </c>
      <c r="J407" s="21">
        <v>15000</v>
      </c>
      <c r="K407" s="26">
        <v>200000</v>
      </c>
      <c r="L407" s="21">
        <f>SUM(F407:K407)</f>
        <v>682440.44</v>
      </c>
      <c r="M407" s="21">
        <v>52538.105519999997</v>
      </c>
      <c r="N407" s="21">
        <v>56612.492399999988</v>
      </c>
      <c r="O407" s="21">
        <v>26253.294479999997</v>
      </c>
      <c r="P407" s="21">
        <f>IF((D407*233.456*3%)&gt;7004,7004,(D407*233.456*3%))</f>
        <v>7004</v>
      </c>
      <c r="Q407" s="21">
        <f t="shared" si="20"/>
        <v>592570.65311999992</v>
      </c>
      <c r="R407" s="21">
        <v>462440.43999999994</v>
      </c>
    </row>
    <row r="408" spans="1:18" ht="15.75" thickBot="1" x14ac:dyDescent="0.3">
      <c r="A408" s="21" t="s">
        <v>108</v>
      </c>
      <c r="B408" s="22" t="s">
        <v>90</v>
      </c>
      <c r="C408" s="22" t="s">
        <v>94</v>
      </c>
      <c r="D408" s="22">
        <v>1250</v>
      </c>
      <c r="E408" s="22">
        <v>43</v>
      </c>
      <c r="F408" s="21">
        <f t="shared" si="21"/>
        <v>291820</v>
      </c>
      <c r="G408" s="21">
        <f t="shared" si="22"/>
        <v>43773</v>
      </c>
      <c r="H408" s="21">
        <v>90000</v>
      </c>
      <c r="I408" s="21">
        <v>15000</v>
      </c>
      <c r="J408" s="21">
        <v>15000</v>
      </c>
      <c r="K408" s="26">
        <v>200000</v>
      </c>
      <c r="L408" s="21">
        <f>SUM(F408:K408)</f>
        <v>655593</v>
      </c>
      <c r="M408" s="21">
        <v>48646.394000000008</v>
      </c>
      <c r="N408" s="21">
        <v>50974.53</v>
      </c>
      <c r="O408" s="21">
        <v>24308.606</v>
      </c>
      <c r="P408" s="21">
        <f>IF((D408*233.456*3%)&gt;7004,7004,(D408*233.456*3%))</f>
        <v>7004</v>
      </c>
      <c r="Q408" s="21">
        <f t="shared" si="20"/>
        <v>573305.86400000006</v>
      </c>
      <c r="R408" s="21">
        <v>435593</v>
      </c>
    </row>
    <row r="409" spans="1:18" ht="15.75" thickBot="1" x14ac:dyDescent="0.3">
      <c r="A409" s="21" t="s">
        <v>108</v>
      </c>
      <c r="B409" s="22" t="s">
        <v>90</v>
      </c>
      <c r="C409" s="22" t="s">
        <v>94</v>
      </c>
      <c r="D409" s="22">
        <v>1190</v>
      </c>
      <c r="E409" s="22">
        <v>42</v>
      </c>
      <c r="F409" s="21">
        <f t="shared" si="21"/>
        <v>277812.64</v>
      </c>
      <c r="G409" s="21">
        <f t="shared" si="22"/>
        <v>41671.896000000001</v>
      </c>
      <c r="H409" s="21">
        <v>90000</v>
      </c>
      <c r="I409" s="21">
        <v>15000</v>
      </c>
      <c r="J409" s="21">
        <v>15000</v>
      </c>
      <c r="K409" s="26">
        <v>200000</v>
      </c>
      <c r="L409" s="21">
        <f>SUM(F409:K409)</f>
        <v>639484.53600000008</v>
      </c>
      <c r="M409" s="21">
        <v>46311.367088000006</v>
      </c>
      <c r="N409" s="21">
        <v>47591.752560000001</v>
      </c>
      <c r="O409" s="21">
        <v>23141.792912000001</v>
      </c>
      <c r="P409" s="21">
        <f>IF((D409*233.456*3%)&gt;7004,7004,(D409*233.456*3%))</f>
        <v>7004</v>
      </c>
      <c r="Q409" s="21">
        <f t="shared" si="20"/>
        <v>561746.99052800005</v>
      </c>
      <c r="R409" s="21">
        <v>419484.53600000002</v>
      </c>
    </row>
    <row r="410" spans="1:18" ht="15.75" thickBot="1" x14ac:dyDescent="0.3">
      <c r="A410" s="21" t="s">
        <v>108</v>
      </c>
      <c r="B410" s="22" t="s">
        <v>90</v>
      </c>
      <c r="C410" s="22" t="s">
        <v>94</v>
      </c>
      <c r="D410" s="22">
        <v>1145</v>
      </c>
      <c r="E410" s="22">
        <v>41</v>
      </c>
      <c r="F410" s="21">
        <f t="shared" si="21"/>
        <v>267307.12</v>
      </c>
      <c r="G410" s="21">
        <f t="shared" si="22"/>
        <v>40096.067999999999</v>
      </c>
      <c r="H410" s="21">
        <v>90000</v>
      </c>
      <c r="I410" s="21">
        <v>15000</v>
      </c>
      <c r="J410" s="21">
        <v>15000</v>
      </c>
      <c r="K410" s="26">
        <v>200000</v>
      </c>
      <c r="L410" s="21">
        <f>SUM(F410:K410)</f>
        <v>627403.18799999997</v>
      </c>
      <c r="M410" s="21">
        <v>44560.096904000005</v>
      </c>
      <c r="N410" s="21">
        <v>45054.66947999999</v>
      </c>
      <c r="O410" s="21">
        <v>22266.683096000001</v>
      </c>
      <c r="P410" s="21">
        <f>IF((D410*233.456*3%)&gt;7004,7004,(D410*233.456*3%))</f>
        <v>7004</v>
      </c>
      <c r="Q410" s="21">
        <f t="shared" si="20"/>
        <v>553077.83542399993</v>
      </c>
      <c r="R410" s="21">
        <v>407403.18799999997</v>
      </c>
    </row>
    <row r="411" spans="1:18" ht="15.75" thickBot="1" x14ac:dyDescent="0.3">
      <c r="A411" s="21" t="s">
        <v>109</v>
      </c>
      <c r="B411" s="22" t="s">
        <v>90</v>
      </c>
      <c r="C411" s="22" t="s">
        <v>91</v>
      </c>
      <c r="D411" s="22">
        <v>3630</v>
      </c>
      <c r="E411" s="22">
        <v>21</v>
      </c>
      <c r="F411" s="21">
        <f t="shared" si="21"/>
        <v>847445.27999999991</v>
      </c>
      <c r="G411" s="21">
        <f t="shared" si="22"/>
        <v>127116.79199999999</v>
      </c>
      <c r="H411" s="21">
        <v>90000</v>
      </c>
      <c r="I411" s="21">
        <v>15000</v>
      </c>
      <c r="J411" s="21">
        <v>15000</v>
      </c>
      <c r="K411" s="26"/>
      <c r="L411" s="21">
        <f>SUM(F411:K411)</f>
        <v>1094562.0719999999</v>
      </c>
      <c r="M411" s="21">
        <v>141269.128176</v>
      </c>
      <c r="N411" s="21">
        <v>169394.89727999998</v>
      </c>
      <c r="O411" s="21">
        <v>70592.191823999994</v>
      </c>
      <c r="P411" s="21">
        <f>IF((D411*233.456*3%)&gt;7004,7004,(D411*233.456*3%))</f>
        <v>7004</v>
      </c>
      <c r="Q411" s="21">
        <f t="shared" si="20"/>
        <v>847570.98289599991</v>
      </c>
      <c r="R411" s="21">
        <v>974562.07199999993</v>
      </c>
    </row>
    <row r="412" spans="1:18" ht="15.75" thickBot="1" x14ac:dyDescent="0.3">
      <c r="A412" s="21" t="s">
        <v>109</v>
      </c>
      <c r="B412" s="22" t="s">
        <v>90</v>
      </c>
      <c r="C412" s="22" t="s">
        <v>91</v>
      </c>
      <c r="D412" s="22">
        <v>3515</v>
      </c>
      <c r="E412" s="22">
        <v>33</v>
      </c>
      <c r="F412" s="21">
        <f t="shared" si="21"/>
        <v>820597.84</v>
      </c>
      <c r="G412" s="21">
        <f t="shared" si="22"/>
        <v>123089.67599999999</v>
      </c>
      <c r="H412" s="21">
        <v>90000</v>
      </c>
      <c r="I412" s="21">
        <v>15000</v>
      </c>
      <c r="J412" s="21">
        <v>15000</v>
      </c>
      <c r="K412" s="26"/>
      <c r="L412" s="21">
        <f>SUM(F412:K412)</f>
        <v>1063687.5159999998</v>
      </c>
      <c r="M412" s="21">
        <v>136793.65992800001</v>
      </c>
      <c r="N412" s="21">
        <v>161985.00383999999</v>
      </c>
      <c r="O412" s="21">
        <v>68355.800071999998</v>
      </c>
      <c r="P412" s="21">
        <f>IF((D412*233.456*3%)&gt;7004,7004,(D412*233.456*3%))</f>
        <v>7004</v>
      </c>
      <c r="Q412" s="21">
        <f t="shared" si="20"/>
        <v>826342.7120879998</v>
      </c>
      <c r="R412" s="21">
        <v>943687.51599999995</v>
      </c>
    </row>
    <row r="413" spans="1:18" ht="15.75" thickBot="1" x14ac:dyDescent="0.3">
      <c r="A413" s="21" t="s">
        <v>109</v>
      </c>
      <c r="B413" s="22" t="s">
        <v>90</v>
      </c>
      <c r="C413" s="22" t="s">
        <v>91</v>
      </c>
      <c r="D413" s="22">
        <v>3400</v>
      </c>
      <c r="E413" s="22">
        <v>32</v>
      </c>
      <c r="F413" s="21">
        <f t="shared" si="21"/>
        <v>793750.39999999991</v>
      </c>
      <c r="G413" s="21">
        <f t="shared" si="22"/>
        <v>119062.55999999998</v>
      </c>
      <c r="H413" s="21">
        <v>90000</v>
      </c>
      <c r="I413" s="21">
        <v>15000</v>
      </c>
      <c r="J413" s="21">
        <v>15000</v>
      </c>
      <c r="K413" s="26"/>
      <c r="L413" s="21">
        <f>SUM(F413:K413)</f>
        <v>1032812.9599999998</v>
      </c>
      <c r="M413" s="21">
        <v>132318.19167999999</v>
      </c>
      <c r="N413" s="21">
        <v>154575.11039999995</v>
      </c>
      <c r="O413" s="21">
        <v>66119.408319999988</v>
      </c>
      <c r="P413" s="21">
        <f>IF((D413*233.456*3%)&gt;7004,7004,(D413*233.456*3%))</f>
        <v>7004</v>
      </c>
      <c r="Q413" s="21">
        <f t="shared" si="20"/>
        <v>805114.44127999991</v>
      </c>
      <c r="R413" s="21">
        <v>912812.95999999985</v>
      </c>
    </row>
    <row r="414" spans="1:18" ht="15.75" thickBot="1" x14ac:dyDescent="0.3">
      <c r="A414" s="21" t="s">
        <v>109</v>
      </c>
      <c r="B414" s="22" t="s">
        <v>90</v>
      </c>
      <c r="C414" s="22" t="s">
        <v>91</v>
      </c>
      <c r="D414" s="22">
        <v>3340</v>
      </c>
      <c r="E414" s="22">
        <v>31</v>
      </c>
      <c r="F414" s="21">
        <f t="shared" si="21"/>
        <v>779743.03999999992</v>
      </c>
      <c r="G414" s="21">
        <f t="shared" si="22"/>
        <v>116961.45599999999</v>
      </c>
      <c r="H414" s="21">
        <v>90000</v>
      </c>
      <c r="I414" s="21">
        <v>15000</v>
      </c>
      <c r="J414" s="21">
        <v>15000</v>
      </c>
      <c r="K414" s="26"/>
      <c r="L414" s="21">
        <f>SUM(F414:K414)</f>
        <v>1016704.4959999999</v>
      </c>
      <c r="M414" s="21">
        <v>129983.164768</v>
      </c>
      <c r="N414" s="21">
        <v>150709.07903999998</v>
      </c>
      <c r="O414" s="21">
        <v>64952.595231999992</v>
      </c>
      <c r="P414" s="21">
        <f>IF((D414*233.456*3%)&gt;7004,7004,(D414*233.456*3%))</f>
        <v>7004</v>
      </c>
      <c r="Q414" s="21">
        <f t="shared" si="20"/>
        <v>794038.82172799995</v>
      </c>
      <c r="R414" s="21">
        <v>896704.49599999993</v>
      </c>
    </row>
    <row r="415" spans="1:18" ht="15.75" thickBot="1" x14ac:dyDescent="0.3">
      <c r="A415" s="21" t="s">
        <v>109</v>
      </c>
      <c r="B415" s="22" t="s">
        <v>90</v>
      </c>
      <c r="C415" s="22" t="s">
        <v>91</v>
      </c>
      <c r="D415" s="22">
        <v>3245</v>
      </c>
      <c r="E415" s="22">
        <v>44</v>
      </c>
      <c r="F415" s="21">
        <f t="shared" si="21"/>
        <v>757564.72</v>
      </c>
      <c r="G415" s="21">
        <f t="shared" si="22"/>
        <v>113634.708</v>
      </c>
      <c r="H415" s="21">
        <v>90000</v>
      </c>
      <c r="I415" s="21">
        <v>15000</v>
      </c>
      <c r="J415" s="21">
        <v>15000</v>
      </c>
      <c r="K415" s="26"/>
      <c r="L415" s="21">
        <f>SUM(F415:K415)</f>
        <v>991199.42799999996</v>
      </c>
      <c r="M415" s="21">
        <v>126286.038824</v>
      </c>
      <c r="N415" s="21">
        <v>144587.86271999998</v>
      </c>
      <c r="O415" s="21">
        <v>63105.141175999997</v>
      </c>
      <c r="P415" s="21">
        <f>IF((D415*233.456*3%)&gt;7004,7004,(D415*233.456*3%))</f>
        <v>7004</v>
      </c>
      <c r="Q415" s="21">
        <f t="shared" si="20"/>
        <v>776502.42410399998</v>
      </c>
      <c r="R415" s="21">
        <v>871199.42799999996</v>
      </c>
    </row>
    <row r="416" spans="1:18" ht="15.75" thickBot="1" x14ac:dyDescent="0.3">
      <c r="A416" s="21" t="s">
        <v>109</v>
      </c>
      <c r="B416" s="22" t="s">
        <v>90</v>
      </c>
      <c r="C416" s="22" t="s">
        <v>91</v>
      </c>
      <c r="D416" s="22">
        <v>3140</v>
      </c>
      <c r="E416" s="22">
        <v>43</v>
      </c>
      <c r="F416" s="21">
        <f t="shared" si="21"/>
        <v>733051.84</v>
      </c>
      <c r="G416" s="21">
        <f t="shared" si="22"/>
        <v>109957.776</v>
      </c>
      <c r="H416" s="21">
        <v>90000</v>
      </c>
      <c r="I416" s="21">
        <v>15000</v>
      </c>
      <c r="J416" s="21">
        <v>15000</v>
      </c>
      <c r="K416" s="26"/>
      <c r="L416" s="21">
        <f>SUM(F416:K416)</f>
        <v>963009.61599999992</v>
      </c>
      <c r="M416" s="21">
        <v>122199.74172800001</v>
      </c>
      <c r="N416" s="21">
        <v>137822.30783999999</v>
      </c>
      <c r="O416" s="21">
        <v>61063.218271999998</v>
      </c>
      <c r="P416" s="21">
        <f>IF((D416*233.456*3%)&gt;7004,7004,(D416*233.456*3%))</f>
        <v>7004</v>
      </c>
      <c r="Q416" s="21">
        <f t="shared" si="20"/>
        <v>757120.08988799993</v>
      </c>
      <c r="R416" s="21">
        <v>843009.61599999992</v>
      </c>
    </row>
    <row r="417" spans="1:18" ht="15.75" thickBot="1" x14ac:dyDescent="0.3">
      <c r="A417" s="21" t="s">
        <v>109</v>
      </c>
      <c r="B417" s="22" t="s">
        <v>90</v>
      </c>
      <c r="C417" s="22" t="s">
        <v>91</v>
      </c>
      <c r="D417" s="22">
        <v>3050</v>
      </c>
      <c r="E417" s="22">
        <v>42</v>
      </c>
      <c r="F417" s="21">
        <f t="shared" si="21"/>
        <v>712040.79999999993</v>
      </c>
      <c r="G417" s="21">
        <f t="shared" si="22"/>
        <v>106806.11999999998</v>
      </c>
      <c r="H417" s="21">
        <v>90000</v>
      </c>
      <c r="I417" s="21">
        <v>15000</v>
      </c>
      <c r="J417" s="21">
        <v>15000</v>
      </c>
      <c r="K417" s="26"/>
      <c r="L417" s="21">
        <f>SUM(F417:K417)</f>
        <v>938846.91999999993</v>
      </c>
      <c r="M417" s="21">
        <v>118697.20135999999</v>
      </c>
      <c r="N417" s="21">
        <v>132023.26079999999</v>
      </c>
      <c r="O417" s="21">
        <v>59312.998639999991</v>
      </c>
      <c r="P417" s="21">
        <f>IF((D417*233.456*3%)&gt;7004,7004,(D417*233.456*3%))</f>
        <v>7004</v>
      </c>
      <c r="Q417" s="21">
        <f t="shared" si="20"/>
        <v>740506.66055999999</v>
      </c>
      <c r="R417" s="21">
        <v>818846.91999999993</v>
      </c>
    </row>
    <row r="418" spans="1:18" ht="15.75" thickBot="1" x14ac:dyDescent="0.3">
      <c r="A418" s="21" t="s">
        <v>109</v>
      </c>
      <c r="B418" s="22" t="s">
        <v>90</v>
      </c>
      <c r="C418" s="22" t="s">
        <v>91</v>
      </c>
      <c r="D418" s="22">
        <v>2985</v>
      </c>
      <c r="E418" s="22">
        <v>41</v>
      </c>
      <c r="F418" s="21">
        <f t="shared" si="21"/>
        <v>696866.15999999992</v>
      </c>
      <c r="G418" s="21">
        <f t="shared" si="22"/>
        <v>104529.92399999998</v>
      </c>
      <c r="H418" s="21">
        <v>90000</v>
      </c>
      <c r="I418" s="21">
        <v>15000</v>
      </c>
      <c r="J418" s="21">
        <v>15000</v>
      </c>
      <c r="K418" s="26"/>
      <c r="L418" s="21">
        <f>SUM(F418:K418)</f>
        <v>921396.08399999992</v>
      </c>
      <c r="M418" s="21">
        <v>116167.58887199999</v>
      </c>
      <c r="N418" s="21">
        <v>127835.06015999999</v>
      </c>
      <c r="O418" s="21">
        <v>58048.951127999993</v>
      </c>
      <c r="P418" s="21">
        <f>IF((D418*233.456*3%)&gt;7004,7004,(D418*233.456*3%))</f>
        <v>7004</v>
      </c>
      <c r="Q418" s="21">
        <f t="shared" si="20"/>
        <v>728508.07271199999</v>
      </c>
      <c r="R418" s="21">
        <v>801396.08399999992</v>
      </c>
    </row>
    <row r="419" spans="1:18" ht="15.75" thickBot="1" x14ac:dyDescent="0.3">
      <c r="A419" s="21" t="s">
        <v>109</v>
      </c>
      <c r="B419" s="22" t="s">
        <v>90</v>
      </c>
      <c r="C419" s="22" t="s">
        <v>92</v>
      </c>
      <c r="D419" s="22">
        <v>3360</v>
      </c>
      <c r="E419" s="22">
        <v>22</v>
      </c>
      <c r="F419" s="21">
        <f t="shared" si="21"/>
        <v>784412.15999999992</v>
      </c>
      <c r="G419" s="21">
        <f t="shared" si="22"/>
        <v>117661.82399999998</v>
      </c>
      <c r="H419" s="21">
        <v>90000</v>
      </c>
      <c r="I419" s="21">
        <v>15000</v>
      </c>
      <c r="J419" s="21">
        <v>15000</v>
      </c>
      <c r="K419" s="26"/>
      <c r="L419" s="21">
        <f>SUM(F419:K419)</f>
        <v>1022073.9839999999</v>
      </c>
      <c r="M419" s="21">
        <v>130761.50707199999</v>
      </c>
      <c r="N419" s="21">
        <v>151997.75615999999</v>
      </c>
      <c r="O419" s="21">
        <v>65341.532927999993</v>
      </c>
      <c r="P419" s="21">
        <f>IF((D419*233.456*3%)&gt;7004,7004,(D419*233.456*3%))</f>
        <v>7004</v>
      </c>
      <c r="Q419" s="21">
        <f t="shared" si="20"/>
        <v>797730.69491199998</v>
      </c>
      <c r="R419" s="21">
        <v>902073.98399999994</v>
      </c>
    </row>
    <row r="420" spans="1:18" ht="15.75" thickBot="1" x14ac:dyDescent="0.3">
      <c r="A420" s="21" t="s">
        <v>109</v>
      </c>
      <c r="B420" s="22" t="s">
        <v>90</v>
      </c>
      <c r="C420" s="22" t="s">
        <v>92</v>
      </c>
      <c r="D420" s="22">
        <v>3080</v>
      </c>
      <c r="E420" s="22">
        <v>21</v>
      </c>
      <c r="F420" s="21">
        <f t="shared" si="21"/>
        <v>719044.48</v>
      </c>
      <c r="G420" s="21">
        <f t="shared" si="22"/>
        <v>107856.67199999999</v>
      </c>
      <c r="H420" s="21">
        <v>90000</v>
      </c>
      <c r="I420" s="21">
        <v>15000</v>
      </c>
      <c r="J420" s="21">
        <v>15000</v>
      </c>
      <c r="K420" s="26"/>
      <c r="L420" s="21">
        <f>SUM(F420:K420)</f>
        <v>946901.152</v>
      </c>
      <c r="M420" s="21">
        <v>119864.71481600001</v>
      </c>
      <c r="N420" s="21">
        <v>133956.27648</v>
      </c>
      <c r="O420" s="21">
        <v>59896.405183999996</v>
      </c>
      <c r="P420" s="21">
        <f>IF((D420*233.456*3%)&gt;7004,7004,(D420*233.456*3%))</f>
        <v>7004</v>
      </c>
      <c r="Q420" s="21">
        <f t="shared" si="20"/>
        <v>746044.47033599997</v>
      </c>
      <c r="R420" s="21">
        <v>826901.152</v>
      </c>
    </row>
    <row r="421" spans="1:18" ht="15.75" thickBot="1" x14ac:dyDescent="0.3">
      <c r="A421" s="21" t="s">
        <v>109</v>
      </c>
      <c r="B421" s="22" t="s">
        <v>90</v>
      </c>
      <c r="C421" s="22" t="s">
        <v>92</v>
      </c>
      <c r="D421" s="22">
        <v>2950</v>
      </c>
      <c r="E421" s="22">
        <v>33</v>
      </c>
      <c r="F421" s="21">
        <f t="shared" si="21"/>
        <v>688695.2</v>
      </c>
      <c r="G421" s="21">
        <f t="shared" si="22"/>
        <v>103304.27999999998</v>
      </c>
      <c r="H421" s="21">
        <v>90000</v>
      </c>
      <c r="I421" s="21">
        <v>15000</v>
      </c>
      <c r="J421" s="21">
        <v>15000</v>
      </c>
      <c r="K421" s="26"/>
      <c r="L421" s="21">
        <f>SUM(F421:K421)</f>
        <v>911999.48</v>
      </c>
      <c r="M421" s="21">
        <v>114805.48984000001</v>
      </c>
      <c r="N421" s="21">
        <v>125819.89079999999</v>
      </c>
      <c r="O421" s="21">
        <v>57368.310159999994</v>
      </c>
      <c r="P421" s="21">
        <f>IF((D421*233.456*3%)&gt;7004,7004,(D421*233.456*3%))</f>
        <v>7004</v>
      </c>
      <c r="Q421" s="21">
        <f t="shared" si="20"/>
        <v>721807.27903999994</v>
      </c>
      <c r="R421" s="21">
        <v>791999.48</v>
      </c>
    </row>
    <row r="422" spans="1:18" ht="15.75" thickBot="1" x14ac:dyDescent="0.3">
      <c r="A422" s="21" t="s">
        <v>109</v>
      </c>
      <c r="B422" s="22" t="s">
        <v>90</v>
      </c>
      <c r="C422" s="22" t="s">
        <v>92</v>
      </c>
      <c r="D422" s="22">
        <v>2845</v>
      </c>
      <c r="E422" s="22">
        <v>32</v>
      </c>
      <c r="F422" s="21">
        <f t="shared" si="21"/>
        <v>664182.31999999995</v>
      </c>
      <c r="G422" s="21">
        <f t="shared" si="22"/>
        <v>99627.347999999984</v>
      </c>
      <c r="H422" s="21">
        <v>90000</v>
      </c>
      <c r="I422" s="21">
        <v>15000</v>
      </c>
      <c r="J422" s="21">
        <v>15000</v>
      </c>
      <c r="K422" s="26"/>
      <c r="L422" s="21">
        <f>SUM(F422:K422)</f>
        <v>883809.66799999995</v>
      </c>
      <c r="M422" s="21">
        <v>110719.192744</v>
      </c>
      <c r="N422" s="21">
        <v>119900.03028000001</v>
      </c>
      <c r="O422" s="21">
        <v>55326.387255999995</v>
      </c>
      <c r="P422" s="21">
        <f>IF((D422*233.456*3%)&gt;7004,7004,(D422*233.456*3%))</f>
        <v>7004</v>
      </c>
      <c r="Q422" s="21">
        <f t="shared" si="20"/>
        <v>701579.25046399992</v>
      </c>
      <c r="R422" s="21">
        <v>763809.66799999995</v>
      </c>
    </row>
    <row r="423" spans="1:18" ht="15.75" thickBot="1" x14ac:dyDescent="0.3">
      <c r="A423" s="21" t="s">
        <v>109</v>
      </c>
      <c r="B423" s="22" t="s">
        <v>90</v>
      </c>
      <c r="C423" s="22" t="s">
        <v>92</v>
      </c>
      <c r="D423" s="22">
        <v>2775</v>
      </c>
      <c r="E423" s="22">
        <v>31</v>
      </c>
      <c r="F423" s="21">
        <f t="shared" si="21"/>
        <v>647840.4</v>
      </c>
      <c r="G423" s="21">
        <f t="shared" si="22"/>
        <v>97176.06</v>
      </c>
      <c r="H423" s="21">
        <v>90000</v>
      </c>
      <c r="I423" s="21">
        <v>15000</v>
      </c>
      <c r="J423" s="21">
        <v>15000</v>
      </c>
      <c r="K423" s="26"/>
      <c r="L423" s="21">
        <f>SUM(F423:K423)</f>
        <v>865016.46</v>
      </c>
      <c r="M423" s="21">
        <v>107994.99468000002</v>
      </c>
      <c r="N423" s="21">
        <v>115953.45659999998</v>
      </c>
      <c r="O423" s="21">
        <v>53965.105320000002</v>
      </c>
      <c r="P423" s="21">
        <f>IF((D423*233.456*3%)&gt;7004,7004,(D423*233.456*3%))</f>
        <v>7004</v>
      </c>
      <c r="Q423" s="21">
        <f t="shared" si="20"/>
        <v>688093.89807999996</v>
      </c>
      <c r="R423" s="21">
        <v>745016.46</v>
      </c>
    </row>
    <row r="424" spans="1:18" ht="15.75" thickBot="1" x14ac:dyDescent="0.3">
      <c r="A424" s="21" t="s">
        <v>109</v>
      </c>
      <c r="B424" s="22" t="s">
        <v>90</v>
      </c>
      <c r="C424" s="22" t="s">
        <v>92</v>
      </c>
      <c r="D424" s="22">
        <v>2685</v>
      </c>
      <c r="E424" s="22">
        <v>44</v>
      </c>
      <c r="F424" s="21">
        <f t="shared" si="21"/>
        <v>626829.36</v>
      </c>
      <c r="G424" s="21">
        <f t="shared" si="22"/>
        <v>94024.403999999995</v>
      </c>
      <c r="H424" s="21">
        <v>90000</v>
      </c>
      <c r="I424" s="21">
        <v>15000</v>
      </c>
      <c r="J424" s="21">
        <v>15000</v>
      </c>
      <c r="K424" s="26"/>
      <c r="L424" s="21">
        <f>SUM(F424:K424)</f>
        <v>840853.76399999997</v>
      </c>
      <c r="M424" s="21">
        <v>104492.454312</v>
      </c>
      <c r="N424" s="21">
        <v>110879.29043999998</v>
      </c>
      <c r="O424" s="21">
        <v>52214.885687999995</v>
      </c>
      <c r="P424" s="21">
        <f>IF((D424*233.456*3%)&gt;7004,7004,(D424*233.456*3%))</f>
        <v>7004</v>
      </c>
      <c r="Q424" s="21">
        <f t="shared" si="20"/>
        <v>670755.58787199995</v>
      </c>
      <c r="R424" s="21">
        <v>720853.76399999997</v>
      </c>
    </row>
    <row r="425" spans="1:18" ht="15.75" thickBot="1" x14ac:dyDescent="0.3">
      <c r="A425" s="21" t="s">
        <v>109</v>
      </c>
      <c r="B425" s="22" t="s">
        <v>90</v>
      </c>
      <c r="C425" s="22" t="s">
        <v>92</v>
      </c>
      <c r="D425" s="22">
        <v>2600</v>
      </c>
      <c r="E425" s="22">
        <v>43</v>
      </c>
      <c r="F425" s="21">
        <f t="shared" si="21"/>
        <v>606985.6</v>
      </c>
      <c r="G425" s="21">
        <f t="shared" si="22"/>
        <v>91047.84</v>
      </c>
      <c r="H425" s="21">
        <v>90000</v>
      </c>
      <c r="I425" s="21">
        <v>15000</v>
      </c>
      <c r="J425" s="21">
        <v>15000</v>
      </c>
      <c r="K425" s="26"/>
      <c r="L425" s="21">
        <f>SUM(F425:K425)</f>
        <v>818033.44</v>
      </c>
      <c r="M425" s="21">
        <v>101184.49952000001</v>
      </c>
      <c r="N425" s="21">
        <v>106087.02239999999</v>
      </c>
      <c r="O425" s="21">
        <v>50561.900479999997</v>
      </c>
      <c r="P425" s="21">
        <f>IF((D425*233.456*3%)&gt;7004,7004,(D425*233.456*3%))</f>
        <v>7004</v>
      </c>
      <c r="Q425" s="21">
        <f t="shared" si="20"/>
        <v>654380.51711999997</v>
      </c>
      <c r="R425" s="21">
        <v>698033.44</v>
      </c>
    </row>
    <row r="426" spans="1:18" ht="15.75" thickBot="1" x14ac:dyDescent="0.3">
      <c r="A426" s="21" t="s">
        <v>109</v>
      </c>
      <c r="B426" s="22" t="s">
        <v>90</v>
      </c>
      <c r="C426" s="22" t="s">
        <v>92</v>
      </c>
      <c r="D426" s="22">
        <v>2510</v>
      </c>
      <c r="E426" s="22">
        <v>42</v>
      </c>
      <c r="F426" s="21">
        <f t="shared" si="21"/>
        <v>585974.55999999994</v>
      </c>
      <c r="G426" s="21">
        <f t="shared" si="22"/>
        <v>87896.183999999994</v>
      </c>
      <c r="H426" s="21">
        <v>90000</v>
      </c>
      <c r="I426" s="21">
        <v>15000</v>
      </c>
      <c r="J426" s="21">
        <v>15000</v>
      </c>
      <c r="K426" s="26"/>
      <c r="L426" s="21">
        <f>SUM(F426:K426)</f>
        <v>793870.74399999995</v>
      </c>
      <c r="M426" s="21">
        <v>97681.959151999996</v>
      </c>
      <c r="N426" s="21">
        <v>101012.85623999998</v>
      </c>
      <c r="O426" s="21">
        <v>48811.680847999996</v>
      </c>
      <c r="P426" s="21">
        <f>IF((D426*233.456*3%)&gt;7004,7004,(D426*233.456*3%))</f>
        <v>7004</v>
      </c>
      <c r="Q426" s="21">
        <f t="shared" si="20"/>
        <v>637042.20691199997</v>
      </c>
      <c r="R426" s="21">
        <v>673870.74399999995</v>
      </c>
    </row>
    <row r="427" spans="1:18" ht="15.75" thickBot="1" x14ac:dyDescent="0.3">
      <c r="A427" s="21" t="s">
        <v>109</v>
      </c>
      <c r="B427" s="22" t="s">
        <v>90</v>
      </c>
      <c r="C427" s="22" t="s">
        <v>92</v>
      </c>
      <c r="D427" s="22">
        <v>2455</v>
      </c>
      <c r="E427" s="22">
        <v>41</v>
      </c>
      <c r="F427" s="21">
        <f t="shared" si="21"/>
        <v>573134.48</v>
      </c>
      <c r="G427" s="21">
        <f t="shared" si="22"/>
        <v>85970.171999999991</v>
      </c>
      <c r="H427" s="21">
        <v>90000</v>
      </c>
      <c r="I427" s="21">
        <v>15000</v>
      </c>
      <c r="J427" s="21">
        <v>15000</v>
      </c>
      <c r="K427" s="26"/>
      <c r="L427" s="21">
        <f>SUM(F427:K427)</f>
        <v>779104.652</v>
      </c>
      <c r="M427" s="21">
        <v>95541.517816000007</v>
      </c>
      <c r="N427" s="21">
        <v>97911.976920000001</v>
      </c>
      <c r="O427" s="21">
        <v>47742.102183999996</v>
      </c>
      <c r="P427" s="21">
        <f>IF((D427*233.456*3%)&gt;7004,7004,(D427*233.456*3%))</f>
        <v>7004</v>
      </c>
      <c r="Q427" s="21">
        <f t="shared" si="20"/>
        <v>626446.572896</v>
      </c>
      <c r="R427" s="21">
        <v>659104.652</v>
      </c>
    </row>
    <row r="428" spans="1:18" ht="15.75" thickBot="1" x14ac:dyDescent="0.3">
      <c r="A428" s="21" t="s">
        <v>109</v>
      </c>
      <c r="B428" s="22" t="s">
        <v>90</v>
      </c>
      <c r="C428" s="22" t="s">
        <v>93</v>
      </c>
      <c r="D428" s="22">
        <v>2785</v>
      </c>
      <c r="E428" s="22">
        <v>23</v>
      </c>
      <c r="F428" s="21">
        <f t="shared" si="21"/>
        <v>650174.96</v>
      </c>
      <c r="G428" s="21">
        <f t="shared" si="22"/>
        <v>97526.243999999992</v>
      </c>
      <c r="H428" s="21">
        <v>90000</v>
      </c>
      <c r="I428" s="21">
        <v>15000</v>
      </c>
      <c r="J428" s="21">
        <v>15000</v>
      </c>
      <c r="K428" s="26"/>
      <c r="L428" s="21">
        <f>SUM(F428:K428)</f>
        <v>867701.20399999991</v>
      </c>
      <c r="M428" s="21">
        <v>108384.165832</v>
      </c>
      <c r="N428" s="21">
        <v>116517.25283999997</v>
      </c>
      <c r="O428" s="21">
        <v>54159.574167999999</v>
      </c>
      <c r="P428" s="21">
        <f>IF((D428*233.456*3%)&gt;7004,7004,(D428*233.456*3%))</f>
        <v>7004</v>
      </c>
      <c r="Q428" s="21">
        <f t="shared" ref="Q428:Q488" si="23">L428-SUM(N428:P428)</f>
        <v>690020.37699199992</v>
      </c>
      <c r="R428" s="21">
        <v>747701.20399999991</v>
      </c>
    </row>
    <row r="429" spans="1:18" ht="15.75" thickBot="1" x14ac:dyDescent="0.3">
      <c r="A429" s="21" t="s">
        <v>109</v>
      </c>
      <c r="B429" s="22" t="s">
        <v>90</v>
      </c>
      <c r="C429" s="22" t="s">
        <v>93</v>
      </c>
      <c r="D429" s="22">
        <v>2610</v>
      </c>
      <c r="E429" s="22">
        <v>22</v>
      </c>
      <c r="F429" s="21">
        <f t="shared" si="21"/>
        <v>609320.15999999992</v>
      </c>
      <c r="G429" s="21">
        <f t="shared" si="22"/>
        <v>91398.02399999999</v>
      </c>
      <c r="H429" s="21">
        <v>90000</v>
      </c>
      <c r="I429" s="21">
        <v>15000</v>
      </c>
      <c r="J429" s="21">
        <v>15000</v>
      </c>
      <c r="K429" s="26"/>
      <c r="L429" s="21">
        <f>SUM(F429:K429)</f>
        <v>820718.18399999989</v>
      </c>
      <c r="M429" s="21">
        <v>101573.67067199999</v>
      </c>
      <c r="N429" s="21">
        <v>106650.81863999997</v>
      </c>
      <c r="O429" s="21">
        <v>50756.369327999993</v>
      </c>
      <c r="P429" s="21">
        <f>IF((D429*233.456*3%)&gt;7004,7004,(D429*233.456*3%))</f>
        <v>7004</v>
      </c>
      <c r="Q429" s="21">
        <f t="shared" si="23"/>
        <v>656306.99603199994</v>
      </c>
      <c r="R429" s="21">
        <v>700718.18399999989</v>
      </c>
    </row>
    <row r="430" spans="1:18" ht="15.75" thickBot="1" x14ac:dyDescent="0.3">
      <c r="A430" s="21" t="s">
        <v>109</v>
      </c>
      <c r="B430" s="22" t="s">
        <v>90</v>
      </c>
      <c r="C430" s="22" t="s">
        <v>93</v>
      </c>
      <c r="D430" s="22">
        <v>2470</v>
      </c>
      <c r="E430" s="22">
        <v>21</v>
      </c>
      <c r="F430" s="21">
        <f t="shared" si="21"/>
        <v>576636.31999999995</v>
      </c>
      <c r="G430" s="21">
        <f t="shared" si="22"/>
        <v>86495.447999999989</v>
      </c>
      <c r="H430" s="21">
        <v>90000</v>
      </c>
      <c r="I430" s="21">
        <v>15000</v>
      </c>
      <c r="J430" s="21">
        <v>15000</v>
      </c>
      <c r="K430" s="26"/>
      <c r="L430" s="21">
        <f>SUM(F430:K430)</f>
        <v>783131.76799999992</v>
      </c>
      <c r="M430" s="21">
        <v>96125.274544</v>
      </c>
      <c r="N430" s="21">
        <v>98757.67127999998</v>
      </c>
      <c r="O430" s="21">
        <v>48033.805455999995</v>
      </c>
      <c r="P430" s="21">
        <f>IF((D430*233.456*3%)&gt;7004,7004,(D430*233.456*3%))</f>
        <v>7004</v>
      </c>
      <c r="Q430" s="21">
        <f t="shared" si="23"/>
        <v>629336.29126399988</v>
      </c>
      <c r="R430" s="21">
        <v>663131.76799999992</v>
      </c>
    </row>
    <row r="431" spans="1:18" ht="15.75" thickBot="1" x14ac:dyDescent="0.3">
      <c r="A431" s="21" t="s">
        <v>109</v>
      </c>
      <c r="B431" s="22" t="s">
        <v>90</v>
      </c>
      <c r="C431" s="22" t="s">
        <v>93</v>
      </c>
      <c r="D431" s="22">
        <v>2315</v>
      </c>
      <c r="E431" s="22">
        <v>33</v>
      </c>
      <c r="F431" s="21">
        <f t="shared" si="21"/>
        <v>540450.64</v>
      </c>
      <c r="G431" s="21">
        <f t="shared" si="22"/>
        <v>81067.596000000005</v>
      </c>
      <c r="H431" s="21">
        <v>90000</v>
      </c>
      <c r="I431" s="21">
        <v>15000</v>
      </c>
      <c r="J431" s="21">
        <v>15000</v>
      </c>
      <c r="K431" s="26"/>
      <c r="L431" s="21">
        <f>SUM(F431:K431)</f>
        <v>741518.23600000003</v>
      </c>
      <c r="M431" s="21">
        <v>90093.121688000014</v>
      </c>
      <c r="N431" s="21">
        <v>90018.829559999998</v>
      </c>
      <c r="O431" s="21">
        <v>45019.538312000004</v>
      </c>
      <c r="P431" s="21">
        <f>IF((D431*233.456*3%)&gt;7004,7004,(D431*233.456*3%))</f>
        <v>7004</v>
      </c>
      <c r="Q431" s="21">
        <f t="shared" si="23"/>
        <v>599475.86812800006</v>
      </c>
      <c r="R431" s="21">
        <v>621518.23600000003</v>
      </c>
    </row>
    <row r="432" spans="1:18" ht="15.75" thickBot="1" x14ac:dyDescent="0.3">
      <c r="A432" s="21" t="s">
        <v>109</v>
      </c>
      <c r="B432" s="22" t="s">
        <v>90</v>
      </c>
      <c r="C432" s="22" t="s">
        <v>93</v>
      </c>
      <c r="D432" s="22">
        <v>2175</v>
      </c>
      <c r="E432" s="22">
        <v>32</v>
      </c>
      <c r="F432" s="21">
        <f t="shared" si="21"/>
        <v>507766.8</v>
      </c>
      <c r="G432" s="21">
        <f t="shared" si="22"/>
        <v>76165.01999999999</v>
      </c>
      <c r="H432" s="21">
        <v>90000</v>
      </c>
      <c r="I432" s="21">
        <v>15000</v>
      </c>
      <c r="J432" s="21">
        <v>15000</v>
      </c>
      <c r="K432" s="26"/>
      <c r="L432" s="21">
        <f>SUM(F432:K432)</f>
        <v>703931.82</v>
      </c>
      <c r="M432" s="21">
        <v>84644.725560000006</v>
      </c>
      <c r="N432" s="21">
        <v>82125.682199999981</v>
      </c>
      <c r="O432" s="21">
        <v>42296.974439999998</v>
      </c>
      <c r="P432" s="21">
        <f>IF((D432*233.456*3%)&gt;7004,7004,(D432*233.456*3%))</f>
        <v>7004</v>
      </c>
      <c r="Q432" s="21">
        <f t="shared" si="23"/>
        <v>572505.16336000001</v>
      </c>
      <c r="R432" s="21">
        <v>583931.81999999995</v>
      </c>
    </row>
    <row r="433" spans="1:18" ht="15.75" thickBot="1" x14ac:dyDescent="0.3">
      <c r="A433" s="21" t="s">
        <v>109</v>
      </c>
      <c r="B433" s="22" t="s">
        <v>90</v>
      </c>
      <c r="C433" s="22" t="s">
        <v>93</v>
      </c>
      <c r="D433" s="22">
        <v>2095</v>
      </c>
      <c r="E433" s="22">
        <v>31</v>
      </c>
      <c r="F433" s="21">
        <f t="shared" si="21"/>
        <v>489090.31999999995</v>
      </c>
      <c r="G433" s="21">
        <f t="shared" si="22"/>
        <v>73363.547999999995</v>
      </c>
      <c r="H433" s="21">
        <v>90000</v>
      </c>
      <c r="I433" s="21">
        <v>15000</v>
      </c>
      <c r="J433" s="21">
        <v>15000</v>
      </c>
      <c r="K433" s="26"/>
      <c r="L433" s="21">
        <f>SUM(F433:K433)</f>
        <v>682453.8679999999</v>
      </c>
      <c r="M433" s="21">
        <v>81531.356344</v>
      </c>
      <c r="N433" s="21">
        <v>77615.312279999984</v>
      </c>
      <c r="O433" s="21">
        <v>40741.223655999995</v>
      </c>
      <c r="P433" s="21">
        <f>IF((D433*233.456*3%)&gt;7004,7004,(D433*233.456*3%))</f>
        <v>7004</v>
      </c>
      <c r="Q433" s="21">
        <f t="shared" si="23"/>
        <v>557093.33206399996</v>
      </c>
      <c r="R433" s="21">
        <v>562453.8679999999</v>
      </c>
    </row>
    <row r="434" spans="1:18" ht="15.75" thickBot="1" x14ac:dyDescent="0.3">
      <c r="A434" s="21" t="s">
        <v>109</v>
      </c>
      <c r="B434" s="22" t="s">
        <v>90</v>
      </c>
      <c r="C434" s="22" t="s">
        <v>93</v>
      </c>
      <c r="D434" s="22">
        <v>1975</v>
      </c>
      <c r="E434" s="22">
        <v>44</v>
      </c>
      <c r="F434" s="21">
        <f t="shared" si="21"/>
        <v>461075.6</v>
      </c>
      <c r="G434" s="21">
        <f t="shared" si="22"/>
        <v>69161.34</v>
      </c>
      <c r="H434" s="21">
        <v>90000</v>
      </c>
      <c r="I434" s="21">
        <v>15000</v>
      </c>
      <c r="J434" s="21">
        <v>15000</v>
      </c>
      <c r="K434" s="26"/>
      <c r="L434" s="21">
        <f>SUM(F434:K434)</f>
        <v>650236.93999999994</v>
      </c>
      <c r="M434" s="21">
        <v>76861.302519999997</v>
      </c>
      <c r="N434" s="21">
        <v>70849.757399999988</v>
      </c>
      <c r="O434" s="21">
        <v>38407.597479999997</v>
      </c>
      <c r="P434" s="21">
        <f>IF((D434*233.456*3%)&gt;7004,7004,(D434*233.456*3%))</f>
        <v>7004</v>
      </c>
      <c r="Q434" s="21">
        <f t="shared" si="23"/>
        <v>533975.58511999995</v>
      </c>
      <c r="R434" s="21">
        <v>530236.93999999994</v>
      </c>
    </row>
    <row r="435" spans="1:18" ht="15.75" thickBot="1" x14ac:dyDescent="0.3">
      <c r="A435" s="21" t="s">
        <v>109</v>
      </c>
      <c r="B435" s="22" t="s">
        <v>90</v>
      </c>
      <c r="C435" s="22" t="s">
        <v>93</v>
      </c>
      <c r="D435" s="22">
        <v>1870</v>
      </c>
      <c r="E435" s="22">
        <v>43</v>
      </c>
      <c r="F435" s="21">
        <f t="shared" si="21"/>
        <v>436562.72</v>
      </c>
      <c r="G435" s="21">
        <f t="shared" si="22"/>
        <v>65484.407999999996</v>
      </c>
      <c r="H435" s="21">
        <v>90000</v>
      </c>
      <c r="I435" s="21">
        <v>15000</v>
      </c>
      <c r="J435" s="21">
        <v>15000</v>
      </c>
      <c r="K435" s="26"/>
      <c r="L435" s="21">
        <f>SUM(F435:K435)</f>
        <v>622047.12800000003</v>
      </c>
      <c r="M435" s="21">
        <v>72775.005424000003</v>
      </c>
      <c r="N435" s="21">
        <v>64929.896879999986</v>
      </c>
      <c r="O435" s="21">
        <v>36365.674575999998</v>
      </c>
      <c r="P435" s="21">
        <f>IF((D435*233.456*3%)&gt;7004,7004,(D435*233.456*3%))</f>
        <v>7004</v>
      </c>
      <c r="Q435" s="21">
        <f t="shared" si="23"/>
        <v>513747.55654400005</v>
      </c>
      <c r="R435" s="21">
        <v>502047.12799999997</v>
      </c>
    </row>
    <row r="436" spans="1:18" ht="15.75" thickBot="1" x14ac:dyDescent="0.3">
      <c r="A436" s="21" t="s">
        <v>109</v>
      </c>
      <c r="B436" s="22" t="s">
        <v>90</v>
      </c>
      <c r="C436" s="22" t="s">
        <v>93</v>
      </c>
      <c r="D436" s="22">
        <v>1785</v>
      </c>
      <c r="E436" s="22">
        <v>42</v>
      </c>
      <c r="F436" s="21">
        <f t="shared" si="21"/>
        <v>416718.95999999996</v>
      </c>
      <c r="G436" s="21">
        <f t="shared" si="22"/>
        <v>62507.84399999999</v>
      </c>
      <c r="H436" s="21">
        <v>90000</v>
      </c>
      <c r="I436" s="21">
        <v>15000</v>
      </c>
      <c r="J436" s="21">
        <v>15000</v>
      </c>
      <c r="K436" s="26"/>
      <c r="L436" s="21">
        <f>SUM(F436:K436)</f>
        <v>599226.804</v>
      </c>
      <c r="M436" s="21">
        <v>69467.050631999999</v>
      </c>
      <c r="N436" s="21">
        <v>60137.62883999999</v>
      </c>
      <c r="O436" s="21">
        <v>34712.689367999999</v>
      </c>
      <c r="P436" s="21">
        <f>IF((D436*233.456*3%)&gt;7004,7004,(D436*233.456*3%))</f>
        <v>7004</v>
      </c>
      <c r="Q436" s="21">
        <f t="shared" si="23"/>
        <v>497372.48579200002</v>
      </c>
      <c r="R436" s="21">
        <v>479226.80399999995</v>
      </c>
    </row>
    <row r="437" spans="1:18" ht="15" customHeight="1" thickBot="1" x14ac:dyDescent="0.3">
      <c r="A437" s="21" t="s">
        <v>109</v>
      </c>
      <c r="B437" s="22" t="s">
        <v>90</v>
      </c>
      <c r="C437" s="22" t="s">
        <v>93</v>
      </c>
      <c r="D437" s="22">
        <v>1710</v>
      </c>
      <c r="E437" s="22">
        <v>41</v>
      </c>
      <c r="F437" s="21">
        <f t="shared" si="21"/>
        <v>399209.76</v>
      </c>
      <c r="G437" s="21">
        <f t="shared" si="22"/>
        <v>59881.464</v>
      </c>
      <c r="H437" s="21">
        <v>90000</v>
      </c>
      <c r="I437" s="21">
        <v>15000</v>
      </c>
      <c r="J437" s="21">
        <v>15000</v>
      </c>
      <c r="K437" s="26"/>
      <c r="L437" s="21">
        <f>SUM(F437:K437)</f>
        <v>579091.22399999993</v>
      </c>
      <c r="M437" s="21">
        <v>66548.266992000004</v>
      </c>
      <c r="N437" s="21">
        <v>55909.157039999991</v>
      </c>
      <c r="O437" s="21">
        <v>33254.173007999998</v>
      </c>
      <c r="P437" s="21">
        <f>IF((D437*233.456*3%)&gt;7004,7004,(D437*233.456*3%))</f>
        <v>7004</v>
      </c>
      <c r="Q437" s="21">
        <f t="shared" si="23"/>
        <v>482923.89395199995</v>
      </c>
      <c r="R437" s="21">
        <v>459091.22399999999</v>
      </c>
    </row>
    <row r="438" spans="1:18" ht="15.75" thickBot="1" x14ac:dyDescent="0.3">
      <c r="A438" s="21" t="s">
        <v>109</v>
      </c>
      <c r="B438" s="22" t="s">
        <v>90</v>
      </c>
      <c r="C438" s="22" t="s">
        <v>94</v>
      </c>
      <c r="D438" s="22">
        <v>2680</v>
      </c>
      <c r="E438" s="22">
        <v>13</v>
      </c>
      <c r="F438" s="21">
        <f t="shared" si="21"/>
        <v>625662.07999999996</v>
      </c>
      <c r="G438" s="21">
        <f t="shared" si="22"/>
        <v>93849.311999999991</v>
      </c>
      <c r="H438" s="21">
        <v>70000</v>
      </c>
      <c r="I438" s="21">
        <v>15000</v>
      </c>
      <c r="J438" s="21">
        <v>15000</v>
      </c>
      <c r="K438" s="26"/>
      <c r="L438" s="21">
        <f>SUM(F438:K438)</f>
        <v>819511.39199999999</v>
      </c>
      <c r="M438" s="21">
        <v>104297.868736</v>
      </c>
      <c r="N438" s="21">
        <v>110597.39232</v>
      </c>
      <c r="O438" s="21">
        <v>52117.651263999993</v>
      </c>
      <c r="P438" s="21">
        <f>IF((D438*233.456*3%)&gt;7004,7004,(D438*233.456*3%))</f>
        <v>7004</v>
      </c>
      <c r="Q438" s="21">
        <f t="shared" si="23"/>
        <v>649792.34841600002</v>
      </c>
      <c r="R438" s="21">
        <v>719511.39199999999</v>
      </c>
    </row>
    <row r="439" spans="1:18" ht="15.75" thickBot="1" x14ac:dyDescent="0.3">
      <c r="A439" s="21" t="s">
        <v>109</v>
      </c>
      <c r="B439" s="22" t="s">
        <v>90</v>
      </c>
      <c r="C439" s="22" t="s">
        <v>94</v>
      </c>
      <c r="D439" s="22">
        <v>2630</v>
      </c>
      <c r="E439" s="22">
        <v>12</v>
      </c>
      <c r="F439" s="21">
        <f t="shared" si="21"/>
        <v>613989.28</v>
      </c>
      <c r="G439" s="21">
        <f t="shared" si="22"/>
        <v>92098.392000000007</v>
      </c>
      <c r="H439" s="21">
        <v>70000</v>
      </c>
      <c r="I439" s="21">
        <v>15000</v>
      </c>
      <c r="J439" s="21">
        <v>15000</v>
      </c>
      <c r="K439" s="26"/>
      <c r="L439" s="21">
        <f>SUM(F439:K439)</f>
        <v>806087.67200000002</v>
      </c>
      <c r="M439" s="21">
        <v>102352.01297600001</v>
      </c>
      <c r="N439" s="21">
        <v>107778.41112</v>
      </c>
      <c r="O439" s="21">
        <v>51145.307024000002</v>
      </c>
      <c r="P439" s="21">
        <f>IF((D439*233.456*3%)&gt;7004,7004,(D439*233.456*3%))</f>
        <v>7004</v>
      </c>
      <c r="Q439" s="21">
        <f t="shared" si="23"/>
        <v>640159.95385599998</v>
      </c>
      <c r="R439" s="21">
        <v>706087.67200000002</v>
      </c>
    </row>
    <row r="440" spans="1:18" ht="15.75" thickBot="1" x14ac:dyDescent="0.3">
      <c r="A440" s="21" t="s">
        <v>109</v>
      </c>
      <c r="B440" s="22" t="s">
        <v>90</v>
      </c>
      <c r="C440" s="22" t="s">
        <v>94</v>
      </c>
      <c r="D440" s="22">
        <v>2565</v>
      </c>
      <c r="E440" s="22">
        <v>11</v>
      </c>
      <c r="F440" s="21">
        <f t="shared" si="21"/>
        <v>598814.64</v>
      </c>
      <c r="G440" s="21">
        <f t="shared" si="22"/>
        <v>89822.195999999996</v>
      </c>
      <c r="H440" s="21">
        <v>70000</v>
      </c>
      <c r="I440" s="21">
        <v>15000</v>
      </c>
      <c r="J440" s="21">
        <v>15000</v>
      </c>
      <c r="K440" s="26"/>
      <c r="L440" s="21">
        <f>SUM(F440:K440)</f>
        <v>788636.83600000001</v>
      </c>
      <c r="M440" s="21">
        <v>99822.400488000014</v>
      </c>
      <c r="N440" s="21">
        <v>104113.73556</v>
      </c>
      <c r="O440" s="21">
        <v>49881.259512000004</v>
      </c>
      <c r="P440" s="21">
        <f>IF((D440*233.456*3%)&gt;7004,7004,(D440*233.456*3%))</f>
        <v>7004</v>
      </c>
      <c r="Q440" s="21">
        <f t="shared" si="23"/>
        <v>627637.84092799993</v>
      </c>
      <c r="R440" s="21">
        <v>688636.83600000001</v>
      </c>
    </row>
    <row r="441" spans="1:18" ht="15.75" thickBot="1" x14ac:dyDescent="0.3">
      <c r="A441" s="21" t="s">
        <v>109</v>
      </c>
      <c r="B441" s="22" t="s">
        <v>90</v>
      </c>
      <c r="C441" s="22" t="s">
        <v>94</v>
      </c>
      <c r="D441" s="22">
        <v>2460</v>
      </c>
      <c r="E441" s="22">
        <v>23</v>
      </c>
      <c r="F441" s="21">
        <f t="shared" si="21"/>
        <v>574301.76</v>
      </c>
      <c r="G441" s="21">
        <f t="shared" si="22"/>
        <v>86145.263999999996</v>
      </c>
      <c r="H441" s="21">
        <v>70000</v>
      </c>
      <c r="I441" s="21">
        <v>15000</v>
      </c>
      <c r="J441" s="21">
        <v>15000</v>
      </c>
      <c r="K441" s="26"/>
      <c r="L441" s="21">
        <f>SUM(F441:K441)</f>
        <v>760447.02399999998</v>
      </c>
      <c r="M441" s="21">
        <v>95736.103392000005</v>
      </c>
      <c r="N441" s="21">
        <v>98193.875039999984</v>
      </c>
      <c r="O441" s="21">
        <v>47839.336607999998</v>
      </c>
      <c r="P441" s="21">
        <f>IF((D441*233.456*3%)&gt;7004,7004,(D441*233.456*3%))</f>
        <v>7004</v>
      </c>
      <c r="Q441" s="21">
        <f t="shared" si="23"/>
        <v>607409.81235200004</v>
      </c>
      <c r="R441" s="21">
        <v>660447.02399999998</v>
      </c>
    </row>
    <row r="442" spans="1:18" ht="15.75" thickBot="1" x14ac:dyDescent="0.3">
      <c r="A442" s="21" t="s">
        <v>109</v>
      </c>
      <c r="B442" s="22" t="s">
        <v>90</v>
      </c>
      <c r="C442" s="22" t="s">
        <v>94</v>
      </c>
      <c r="D442" s="22">
        <v>2300</v>
      </c>
      <c r="E442" s="22">
        <v>22</v>
      </c>
      <c r="F442" s="21">
        <f t="shared" si="21"/>
        <v>536948.79999999993</v>
      </c>
      <c r="G442" s="21">
        <f t="shared" si="22"/>
        <v>80542.319999999992</v>
      </c>
      <c r="H442" s="21">
        <v>70000</v>
      </c>
      <c r="I442" s="21">
        <v>15000</v>
      </c>
      <c r="J442" s="21">
        <v>15000</v>
      </c>
      <c r="K442" s="26"/>
      <c r="L442" s="21">
        <f>SUM(F442:K442)</f>
        <v>717491.11999999988</v>
      </c>
      <c r="M442" s="21">
        <v>89509.364959999992</v>
      </c>
      <c r="N442" s="21">
        <v>89173.135199999975</v>
      </c>
      <c r="O442" s="21">
        <v>44727.835039999991</v>
      </c>
      <c r="P442" s="21">
        <f>IF((D442*233.456*3%)&gt;7004,7004,(D442*233.456*3%))</f>
        <v>7004</v>
      </c>
      <c r="Q442" s="21">
        <f t="shared" si="23"/>
        <v>576586.14975999994</v>
      </c>
      <c r="R442" s="21">
        <v>617491.11999999988</v>
      </c>
    </row>
    <row r="443" spans="1:18" ht="15.75" thickBot="1" x14ac:dyDescent="0.3">
      <c r="A443" s="21" t="s">
        <v>109</v>
      </c>
      <c r="B443" s="22" t="s">
        <v>90</v>
      </c>
      <c r="C443" s="22" t="s">
        <v>94</v>
      </c>
      <c r="D443" s="22">
        <v>2155</v>
      </c>
      <c r="E443" s="22">
        <v>21</v>
      </c>
      <c r="F443" s="21">
        <f t="shared" si="21"/>
        <v>503097.68</v>
      </c>
      <c r="G443" s="21">
        <f t="shared" si="22"/>
        <v>75464.652000000002</v>
      </c>
      <c r="H443" s="21">
        <v>70000</v>
      </c>
      <c r="I443" s="21">
        <v>20000</v>
      </c>
      <c r="J443" s="21">
        <v>15000</v>
      </c>
      <c r="K443" s="26"/>
      <c r="L443" s="21">
        <f>SUM(F443:K443)</f>
        <v>683562.33199999994</v>
      </c>
      <c r="M443" s="21">
        <v>83866.383256000001</v>
      </c>
      <c r="N443" s="21">
        <v>80998.089719999989</v>
      </c>
      <c r="O443" s="21">
        <v>41908.036743999997</v>
      </c>
      <c r="P443" s="21">
        <f>IF((D443*233.456*3%)&gt;7004,7004,(D443*233.456*3%))</f>
        <v>7004</v>
      </c>
      <c r="Q443" s="21">
        <f t="shared" si="23"/>
        <v>553652.20553599996</v>
      </c>
      <c r="R443" s="21">
        <v>578562.33199999994</v>
      </c>
    </row>
    <row r="444" spans="1:18" ht="15.75" thickBot="1" x14ac:dyDescent="0.3">
      <c r="A444" s="21" t="s">
        <v>109</v>
      </c>
      <c r="B444" s="22" t="s">
        <v>90</v>
      </c>
      <c r="C444" s="22" t="s">
        <v>94</v>
      </c>
      <c r="D444" s="22">
        <v>2005</v>
      </c>
      <c r="E444" s="22">
        <v>33</v>
      </c>
      <c r="F444" s="21">
        <f t="shared" si="21"/>
        <v>468079.27999999997</v>
      </c>
      <c r="G444" s="21">
        <f t="shared" si="22"/>
        <v>70211.891999999993</v>
      </c>
      <c r="H444" s="21">
        <v>70000</v>
      </c>
      <c r="I444" s="21">
        <v>15000</v>
      </c>
      <c r="J444" s="21">
        <v>15000</v>
      </c>
      <c r="K444" s="26"/>
      <c r="L444" s="21">
        <f>SUM(F444:K444)</f>
        <v>638291.17200000002</v>
      </c>
      <c r="M444" s="21">
        <v>78028.815975999998</v>
      </c>
      <c r="N444" s="21">
        <v>72541.146120000005</v>
      </c>
      <c r="O444" s="21">
        <v>38991.004023999994</v>
      </c>
      <c r="P444" s="21">
        <f>IF((D444*233.456*3%)&gt;7004,7004,(D444*233.456*3%))</f>
        <v>7004</v>
      </c>
      <c r="Q444" s="21">
        <f t="shared" si="23"/>
        <v>519755.02185600001</v>
      </c>
      <c r="R444" s="21">
        <v>538291.17200000002</v>
      </c>
    </row>
    <row r="445" spans="1:18" ht="15.75" thickBot="1" x14ac:dyDescent="0.3">
      <c r="A445" s="21" t="s">
        <v>109</v>
      </c>
      <c r="B445" s="22" t="s">
        <v>90</v>
      </c>
      <c r="C445" s="22" t="s">
        <v>94</v>
      </c>
      <c r="D445" s="22">
        <v>1855</v>
      </c>
      <c r="E445" s="22">
        <v>32</v>
      </c>
      <c r="F445" s="21">
        <f t="shared" si="21"/>
        <v>433060.88</v>
      </c>
      <c r="G445" s="21">
        <f t="shared" si="22"/>
        <v>64959.131999999998</v>
      </c>
      <c r="H445" s="21">
        <v>70000</v>
      </c>
      <c r="I445" s="21">
        <v>15000</v>
      </c>
      <c r="J445" s="21">
        <v>15000</v>
      </c>
      <c r="K445" s="26"/>
      <c r="L445" s="21">
        <f>SUM(F445:K445)</f>
        <v>598020.01199999999</v>
      </c>
      <c r="M445" s="21">
        <v>72191.24869600001</v>
      </c>
      <c r="N445" s="21">
        <v>64084.202519999992</v>
      </c>
      <c r="O445" s="21">
        <v>36073.971303999999</v>
      </c>
      <c r="P445" s="21">
        <f>IF((D445*233.456*3%)&gt;7004,7004,(D445*233.456*3%))</f>
        <v>7004</v>
      </c>
      <c r="Q445" s="21">
        <f t="shared" si="23"/>
        <v>490857.83817599999</v>
      </c>
      <c r="R445" s="21">
        <v>498020.01199999999</v>
      </c>
    </row>
    <row r="446" spans="1:18" ht="15.75" thickBot="1" x14ac:dyDescent="0.3">
      <c r="A446" s="21" t="s">
        <v>109</v>
      </c>
      <c r="B446" s="22" t="s">
        <v>90</v>
      </c>
      <c r="C446" s="22" t="s">
        <v>94</v>
      </c>
      <c r="D446" s="22">
        <v>1760</v>
      </c>
      <c r="E446" s="22">
        <v>31</v>
      </c>
      <c r="F446" s="21">
        <f t="shared" si="21"/>
        <v>410882.56</v>
      </c>
      <c r="G446" s="21">
        <f t="shared" si="22"/>
        <v>61632.383999999998</v>
      </c>
      <c r="H446" s="21">
        <v>70000</v>
      </c>
      <c r="I446" s="21">
        <v>15000</v>
      </c>
      <c r="J446" s="21">
        <v>15000</v>
      </c>
      <c r="K446" s="26"/>
      <c r="L446" s="21">
        <f>SUM(F446:K446)</f>
        <v>572514.94400000002</v>
      </c>
      <c r="M446" s="21">
        <v>68494.12275200001</v>
      </c>
      <c r="N446" s="21">
        <v>58728.13824</v>
      </c>
      <c r="O446" s="21">
        <v>34226.517247999996</v>
      </c>
      <c r="P446" s="21">
        <f>IF((D446*233.456*3%)&gt;7004,7004,(D446*233.456*3%))</f>
        <v>7004</v>
      </c>
      <c r="Q446" s="21">
        <f t="shared" si="23"/>
        <v>472556.288512</v>
      </c>
      <c r="R446" s="21">
        <v>472514.94400000002</v>
      </c>
    </row>
    <row r="447" spans="1:18" ht="15.75" thickBot="1" x14ac:dyDescent="0.3">
      <c r="A447" s="21" t="s">
        <v>109</v>
      </c>
      <c r="B447" s="22" t="s">
        <v>90</v>
      </c>
      <c r="C447" s="22" t="s">
        <v>94</v>
      </c>
      <c r="D447" s="22">
        <v>1645</v>
      </c>
      <c r="E447" s="22">
        <v>44</v>
      </c>
      <c r="F447" s="21">
        <f t="shared" si="21"/>
        <v>384035.12</v>
      </c>
      <c r="G447" s="21">
        <f t="shared" si="22"/>
        <v>57605.267999999996</v>
      </c>
      <c r="H447" s="21">
        <v>70000</v>
      </c>
      <c r="I447" s="21">
        <v>15000</v>
      </c>
      <c r="J447" s="21">
        <v>15000</v>
      </c>
      <c r="K447" s="26"/>
      <c r="L447" s="21">
        <f>SUM(F447:K447)</f>
        <v>541640.38800000004</v>
      </c>
      <c r="M447" s="21">
        <v>64018.654504000006</v>
      </c>
      <c r="N447" s="21">
        <v>52244.481479999988</v>
      </c>
      <c r="O447" s="21">
        <v>31990.125496000001</v>
      </c>
      <c r="P447" s="21">
        <f>IF((D447*233.456*3%)&gt;7004,7004,(D447*233.456*3%))</f>
        <v>7004</v>
      </c>
      <c r="Q447" s="21">
        <f t="shared" si="23"/>
        <v>450401.78102400003</v>
      </c>
      <c r="R447" s="21">
        <v>441640.38799999998</v>
      </c>
    </row>
    <row r="448" spans="1:18" ht="15.75" thickBot="1" x14ac:dyDescent="0.3">
      <c r="A448" s="21" t="s">
        <v>109</v>
      </c>
      <c r="B448" s="22" t="s">
        <v>90</v>
      </c>
      <c r="C448" s="22" t="s">
        <v>94</v>
      </c>
      <c r="D448" s="22">
        <v>1515</v>
      </c>
      <c r="E448" s="22">
        <v>43</v>
      </c>
      <c r="F448" s="21">
        <f t="shared" si="21"/>
        <v>353685.83999999997</v>
      </c>
      <c r="G448" s="21">
        <f t="shared" si="22"/>
        <v>53052.875999999997</v>
      </c>
      <c r="H448" s="21">
        <v>70000</v>
      </c>
      <c r="I448" s="21">
        <v>15000</v>
      </c>
      <c r="J448" s="21">
        <v>15000</v>
      </c>
      <c r="K448" s="26"/>
      <c r="L448" s="21">
        <f>SUM(F448:K448)</f>
        <v>506738.71599999996</v>
      </c>
      <c r="M448" s="21">
        <v>58959.429528000001</v>
      </c>
      <c r="N448" s="21">
        <v>44915.130359999988</v>
      </c>
      <c r="O448" s="21">
        <v>29462.030471999999</v>
      </c>
      <c r="P448" s="21">
        <f>IF((D448*233.456*3%)&gt;7004,7004,(D448*233.456*3%))</f>
        <v>7004</v>
      </c>
      <c r="Q448" s="21">
        <f t="shared" si="23"/>
        <v>425357.55516799993</v>
      </c>
      <c r="R448" s="21">
        <v>406738.71599999996</v>
      </c>
    </row>
    <row r="449" spans="1:18" ht="15.75" thickBot="1" x14ac:dyDescent="0.3">
      <c r="A449" s="21" t="s">
        <v>109</v>
      </c>
      <c r="B449" s="22" t="s">
        <v>90</v>
      </c>
      <c r="C449" s="22" t="s">
        <v>94</v>
      </c>
      <c r="D449" s="22">
        <v>1410</v>
      </c>
      <c r="E449" s="22">
        <v>42</v>
      </c>
      <c r="F449" s="21">
        <f t="shared" si="21"/>
        <v>329172.95999999996</v>
      </c>
      <c r="G449" s="21">
        <f t="shared" si="22"/>
        <v>49375.943999999996</v>
      </c>
      <c r="H449" s="21">
        <v>70000</v>
      </c>
      <c r="I449" s="21">
        <v>15000</v>
      </c>
      <c r="J449" s="21">
        <v>15000</v>
      </c>
      <c r="K449" s="26"/>
      <c r="L449" s="21">
        <f>SUM(F449:K449)</f>
        <v>478548.90399999998</v>
      </c>
      <c r="M449" s="21">
        <v>54873.132431999999</v>
      </c>
      <c r="N449" s="21">
        <v>38995.269839999994</v>
      </c>
      <c r="O449" s="21">
        <v>27420.107567999996</v>
      </c>
      <c r="P449" s="21">
        <f>IF((D449*233.456*3%)&gt;7004,7004,(D449*233.456*3%))</f>
        <v>7004</v>
      </c>
      <c r="Q449" s="21">
        <f t="shared" si="23"/>
        <v>405129.52659199998</v>
      </c>
      <c r="R449" s="21">
        <v>378548.90399999998</v>
      </c>
    </row>
    <row r="450" spans="1:18" ht="15.75" thickBot="1" x14ac:dyDescent="0.3">
      <c r="A450" s="21" t="s">
        <v>109</v>
      </c>
      <c r="B450" s="22" t="s">
        <v>90</v>
      </c>
      <c r="C450" s="22" t="s">
        <v>94</v>
      </c>
      <c r="D450" s="22">
        <v>1330</v>
      </c>
      <c r="E450" s="22">
        <v>41</v>
      </c>
      <c r="F450" s="21">
        <f t="shared" si="21"/>
        <v>310496.48</v>
      </c>
      <c r="G450" s="21">
        <f t="shared" si="22"/>
        <v>46574.471999999994</v>
      </c>
      <c r="H450" s="21">
        <v>70000</v>
      </c>
      <c r="I450" s="21">
        <v>15000</v>
      </c>
      <c r="J450" s="21">
        <v>15000</v>
      </c>
      <c r="K450" s="26"/>
      <c r="L450" s="21">
        <f>SUM(F450:K450)</f>
        <v>457070.95199999999</v>
      </c>
      <c r="M450" s="21">
        <v>51759.763215999999</v>
      </c>
      <c r="N450" s="21">
        <v>34484.899919999996</v>
      </c>
      <c r="O450" s="21">
        <v>25864.356784</v>
      </c>
      <c r="P450" s="21">
        <f>IF((D450*233.456*3%)&gt;7004,7004,(D450*233.456*3%))</f>
        <v>7004</v>
      </c>
      <c r="Q450" s="21">
        <f t="shared" si="23"/>
        <v>389717.69529599999</v>
      </c>
      <c r="R450" s="21">
        <v>357070.95199999999</v>
      </c>
    </row>
    <row r="451" spans="1:18" ht="15.75" thickBot="1" x14ac:dyDescent="0.3">
      <c r="A451" s="21" t="s">
        <v>109</v>
      </c>
      <c r="B451" s="22" t="s">
        <v>90</v>
      </c>
      <c r="C451" s="22" t="s">
        <v>95</v>
      </c>
      <c r="D451" s="22">
        <v>2500</v>
      </c>
      <c r="E451" s="22">
        <v>13</v>
      </c>
      <c r="F451" s="21">
        <f t="shared" si="21"/>
        <v>583640</v>
      </c>
      <c r="G451" s="21">
        <f t="shared" si="22"/>
        <v>87546</v>
      </c>
      <c r="H451" s="21">
        <v>60000</v>
      </c>
      <c r="I451" s="21">
        <v>15000</v>
      </c>
      <c r="J451" s="21">
        <v>15000</v>
      </c>
      <c r="K451" s="26"/>
      <c r="L451" s="21">
        <f>SUM(F451:K451)</f>
        <v>761186</v>
      </c>
      <c r="M451" s="21">
        <v>97292.788000000015</v>
      </c>
      <c r="N451" s="21">
        <v>100449.06</v>
      </c>
      <c r="O451" s="21">
        <v>48617.212</v>
      </c>
      <c r="P451" s="21">
        <f>IF((D451*233.456*3%)&gt;7004,7004,(D451*233.456*3%))</f>
        <v>7004</v>
      </c>
      <c r="Q451" s="21">
        <f t="shared" si="23"/>
        <v>605115.728</v>
      </c>
      <c r="R451" s="21">
        <v>671186</v>
      </c>
    </row>
    <row r="452" spans="1:18" ht="15.75" thickBot="1" x14ac:dyDescent="0.3">
      <c r="A452" s="21" t="s">
        <v>109</v>
      </c>
      <c r="B452" s="22" t="s">
        <v>90</v>
      </c>
      <c r="C452" s="22" t="s">
        <v>95</v>
      </c>
      <c r="D452" s="22">
        <v>2445</v>
      </c>
      <c r="E452" s="22">
        <v>12</v>
      </c>
      <c r="F452" s="21">
        <f t="shared" si="21"/>
        <v>570799.91999999993</v>
      </c>
      <c r="G452" s="21">
        <f t="shared" si="22"/>
        <v>85619.987999999983</v>
      </c>
      <c r="H452" s="21">
        <v>60000</v>
      </c>
      <c r="I452" s="21">
        <v>15000</v>
      </c>
      <c r="J452" s="21">
        <v>15000</v>
      </c>
      <c r="K452" s="26"/>
      <c r="L452" s="21">
        <f>SUM(F452:K452)</f>
        <v>746419.90799999994</v>
      </c>
      <c r="M452" s="21">
        <v>95152.346663999997</v>
      </c>
      <c r="N452" s="21">
        <v>97348.18067999999</v>
      </c>
      <c r="O452" s="21">
        <v>47547.633335999992</v>
      </c>
      <c r="P452" s="21">
        <f>IF((D452*233.456*3%)&gt;7004,7004,(D452*233.456*3%))</f>
        <v>7004</v>
      </c>
      <c r="Q452" s="21">
        <f t="shared" si="23"/>
        <v>594520.09398399992</v>
      </c>
      <c r="R452" s="21">
        <v>656419.90799999994</v>
      </c>
    </row>
    <row r="453" spans="1:18" ht="15.75" thickBot="1" x14ac:dyDescent="0.3">
      <c r="A453" s="21" t="s">
        <v>109</v>
      </c>
      <c r="B453" s="22" t="s">
        <v>90</v>
      </c>
      <c r="C453" s="22" t="s">
        <v>95</v>
      </c>
      <c r="D453" s="22">
        <v>2380</v>
      </c>
      <c r="E453" s="22">
        <v>11</v>
      </c>
      <c r="F453" s="21">
        <f t="shared" si="21"/>
        <v>555625.28</v>
      </c>
      <c r="G453" s="21">
        <f t="shared" si="22"/>
        <v>83343.792000000001</v>
      </c>
      <c r="H453" s="21">
        <v>60000</v>
      </c>
      <c r="I453" s="21">
        <v>15000</v>
      </c>
      <c r="J453" s="21">
        <v>15000</v>
      </c>
      <c r="K453" s="26"/>
      <c r="L453" s="21">
        <f>SUM(F453:K453)</f>
        <v>728969.07200000004</v>
      </c>
      <c r="M453" s="21">
        <v>92622.734176000013</v>
      </c>
      <c r="N453" s="21">
        <v>93683.505120000002</v>
      </c>
      <c r="O453" s="21">
        <v>46283.585824000002</v>
      </c>
      <c r="P453" s="21">
        <f>IF((D453*233.456*3%)&gt;7004,7004,(D453*233.456*3%))</f>
        <v>7004</v>
      </c>
      <c r="Q453" s="21">
        <f t="shared" si="23"/>
        <v>581997.98105600011</v>
      </c>
      <c r="R453" s="21">
        <v>638969.07200000004</v>
      </c>
    </row>
    <row r="454" spans="1:18" ht="15.75" thickBot="1" x14ac:dyDescent="0.3">
      <c r="A454" s="21" t="s">
        <v>109</v>
      </c>
      <c r="B454" s="22" t="s">
        <v>90</v>
      </c>
      <c r="C454" s="22" t="s">
        <v>95</v>
      </c>
      <c r="D454" s="22">
        <v>2285</v>
      </c>
      <c r="E454" s="22">
        <v>23</v>
      </c>
      <c r="F454" s="21">
        <f t="shared" si="21"/>
        <v>533446.96</v>
      </c>
      <c r="G454" s="21">
        <f t="shared" si="22"/>
        <v>80017.043999999994</v>
      </c>
      <c r="H454" s="21">
        <v>60000</v>
      </c>
      <c r="I454" s="21">
        <v>15000</v>
      </c>
      <c r="J454" s="21">
        <v>15000</v>
      </c>
      <c r="K454" s="26"/>
      <c r="L454" s="21">
        <f>SUM(F454:K454)</f>
        <v>703464.00399999996</v>
      </c>
      <c r="M454" s="21">
        <v>88925.608231999999</v>
      </c>
      <c r="N454" s="21">
        <v>88327.440839999981</v>
      </c>
      <c r="O454" s="21">
        <v>44436.131767999999</v>
      </c>
      <c r="P454" s="21">
        <f>IF((D454*233.456*3%)&gt;7004,7004,(D454*233.456*3%))</f>
        <v>7004</v>
      </c>
      <c r="Q454" s="21">
        <f t="shared" si="23"/>
        <v>563696.43139199994</v>
      </c>
      <c r="R454" s="21">
        <v>613464.00399999996</v>
      </c>
    </row>
    <row r="455" spans="1:18" ht="15.75" thickBot="1" x14ac:dyDescent="0.3">
      <c r="A455" s="21" t="s">
        <v>109</v>
      </c>
      <c r="B455" s="22" t="s">
        <v>90</v>
      </c>
      <c r="C455" s="22" t="s">
        <v>95</v>
      </c>
      <c r="D455" s="22">
        <v>2120</v>
      </c>
      <c r="E455" s="22">
        <v>22</v>
      </c>
      <c r="F455" s="21">
        <f t="shared" si="21"/>
        <v>494926.72</v>
      </c>
      <c r="G455" s="21">
        <f t="shared" si="22"/>
        <v>74239.007999999987</v>
      </c>
      <c r="H455" s="21">
        <v>60000</v>
      </c>
      <c r="I455" s="21">
        <v>15000</v>
      </c>
      <c r="J455" s="21">
        <v>15000</v>
      </c>
      <c r="K455" s="26"/>
      <c r="L455" s="21">
        <f>SUM(F455:K455)</f>
        <v>659165.728</v>
      </c>
      <c r="M455" s="21">
        <v>82504.284224000003</v>
      </c>
      <c r="N455" s="21">
        <v>79024.802880000003</v>
      </c>
      <c r="O455" s="21">
        <v>41227.395775999998</v>
      </c>
      <c r="P455" s="21">
        <f>IF((D455*233.456*3%)&gt;7004,7004,(D455*233.456*3%))</f>
        <v>7004</v>
      </c>
      <c r="Q455" s="21">
        <f t="shared" si="23"/>
        <v>531909.52934400004</v>
      </c>
      <c r="R455" s="21">
        <v>569165.728</v>
      </c>
    </row>
    <row r="456" spans="1:18" ht="15.75" thickBot="1" x14ac:dyDescent="0.3">
      <c r="A456" s="21" t="s">
        <v>109</v>
      </c>
      <c r="B456" s="22" t="s">
        <v>90</v>
      </c>
      <c r="C456" s="22" t="s">
        <v>95</v>
      </c>
      <c r="D456" s="22">
        <v>1975</v>
      </c>
      <c r="E456" s="22">
        <v>21</v>
      </c>
      <c r="F456" s="21">
        <f t="shared" si="21"/>
        <v>461075.6</v>
      </c>
      <c r="G456" s="21">
        <f t="shared" si="22"/>
        <v>69161.34</v>
      </c>
      <c r="H456" s="21">
        <v>60000</v>
      </c>
      <c r="I456" s="21">
        <v>15000</v>
      </c>
      <c r="J456" s="21">
        <v>15000</v>
      </c>
      <c r="K456" s="26"/>
      <c r="L456" s="21">
        <f>SUM(F456:K456)</f>
        <v>620236.93999999994</v>
      </c>
      <c r="M456" s="21">
        <v>76861.302519999997</v>
      </c>
      <c r="N456" s="21">
        <v>70849.757399999988</v>
      </c>
      <c r="O456" s="21">
        <v>38407.597479999997</v>
      </c>
      <c r="P456" s="21">
        <f>IF((D456*233.456*3%)&gt;7004,7004,(D456*233.456*3%))</f>
        <v>7004</v>
      </c>
      <c r="Q456" s="21">
        <f t="shared" si="23"/>
        <v>503975.58511999995</v>
      </c>
      <c r="R456" s="21">
        <v>530236.93999999994</v>
      </c>
    </row>
    <row r="457" spans="1:18" ht="15.75" thickBot="1" x14ac:dyDescent="0.3">
      <c r="A457" s="21" t="s">
        <v>109</v>
      </c>
      <c r="B457" s="22" t="s">
        <v>90</v>
      </c>
      <c r="C457" s="22" t="s">
        <v>95</v>
      </c>
      <c r="D457" s="22">
        <v>1825</v>
      </c>
      <c r="E457" s="22">
        <v>33</v>
      </c>
      <c r="F457" s="21">
        <f t="shared" si="21"/>
        <v>426057.19999999995</v>
      </c>
      <c r="G457" s="21">
        <f t="shared" si="22"/>
        <v>63908.579999999987</v>
      </c>
      <c r="H457" s="21">
        <v>60000</v>
      </c>
      <c r="I457" s="21">
        <v>15000</v>
      </c>
      <c r="J457" s="21">
        <v>15000</v>
      </c>
      <c r="K457" s="26"/>
      <c r="L457" s="21">
        <f>SUM(F457:K457)</f>
        <v>579965.77999999991</v>
      </c>
      <c r="M457" s="21">
        <v>71023.735239999995</v>
      </c>
      <c r="N457" s="21">
        <v>62392.813799999974</v>
      </c>
      <c r="O457" s="21">
        <v>35490.564759999994</v>
      </c>
      <c r="P457" s="21">
        <f>IF((D457*233.456*3%)&gt;7004,7004,(D457*233.456*3%))</f>
        <v>7004</v>
      </c>
      <c r="Q457" s="21">
        <f t="shared" si="23"/>
        <v>475078.40143999993</v>
      </c>
      <c r="R457" s="21">
        <v>489965.77999999991</v>
      </c>
    </row>
    <row r="458" spans="1:18" ht="15.75" thickBot="1" x14ac:dyDescent="0.3">
      <c r="A458" s="21" t="s">
        <v>109</v>
      </c>
      <c r="B458" s="22" t="s">
        <v>90</v>
      </c>
      <c r="C458" s="22" t="s">
        <v>95</v>
      </c>
      <c r="D458" s="22">
        <v>1690</v>
      </c>
      <c r="E458" s="22">
        <v>32</v>
      </c>
      <c r="F458" s="21">
        <f t="shared" si="21"/>
        <v>394540.63999999996</v>
      </c>
      <c r="G458" s="21">
        <f t="shared" si="22"/>
        <v>59181.09599999999</v>
      </c>
      <c r="H458" s="21">
        <v>60000</v>
      </c>
      <c r="I458" s="21">
        <v>15000</v>
      </c>
      <c r="J458" s="21">
        <v>15000</v>
      </c>
      <c r="K458" s="26"/>
      <c r="L458" s="21">
        <f>SUM(F458:K458)</f>
        <v>543721.73599999992</v>
      </c>
      <c r="M458" s="21">
        <v>65769.924687999999</v>
      </c>
      <c r="N458" s="21">
        <v>54781.564559999984</v>
      </c>
      <c r="O458" s="21">
        <v>32865.235311999997</v>
      </c>
      <c r="P458" s="21">
        <f>IF((D458*233.456*3%)&gt;7004,7004,(D458*233.456*3%))</f>
        <v>7004</v>
      </c>
      <c r="Q458" s="21">
        <f t="shared" si="23"/>
        <v>449070.93612799991</v>
      </c>
      <c r="R458" s="21">
        <v>453721.73599999992</v>
      </c>
    </row>
    <row r="459" spans="1:18" ht="15.75" thickBot="1" x14ac:dyDescent="0.3">
      <c r="A459" s="21" t="s">
        <v>109</v>
      </c>
      <c r="B459" s="22" t="s">
        <v>90</v>
      </c>
      <c r="C459" s="22" t="s">
        <v>95</v>
      </c>
      <c r="D459" s="22">
        <v>1605</v>
      </c>
      <c r="E459" s="22">
        <v>31</v>
      </c>
      <c r="F459" s="21">
        <f t="shared" ref="F459:F522" si="24">D459*233.456</f>
        <v>374696.88</v>
      </c>
      <c r="G459" s="21">
        <f t="shared" ref="G459:G522" si="25">F459*15%</f>
        <v>56204.531999999999</v>
      </c>
      <c r="H459" s="21">
        <v>60000</v>
      </c>
      <c r="I459" s="21">
        <v>15000</v>
      </c>
      <c r="J459" s="21">
        <v>15000</v>
      </c>
      <c r="K459" s="26"/>
      <c r="L459" s="21">
        <f>SUM(F459:K459)</f>
        <v>520901.41200000001</v>
      </c>
      <c r="M459" s="21">
        <v>62461.96989600001</v>
      </c>
      <c r="N459" s="21">
        <v>49989.296520000004</v>
      </c>
      <c r="O459" s="21">
        <v>31212.250103999999</v>
      </c>
      <c r="P459" s="21">
        <f>IF((D459*233.456*3%)&gt;7004,7004,(D459*233.456*3%))</f>
        <v>7004</v>
      </c>
      <c r="Q459" s="21">
        <f t="shared" si="23"/>
        <v>432695.865376</v>
      </c>
      <c r="R459" s="21">
        <v>430901.41200000001</v>
      </c>
    </row>
    <row r="460" spans="1:18" ht="15.75" thickBot="1" x14ac:dyDescent="0.3">
      <c r="A460" s="21" t="s">
        <v>109</v>
      </c>
      <c r="B460" s="22" t="s">
        <v>90</v>
      </c>
      <c r="C460" s="22" t="s">
        <v>95</v>
      </c>
      <c r="D460" s="22">
        <v>1505</v>
      </c>
      <c r="E460" s="22">
        <v>44</v>
      </c>
      <c r="F460" s="21">
        <f t="shared" si="24"/>
        <v>351351.27999999997</v>
      </c>
      <c r="G460" s="21">
        <f t="shared" si="25"/>
        <v>52702.691999999995</v>
      </c>
      <c r="H460" s="21">
        <v>60000</v>
      </c>
      <c r="I460" s="21">
        <v>15000</v>
      </c>
      <c r="J460" s="21">
        <v>15000</v>
      </c>
      <c r="K460" s="26"/>
      <c r="L460" s="21">
        <f>SUM(F460:K460)</f>
        <v>494053.97199999995</v>
      </c>
      <c r="M460" s="21">
        <v>58570.258375999998</v>
      </c>
      <c r="N460" s="21">
        <v>44351.334119999985</v>
      </c>
      <c r="O460" s="21">
        <v>29267.561623999998</v>
      </c>
      <c r="P460" s="21">
        <f>IF((D460*233.456*3%)&gt;7004,7004,(D460*233.456*3%))</f>
        <v>7004</v>
      </c>
      <c r="Q460" s="21">
        <f t="shared" si="23"/>
        <v>413431.07625599997</v>
      </c>
      <c r="R460" s="21">
        <v>404053.97199999995</v>
      </c>
    </row>
    <row r="461" spans="1:18" ht="15.75" thickBot="1" x14ac:dyDescent="0.3">
      <c r="A461" s="21" t="s">
        <v>109</v>
      </c>
      <c r="B461" s="22" t="s">
        <v>90</v>
      </c>
      <c r="C461" s="22" t="s">
        <v>95</v>
      </c>
      <c r="D461" s="22">
        <v>1385</v>
      </c>
      <c r="E461" s="22">
        <v>43</v>
      </c>
      <c r="F461" s="21">
        <f t="shared" si="24"/>
        <v>323336.56</v>
      </c>
      <c r="G461" s="21">
        <f t="shared" si="25"/>
        <v>48500.483999999997</v>
      </c>
      <c r="H461" s="21">
        <v>60000</v>
      </c>
      <c r="I461" s="21">
        <v>15000</v>
      </c>
      <c r="J461" s="21">
        <v>15000</v>
      </c>
      <c r="K461" s="26"/>
      <c r="L461" s="21">
        <f>SUM(F461:K461)</f>
        <v>461837.04399999999</v>
      </c>
      <c r="M461" s="21">
        <v>53900.204552000003</v>
      </c>
      <c r="N461" s="21">
        <v>37585.779239999996</v>
      </c>
      <c r="O461" s="21">
        <v>26933.935448</v>
      </c>
      <c r="P461" s="21">
        <f>IF((D461*233.456*3%)&gt;7004,7004,(D461*233.456*3%))</f>
        <v>7004</v>
      </c>
      <c r="Q461" s="21">
        <f t="shared" si="23"/>
        <v>390313.32931200002</v>
      </c>
      <c r="R461" s="21">
        <v>371837.04399999999</v>
      </c>
    </row>
    <row r="462" spans="1:18" ht="15.75" thickBot="1" x14ac:dyDescent="0.3">
      <c r="A462" s="21" t="s">
        <v>109</v>
      </c>
      <c r="B462" s="22" t="s">
        <v>90</v>
      </c>
      <c r="C462" s="22" t="s">
        <v>95</v>
      </c>
      <c r="D462" s="22">
        <v>1290</v>
      </c>
      <c r="E462" s="22">
        <v>42</v>
      </c>
      <c r="F462" s="21">
        <f t="shared" si="24"/>
        <v>301158.24</v>
      </c>
      <c r="G462" s="21">
        <f t="shared" si="25"/>
        <v>45173.735999999997</v>
      </c>
      <c r="H462" s="21">
        <v>60000</v>
      </c>
      <c r="I462" s="21">
        <v>15000</v>
      </c>
      <c r="J462" s="21">
        <v>15000</v>
      </c>
      <c r="K462" s="26"/>
      <c r="L462" s="21">
        <f>SUM(F462:K462)</f>
        <v>436331.97599999997</v>
      </c>
      <c r="M462" s="21">
        <v>50203.078608000003</v>
      </c>
      <c r="N462" s="21">
        <v>32229.71495999999</v>
      </c>
      <c r="O462" s="21">
        <v>25086.481391999998</v>
      </c>
      <c r="P462" s="21">
        <f>IF((D462*233.456*3%)&gt;7004,7004,(D462*233.456*3%))</f>
        <v>7004</v>
      </c>
      <c r="Q462" s="21">
        <f t="shared" si="23"/>
        <v>372011.77964799997</v>
      </c>
      <c r="R462" s="21">
        <v>346331.97599999997</v>
      </c>
    </row>
    <row r="463" spans="1:18" ht="15.75" thickBot="1" x14ac:dyDescent="0.3">
      <c r="A463" s="21" t="s">
        <v>109</v>
      </c>
      <c r="B463" s="22" t="s">
        <v>90</v>
      </c>
      <c r="C463" s="22" t="s">
        <v>95</v>
      </c>
      <c r="D463" s="22">
        <v>1225</v>
      </c>
      <c r="E463" s="22">
        <v>41</v>
      </c>
      <c r="F463" s="21">
        <f t="shared" si="24"/>
        <v>285983.59999999998</v>
      </c>
      <c r="G463" s="21">
        <f t="shared" si="25"/>
        <v>42897.539999999994</v>
      </c>
      <c r="H463" s="21">
        <v>60000</v>
      </c>
      <c r="I463" s="21">
        <v>15000</v>
      </c>
      <c r="J463" s="21">
        <v>15000</v>
      </c>
      <c r="K463" s="26"/>
      <c r="L463" s="21">
        <f>SUM(F463:K463)</f>
        <v>418881.13999999996</v>
      </c>
      <c r="M463" s="21">
        <v>47673.466119999997</v>
      </c>
      <c r="N463" s="21">
        <v>28565.039399999994</v>
      </c>
      <c r="O463" s="21">
        <v>23822.433879999997</v>
      </c>
      <c r="P463" s="21">
        <f>IF((D463*233.456*3%)&gt;7004,7004,(D463*233.456*3%))</f>
        <v>7004</v>
      </c>
      <c r="Q463" s="21">
        <f t="shared" si="23"/>
        <v>359489.66671999998</v>
      </c>
      <c r="R463" s="21">
        <v>328881.13999999996</v>
      </c>
    </row>
    <row r="464" spans="1:18" ht="15.75" thickBot="1" x14ac:dyDescent="0.3">
      <c r="A464" s="21" t="s">
        <v>109</v>
      </c>
      <c r="B464" s="22" t="s">
        <v>96</v>
      </c>
      <c r="C464" s="22" t="s">
        <v>97</v>
      </c>
      <c r="D464" s="22">
        <v>1740</v>
      </c>
      <c r="E464" s="22">
        <v>13</v>
      </c>
      <c r="F464" s="21">
        <f t="shared" si="24"/>
        <v>406213.44</v>
      </c>
      <c r="G464" s="21">
        <f t="shared" si="25"/>
        <v>60932.015999999996</v>
      </c>
      <c r="H464" s="21">
        <v>60000</v>
      </c>
      <c r="I464" s="21">
        <v>15000</v>
      </c>
      <c r="J464" s="21">
        <v>15000</v>
      </c>
      <c r="K464" s="26"/>
      <c r="L464" s="21">
        <f>SUM(F464:K464)</f>
        <v>557145.45600000001</v>
      </c>
      <c r="M464" s="21">
        <v>67715.780448000005</v>
      </c>
      <c r="N464" s="21">
        <v>57600.545760000008</v>
      </c>
      <c r="O464" s="21">
        <v>33837.579552000003</v>
      </c>
      <c r="P464" s="21">
        <f>IF((D464*233.456*3%)&gt;7004,7004,(D464*233.456*3%))</f>
        <v>7004</v>
      </c>
      <c r="Q464" s="21">
        <f t="shared" si="23"/>
        <v>458703.33068799996</v>
      </c>
      <c r="R464" s="21">
        <v>467145.45600000001</v>
      </c>
    </row>
    <row r="465" spans="1:18" ht="15.75" thickBot="1" x14ac:dyDescent="0.3">
      <c r="A465" s="21" t="s">
        <v>109</v>
      </c>
      <c r="B465" s="22" t="s">
        <v>96</v>
      </c>
      <c r="C465" s="22" t="s">
        <v>97</v>
      </c>
      <c r="D465" s="22">
        <v>1705</v>
      </c>
      <c r="E465" s="22">
        <v>12</v>
      </c>
      <c r="F465" s="21">
        <f t="shared" si="24"/>
        <v>398042.48</v>
      </c>
      <c r="G465" s="21">
        <f t="shared" si="25"/>
        <v>59706.371999999996</v>
      </c>
      <c r="H465" s="21">
        <v>60000</v>
      </c>
      <c r="I465" s="21">
        <v>15000</v>
      </c>
      <c r="J465" s="21">
        <v>15000</v>
      </c>
      <c r="K465" s="26"/>
      <c r="L465" s="21">
        <f>SUM(F465:K465)</f>
        <v>547748.85199999996</v>
      </c>
      <c r="M465" s="21">
        <v>66353.681416000007</v>
      </c>
      <c r="N465" s="21">
        <v>55627.258919999993</v>
      </c>
      <c r="O465" s="21">
        <v>33156.938583999996</v>
      </c>
      <c r="P465" s="21">
        <f>IF((D465*233.456*3%)&gt;7004,7004,(D465*233.456*3%))</f>
        <v>7004</v>
      </c>
      <c r="Q465" s="21">
        <f t="shared" si="23"/>
        <v>451960.65449599997</v>
      </c>
      <c r="R465" s="21">
        <v>457748.85199999996</v>
      </c>
    </row>
    <row r="466" spans="1:18" ht="15.75" thickBot="1" x14ac:dyDescent="0.3">
      <c r="A466" s="21" t="s">
        <v>109</v>
      </c>
      <c r="B466" s="22" t="s">
        <v>96</v>
      </c>
      <c r="C466" s="22" t="s">
        <v>97</v>
      </c>
      <c r="D466" s="22">
        <v>1680</v>
      </c>
      <c r="E466" s="22">
        <v>11</v>
      </c>
      <c r="F466" s="21">
        <f t="shared" si="24"/>
        <v>392206.07999999996</v>
      </c>
      <c r="G466" s="21">
        <f t="shared" si="25"/>
        <v>58830.911999999989</v>
      </c>
      <c r="H466" s="21">
        <v>60000</v>
      </c>
      <c r="I466" s="21">
        <v>15000</v>
      </c>
      <c r="J466" s="21">
        <v>15000</v>
      </c>
      <c r="K466" s="26"/>
      <c r="L466" s="21">
        <f>SUM(F466:K466)</f>
        <v>541036.99199999997</v>
      </c>
      <c r="M466" s="21">
        <v>65380.753535999997</v>
      </c>
      <c r="N466" s="21">
        <v>54217.768319999988</v>
      </c>
      <c r="O466" s="21">
        <v>32670.766463999997</v>
      </c>
      <c r="P466" s="21">
        <f>IF((D466*233.456*3%)&gt;7004,7004,(D466*233.456*3%))</f>
        <v>7004</v>
      </c>
      <c r="Q466" s="21">
        <f t="shared" si="23"/>
        <v>447144.45721599995</v>
      </c>
      <c r="R466" s="21">
        <v>451036.99199999997</v>
      </c>
    </row>
    <row r="467" spans="1:18" ht="15.75" thickBot="1" x14ac:dyDescent="0.3">
      <c r="A467" s="21" t="s">
        <v>109</v>
      </c>
      <c r="B467" s="22" t="s">
        <v>96</v>
      </c>
      <c r="C467" s="22" t="s">
        <v>97</v>
      </c>
      <c r="D467" s="22">
        <v>1585</v>
      </c>
      <c r="E467" s="22">
        <v>23</v>
      </c>
      <c r="F467" s="21">
        <f t="shared" si="24"/>
        <v>370027.76</v>
      </c>
      <c r="G467" s="21">
        <f t="shared" si="25"/>
        <v>55504.163999999997</v>
      </c>
      <c r="H467" s="21">
        <v>60000</v>
      </c>
      <c r="I467" s="21">
        <v>15000</v>
      </c>
      <c r="J467" s="21">
        <v>15000</v>
      </c>
      <c r="K467" s="26"/>
      <c r="L467" s="21">
        <f>SUM(F467:K467)</f>
        <v>515531.924</v>
      </c>
      <c r="M467" s="21">
        <v>61683.627592000004</v>
      </c>
      <c r="N467" s="21">
        <v>48861.704039999997</v>
      </c>
      <c r="O467" s="21">
        <v>30823.312408000002</v>
      </c>
      <c r="P467" s="21">
        <f>IF((D467*233.456*3%)&gt;7004,7004,(D467*233.456*3%))</f>
        <v>7004</v>
      </c>
      <c r="Q467" s="21">
        <f t="shared" si="23"/>
        <v>428842.90755200002</v>
      </c>
      <c r="R467" s="21">
        <v>425531.924</v>
      </c>
    </row>
    <row r="468" spans="1:18" ht="15.75" thickBot="1" x14ac:dyDescent="0.3">
      <c r="A468" s="21" t="s">
        <v>109</v>
      </c>
      <c r="B468" s="22" t="s">
        <v>96</v>
      </c>
      <c r="C468" s="22" t="s">
        <v>97</v>
      </c>
      <c r="D468" s="22">
        <v>1515</v>
      </c>
      <c r="E468" s="22">
        <v>22</v>
      </c>
      <c r="F468" s="21">
        <f t="shared" si="24"/>
        <v>353685.83999999997</v>
      </c>
      <c r="G468" s="21">
        <f t="shared" si="25"/>
        <v>53052.875999999997</v>
      </c>
      <c r="H468" s="21">
        <v>60000</v>
      </c>
      <c r="I468" s="21">
        <v>15000</v>
      </c>
      <c r="J468" s="21">
        <v>15000</v>
      </c>
      <c r="K468" s="26"/>
      <c r="L468" s="21">
        <f>SUM(F468:K468)</f>
        <v>496738.71599999996</v>
      </c>
      <c r="M468" s="21">
        <v>58959.429528000001</v>
      </c>
      <c r="N468" s="21">
        <v>44915.130359999988</v>
      </c>
      <c r="O468" s="21">
        <v>29462.030471999999</v>
      </c>
      <c r="P468" s="21">
        <f>IF((D468*233.456*3%)&gt;7004,7004,(D468*233.456*3%))</f>
        <v>7004</v>
      </c>
      <c r="Q468" s="21">
        <f t="shared" si="23"/>
        <v>415357.55516799993</v>
      </c>
      <c r="R468" s="21">
        <v>406738.71599999996</v>
      </c>
    </row>
    <row r="469" spans="1:18" ht="15.75" thickBot="1" x14ac:dyDescent="0.3">
      <c r="A469" s="21" t="s">
        <v>109</v>
      </c>
      <c r="B469" s="22" t="s">
        <v>96</v>
      </c>
      <c r="C469" s="22" t="s">
        <v>97</v>
      </c>
      <c r="D469" s="22">
        <v>1440</v>
      </c>
      <c r="E469" s="22">
        <v>21</v>
      </c>
      <c r="F469" s="21">
        <f t="shared" si="24"/>
        <v>336176.63999999996</v>
      </c>
      <c r="G469" s="21">
        <f t="shared" si="25"/>
        <v>50426.495999999992</v>
      </c>
      <c r="H469" s="21">
        <v>60000</v>
      </c>
      <c r="I469" s="21">
        <v>15000</v>
      </c>
      <c r="J469" s="21">
        <v>15000</v>
      </c>
      <c r="K469" s="26"/>
      <c r="L469" s="21">
        <f>SUM(F469:K469)</f>
        <v>476603.13599999994</v>
      </c>
      <c r="M469" s="21">
        <v>56040.645887999999</v>
      </c>
      <c r="N469" s="21">
        <v>40686.658559999982</v>
      </c>
      <c r="O469" s="21">
        <v>28003.514111999997</v>
      </c>
      <c r="P469" s="21">
        <f>IF((D469*233.456*3%)&gt;7004,7004,(D469*233.456*3%))</f>
        <v>7004</v>
      </c>
      <c r="Q469" s="21">
        <f t="shared" si="23"/>
        <v>400908.96332799993</v>
      </c>
      <c r="R469" s="21">
        <v>386603.13599999994</v>
      </c>
    </row>
    <row r="470" spans="1:18" ht="15.75" thickBot="1" x14ac:dyDescent="0.3">
      <c r="A470" s="21" t="s">
        <v>109</v>
      </c>
      <c r="B470" s="22" t="s">
        <v>96</v>
      </c>
      <c r="C470" s="22" t="s">
        <v>97</v>
      </c>
      <c r="D470" s="22">
        <v>1395</v>
      </c>
      <c r="E470" s="22">
        <v>33</v>
      </c>
      <c r="F470" s="21">
        <f t="shared" si="24"/>
        <v>325671.12</v>
      </c>
      <c r="G470" s="21">
        <f t="shared" si="25"/>
        <v>48850.667999999998</v>
      </c>
      <c r="H470" s="21">
        <v>60000</v>
      </c>
      <c r="I470" s="21">
        <v>15000</v>
      </c>
      <c r="J470" s="21">
        <v>15000</v>
      </c>
      <c r="K470" s="26"/>
      <c r="L470" s="21">
        <f>SUM(F470:K470)</f>
        <v>464521.788</v>
      </c>
      <c r="M470" s="21">
        <v>54289.375704000005</v>
      </c>
      <c r="N470" s="21">
        <v>38149.57548</v>
      </c>
      <c r="O470" s="21">
        <v>27128.404296000001</v>
      </c>
      <c r="P470" s="21">
        <f>IF((D470*233.456*3%)&gt;7004,7004,(D470*233.456*3%))</f>
        <v>7004</v>
      </c>
      <c r="Q470" s="21">
        <f t="shared" si="23"/>
        <v>392239.80822400004</v>
      </c>
      <c r="R470" s="21">
        <v>374521.788</v>
      </c>
    </row>
    <row r="471" spans="1:18" ht="15.75" thickBot="1" x14ac:dyDescent="0.3">
      <c r="A471" s="21" t="s">
        <v>109</v>
      </c>
      <c r="B471" s="22" t="s">
        <v>96</v>
      </c>
      <c r="C471" s="22" t="s">
        <v>97</v>
      </c>
      <c r="D471" s="22">
        <v>1315</v>
      </c>
      <c r="E471" s="22">
        <v>32</v>
      </c>
      <c r="F471" s="21">
        <f t="shared" si="24"/>
        <v>306994.64</v>
      </c>
      <c r="G471" s="21">
        <f t="shared" si="25"/>
        <v>46049.196000000004</v>
      </c>
      <c r="H471" s="21">
        <v>60000</v>
      </c>
      <c r="I471" s="21">
        <v>15000</v>
      </c>
      <c r="J471" s="21">
        <v>15000</v>
      </c>
      <c r="K471" s="26"/>
      <c r="L471" s="21">
        <f>SUM(F471:K471)</f>
        <v>443043.83600000001</v>
      </c>
      <c r="M471" s="21">
        <v>51176.006488000006</v>
      </c>
      <c r="N471" s="21">
        <v>33639.205560000002</v>
      </c>
      <c r="O471" s="21">
        <v>25572.653512000001</v>
      </c>
      <c r="P471" s="21">
        <f>IF((D471*233.456*3%)&gt;7004,7004,(D471*233.456*3%))</f>
        <v>7004</v>
      </c>
      <c r="Q471" s="21">
        <f t="shared" si="23"/>
        <v>376827.97692799999</v>
      </c>
      <c r="R471" s="21">
        <v>353043.83600000001</v>
      </c>
    </row>
    <row r="472" spans="1:18" ht="15.75" thickBot="1" x14ac:dyDescent="0.3">
      <c r="A472" s="21" t="s">
        <v>109</v>
      </c>
      <c r="B472" s="22" t="s">
        <v>96</v>
      </c>
      <c r="C472" s="22" t="s">
        <v>97</v>
      </c>
      <c r="D472" s="22">
        <v>1255</v>
      </c>
      <c r="E472" s="22">
        <v>31</v>
      </c>
      <c r="F472" s="21">
        <f t="shared" si="24"/>
        <v>292987.27999999997</v>
      </c>
      <c r="G472" s="21">
        <f t="shared" si="25"/>
        <v>43948.091999999997</v>
      </c>
      <c r="H472" s="21">
        <v>60000</v>
      </c>
      <c r="I472" s="21">
        <v>15000</v>
      </c>
      <c r="J472" s="21">
        <v>15000</v>
      </c>
      <c r="K472" s="26"/>
      <c r="L472" s="21">
        <f>SUM(F472:K472)</f>
        <v>426935.37199999997</v>
      </c>
      <c r="M472" s="21">
        <v>48840.979575999998</v>
      </c>
      <c r="N472" s="21">
        <v>30256.428119999997</v>
      </c>
      <c r="O472" s="21">
        <v>24405.840423999998</v>
      </c>
      <c r="P472" s="21">
        <f>IF((D472*233.456*3%)&gt;7004,7004,(D472*233.456*3%))</f>
        <v>7004</v>
      </c>
      <c r="Q472" s="21">
        <f t="shared" si="23"/>
        <v>365269.10345599998</v>
      </c>
      <c r="R472" s="21">
        <v>336935.37199999997</v>
      </c>
    </row>
    <row r="473" spans="1:18" ht="15.75" thickBot="1" x14ac:dyDescent="0.3">
      <c r="A473" s="21" t="s">
        <v>109</v>
      </c>
      <c r="B473" s="22" t="s">
        <v>96</v>
      </c>
      <c r="C473" s="22" t="s">
        <v>97</v>
      </c>
      <c r="D473" s="22">
        <v>1220</v>
      </c>
      <c r="E473" s="22">
        <v>44</v>
      </c>
      <c r="F473" s="21">
        <f t="shared" si="24"/>
        <v>284816.32</v>
      </c>
      <c r="G473" s="21">
        <f t="shared" si="25"/>
        <v>42722.447999999997</v>
      </c>
      <c r="H473" s="21">
        <v>60000</v>
      </c>
      <c r="I473" s="21">
        <v>15000</v>
      </c>
      <c r="J473" s="21">
        <v>15000</v>
      </c>
      <c r="K473" s="26"/>
      <c r="L473" s="21">
        <f>SUM(F473:K473)</f>
        <v>417538.76799999998</v>
      </c>
      <c r="M473" s="21">
        <v>47478.880544000007</v>
      </c>
      <c r="N473" s="21">
        <v>28283.141279999996</v>
      </c>
      <c r="O473" s="21">
        <v>23725.199456000002</v>
      </c>
      <c r="P473" s="21">
        <f>IF((D473*233.456*3%)&gt;7004,7004,(D473*233.456*3%))</f>
        <v>7004</v>
      </c>
      <c r="Q473" s="21">
        <f t="shared" si="23"/>
        <v>358526.427264</v>
      </c>
      <c r="R473" s="21">
        <v>327538.76799999998</v>
      </c>
    </row>
    <row r="474" spans="1:18" ht="15.75" thickBot="1" x14ac:dyDescent="0.3">
      <c r="A474" s="21" t="s">
        <v>109</v>
      </c>
      <c r="B474" s="22" t="s">
        <v>96</v>
      </c>
      <c r="C474" s="22" t="s">
        <v>97</v>
      </c>
      <c r="D474" s="22">
        <v>1145</v>
      </c>
      <c r="E474" s="22">
        <v>43</v>
      </c>
      <c r="F474" s="21">
        <f t="shared" si="24"/>
        <v>267307.12</v>
      </c>
      <c r="G474" s="21">
        <f t="shared" si="25"/>
        <v>40096.067999999999</v>
      </c>
      <c r="H474" s="21">
        <v>60000</v>
      </c>
      <c r="I474" s="21">
        <v>15000</v>
      </c>
      <c r="J474" s="21">
        <v>15000</v>
      </c>
      <c r="K474" s="26"/>
      <c r="L474" s="21">
        <f>SUM(F474:K474)</f>
        <v>397403.18799999997</v>
      </c>
      <c r="M474" s="21">
        <v>44560.096904000005</v>
      </c>
      <c r="N474" s="21">
        <v>24054.66947999999</v>
      </c>
      <c r="O474" s="21">
        <v>22266.683096000001</v>
      </c>
      <c r="P474" s="21">
        <f>IF((D474*233.456*3%)&gt;7004,7004,(D474*233.456*3%))</f>
        <v>7004</v>
      </c>
      <c r="Q474" s="21">
        <f t="shared" si="23"/>
        <v>344077.83542399999</v>
      </c>
      <c r="R474" s="21">
        <v>307403.18799999997</v>
      </c>
    </row>
    <row r="475" spans="1:18" ht="15.75" thickBot="1" x14ac:dyDescent="0.3">
      <c r="A475" s="21" t="s">
        <v>109</v>
      </c>
      <c r="B475" s="22" t="s">
        <v>96</v>
      </c>
      <c r="C475" s="22" t="s">
        <v>97</v>
      </c>
      <c r="D475" s="22">
        <v>1065</v>
      </c>
      <c r="E475" s="22">
        <v>42</v>
      </c>
      <c r="F475" s="21">
        <f t="shared" si="24"/>
        <v>248630.63999999998</v>
      </c>
      <c r="G475" s="21">
        <f t="shared" si="25"/>
        <v>37294.595999999998</v>
      </c>
      <c r="H475" s="21">
        <v>60000</v>
      </c>
      <c r="I475" s="21">
        <v>15000</v>
      </c>
      <c r="J475" s="21">
        <v>15000</v>
      </c>
      <c r="K475" s="26"/>
      <c r="L475" s="21">
        <f>SUM(F475:K475)</f>
        <v>375925.23599999998</v>
      </c>
      <c r="M475" s="21">
        <v>41446.727687999999</v>
      </c>
      <c r="N475" s="21">
        <v>19544.299559999992</v>
      </c>
      <c r="O475" s="21">
        <v>20710.932311999997</v>
      </c>
      <c r="P475" s="21">
        <f>IF((D475*233.456*3%)&gt;7004,7004,(D475*233.456*3%))</f>
        <v>7004</v>
      </c>
      <c r="Q475" s="21">
        <f t="shared" si="23"/>
        <v>328666.004128</v>
      </c>
      <c r="R475" s="21">
        <v>285925.23599999998</v>
      </c>
    </row>
    <row r="476" spans="1:18" ht="15.75" thickBot="1" x14ac:dyDescent="0.3">
      <c r="A476" s="21" t="s">
        <v>109</v>
      </c>
      <c r="B476" s="22" t="s">
        <v>96</v>
      </c>
      <c r="C476" s="22" t="s">
        <v>97</v>
      </c>
      <c r="D476" s="22">
        <v>995</v>
      </c>
      <c r="E476" s="22">
        <v>41</v>
      </c>
      <c r="F476" s="21">
        <f t="shared" si="24"/>
        <v>232288.72</v>
      </c>
      <c r="G476" s="21">
        <f t="shared" si="25"/>
        <v>34843.307999999997</v>
      </c>
      <c r="H476" s="21">
        <v>60000</v>
      </c>
      <c r="I476" s="21">
        <v>15000</v>
      </c>
      <c r="J476" s="21">
        <v>15000</v>
      </c>
      <c r="K476" s="26"/>
      <c r="L476" s="21">
        <f>SUM(F476:K476)</f>
        <v>357132.02799999999</v>
      </c>
      <c r="M476" s="21">
        <v>38722.529624000003</v>
      </c>
      <c r="N476" s="21">
        <v>15597.725879999998</v>
      </c>
      <c r="O476" s="21">
        <v>19349.650376000001</v>
      </c>
      <c r="P476" s="21">
        <f>IF((D476*233.456*3%)&gt;7004,7004,(D476*233.456*3%))</f>
        <v>6968.6615999999995</v>
      </c>
      <c r="Q476" s="21">
        <f t="shared" si="23"/>
        <v>315215.99014399998</v>
      </c>
      <c r="R476" s="21">
        <v>267132.02799999999</v>
      </c>
    </row>
    <row r="477" spans="1:18" ht="15.75" thickBot="1" x14ac:dyDescent="0.3">
      <c r="A477" s="21" t="s">
        <v>109</v>
      </c>
      <c r="B477" s="22" t="s">
        <v>99</v>
      </c>
      <c r="C477" s="22" t="s">
        <v>100</v>
      </c>
      <c r="D477" s="22">
        <v>1015</v>
      </c>
      <c r="E477" s="22">
        <v>13</v>
      </c>
      <c r="F477" s="21">
        <f t="shared" si="24"/>
        <v>236957.84</v>
      </c>
      <c r="G477" s="21">
        <f t="shared" si="25"/>
        <v>35543.675999999999</v>
      </c>
      <c r="H477" s="21">
        <v>60000</v>
      </c>
      <c r="I477" s="21">
        <v>15000</v>
      </c>
      <c r="J477" s="21">
        <v>15000</v>
      </c>
      <c r="K477" s="26"/>
      <c r="L477" s="21">
        <f>SUM(F477:K477)</f>
        <v>362501.516</v>
      </c>
      <c r="M477" s="21">
        <v>39500.871928</v>
      </c>
      <c r="N477" s="21">
        <v>16725.318359999997</v>
      </c>
      <c r="O477" s="21">
        <v>19738.588071999999</v>
      </c>
      <c r="P477" s="21">
        <f>IF((D477*233.456*3%)&gt;7004,7004,(D477*233.456*3%))</f>
        <v>7004</v>
      </c>
      <c r="Q477" s="21">
        <f t="shared" si="23"/>
        <v>319033.60956800001</v>
      </c>
      <c r="R477" s="21">
        <v>272501.516</v>
      </c>
    </row>
    <row r="478" spans="1:18" ht="15.75" thickBot="1" x14ac:dyDescent="0.3">
      <c r="A478" s="21" t="s">
        <v>109</v>
      </c>
      <c r="B478" s="22" t="s">
        <v>99</v>
      </c>
      <c r="C478" s="22" t="s">
        <v>100</v>
      </c>
      <c r="D478" s="22">
        <v>995</v>
      </c>
      <c r="E478" s="22">
        <v>12</v>
      </c>
      <c r="F478" s="21">
        <f t="shared" si="24"/>
        <v>232288.72</v>
      </c>
      <c r="G478" s="21">
        <f t="shared" si="25"/>
        <v>34843.307999999997</v>
      </c>
      <c r="H478" s="21">
        <v>60000</v>
      </c>
      <c r="I478" s="21">
        <v>15000</v>
      </c>
      <c r="J478" s="21">
        <v>15000</v>
      </c>
      <c r="K478" s="26"/>
      <c r="L478" s="21">
        <f>SUM(F478:K478)</f>
        <v>357132.02799999999</v>
      </c>
      <c r="M478" s="21">
        <v>38722.529624000003</v>
      </c>
      <c r="N478" s="21">
        <v>15597.725879999998</v>
      </c>
      <c r="O478" s="21">
        <v>19349.650376000001</v>
      </c>
      <c r="P478" s="21">
        <f>IF((D478*233.456*3%)&gt;7004,7004,(D478*233.456*3%))</f>
        <v>6968.6615999999995</v>
      </c>
      <c r="Q478" s="21">
        <f t="shared" si="23"/>
        <v>315215.99014399998</v>
      </c>
      <c r="R478" s="21">
        <v>267132.02799999999</v>
      </c>
    </row>
    <row r="479" spans="1:18" ht="15.75" thickBot="1" x14ac:dyDescent="0.3">
      <c r="A479" s="21" t="s">
        <v>109</v>
      </c>
      <c r="B479" s="22" t="s">
        <v>99</v>
      </c>
      <c r="C479" s="22" t="s">
        <v>100</v>
      </c>
      <c r="D479" s="22">
        <v>980</v>
      </c>
      <c r="E479" s="22">
        <v>11</v>
      </c>
      <c r="F479" s="21">
        <f t="shared" si="24"/>
        <v>228786.87999999998</v>
      </c>
      <c r="G479" s="21">
        <f t="shared" si="25"/>
        <v>34318.031999999992</v>
      </c>
      <c r="H479" s="21">
        <v>60000</v>
      </c>
      <c r="I479" s="21">
        <v>15000</v>
      </c>
      <c r="J479" s="21">
        <v>15000</v>
      </c>
      <c r="K479" s="26"/>
      <c r="L479" s="21">
        <f>SUM(F479:K479)</f>
        <v>353104.91199999995</v>
      </c>
      <c r="M479" s="21">
        <v>38138.772896000002</v>
      </c>
      <c r="N479" s="21">
        <v>14752.03151999999</v>
      </c>
      <c r="O479" s="21">
        <v>19057.947103999999</v>
      </c>
      <c r="P479" s="21">
        <f>IF((D479*233.456*3%)&gt;7004,7004,(D479*233.456*3%))</f>
        <v>6863.6063999999988</v>
      </c>
      <c r="Q479" s="21">
        <f t="shared" si="23"/>
        <v>312431.32697599998</v>
      </c>
      <c r="R479" s="21">
        <v>263104.91199999995</v>
      </c>
    </row>
    <row r="480" spans="1:18" ht="15.75" thickBot="1" x14ac:dyDescent="0.3">
      <c r="A480" s="21" t="s">
        <v>109</v>
      </c>
      <c r="B480" s="22" t="s">
        <v>99</v>
      </c>
      <c r="C480" s="22" t="s">
        <v>100</v>
      </c>
      <c r="D480" s="22">
        <v>955</v>
      </c>
      <c r="E480" s="22">
        <v>23</v>
      </c>
      <c r="F480" s="21">
        <f t="shared" si="24"/>
        <v>222950.47999999998</v>
      </c>
      <c r="G480" s="21">
        <f t="shared" si="25"/>
        <v>33442.571999999993</v>
      </c>
      <c r="H480" s="21">
        <v>60000</v>
      </c>
      <c r="I480" s="21">
        <v>15000</v>
      </c>
      <c r="J480" s="21">
        <v>15000</v>
      </c>
      <c r="K480" s="26"/>
      <c r="L480" s="21">
        <f>SUM(F480:K480)</f>
        <v>346393.05199999997</v>
      </c>
      <c r="M480" s="21">
        <v>37165.845015999999</v>
      </c>
      <c r="N480" s="21">
        <v>13342.540919999992</v>
      </c>
      <c r="O480" s="21">
        <v>18571.774984</v>
      </c>
      <c r="P480" s="21">
        <f>IF((D480*233.456*3%)&gt;7004,7004,(D480*233.456*3%))</f>
        <v>6688.5143999999991</v>
      </c>
      <c r="Q480" s="21">
        <f t="shared" si="23"/>
        <v>307790.22169599996</v>
      </c>
      <c r="R480" s="21">
        <v>256393.05199999997</v>
      </c>
    </row>
    <row r="481" spans="1:18" ht="15.75" thickBot="1" x14ac:dyDescent="0.3">
      <c r="A481" s="21" t="s">
        <v>109</v>
      </c>
      <c r="B481" s="22" t="s">
        <v>99</v>
      </c>
      <c r="C481" s="22" t="s">
        <v>100</v>
      </c>
      <c r="D481" s="22">
        <v>930</v>
      </c>
      <c r="E481" s="22">
        <v>22</v>
      </c>
      <c r="F481" s="21">
        <f t="shared" si="24"/>
        <v>217114.08</v>
      </c>
      <c r="G481" s="21">
        <f t="shared" si="25"/>
        <v>32567.111999999997</v>
      </c>
      <c r="H481" s="21">
        <v>60000</v>
      </c>
      <c r="I481" s="21">
        <v>15000</v>
      </c>
      <c r="J481" s="21">
        <v>15000</v>
      </c>
      <c r="K481" s="26"/>
      <c r="L481" s="21">
        <f>SUM(F481:K481)</f>
        <v>339681.19199999998</v>
      </c>
      <c r="M481" s="21">
        <v>36192.917136000004</v>
      </c>
      <c r="N481" s="21">
        <v>11933.050319999995</v>
      </c>
      <c r="O481" s="21">
        <v>18085.602864</v>
      </c>
      <c r="P481" s="21">
        <f>IF((D481*233.456*3%)&gt;7004,7004,(D481*233.456*3%))</f>
        <v>6513.4223999999995</v>
      </c>
      <c r="Q481" s="21">
        <f t="shared" si="23"/>
        <v>303149.116416</v>
      </c>
      <c r="R481" s="21">
        <v>249681.19199999998</v>
      </c>
    </row>
    <row r="482" spans="1:18" ht="15.75" thickBot="1" x14ac:dyDescent="0.3">
      <c r="A482" s="21" t="s">
        <v>109</v>
      </c>
      <c r="B482" s="22" t="s">
        <v>99</v>
      </c>
      <c r="C482" s="22" t="s">
        <v>100</v>
      </c>
      <c r="D482" s="22">
        <v>915</v>
      </c>
      <c r="E482" s="22">
        <v>21</v>
      </c>
      <c r="F482" s="21">
        <f t="shared" si="24"/>
        <v>213612.24</v>
      </c>
      <c r="G482" s="21">
        <f t="shared" si="25"/>
        <v>32041.835999999996</v>
      </c>
      <c r="H482" s="21">
        <v>60000</v>
      </c>
      <c r="I482" s="21">
        <v>15000</v>
      </c>
      <c r="J482" s="21">
        <v>15000</v>
      </c>
      <c r="K482" s="26"/>
      <c r="L482" s="21">
        <f>SUM(F482:K482)</f>
        <v>335654.076</v>
      </c>
      <c r="M482" s="21">
        <v>35609.160408000003</v>
      </c>
      <c r="N482" s="21">
        <v>11087.355960000001</v>
      </c>
      <c r="O482" s="21">
        <v>17793.899591999998</v>
      </c>
      <c r="P482" s="21">
        <f>IF((D482*233.456*3%)&gt;7004,7004,(D482*233.456*3%))</f>
        <v>6408.3671999999997</v>
      </c>
      <c r="Q482" s="21">
        <f t="shared" si="23"/>
        <v>300364.45324800001</v>
      </c>
      <c r="R482" s="21">
        <v>245654.076</v>
      </c>
    </row>
    <row r="483" spans="1:18" ht="15.75" thickBot="1" x14ac:dyDescent="0.3">
      <c r="A483" s="21" t="s">
        <v>109</v>
      </c>
      <c r="B483" s="22" t="s">
        <v>99</v>
      </c>
      <c r="C483" s="22" t="s">
        <v>100</v>
      </c>
      <c r="D483" s="22">
        <v>880</v>
      </c>
      <c r="E483" s="22">
        <v>33</v>
      </c>
      <c r="F483" s="21">
        <f t="shared" si="24"/>
        <v>205441.28</v>
      </c>
      <c r="G483" s="21">
        <f t="shared" si="25"/>
        <v>30816.191999999999</v>
      </c>
      <c r="H483" s="21">
        <v>60000</v>
      </c>
      <c r="I483" s="21">
        <v>15000</v>
      </c>
      <c r="J483" s="21">
        <v>15000</v>
      </c>
      <c r="K483" s="26"/>
      <c r="L483" s="21">
        <f>SUM(F483:K483)</f>
        <v>326257.47200000001</v>
      </c>
      <c r="M483" s="21">
        <v>34247.061376000005</v>
      </c>
      <c r="N483" s="21">
        <v>9301.1955200000011</v>
      </c>
      <c r="O483" s="21">
        <v>17113.258623999998</v>
      </c>
      <c r="P483" s="21">
        <f>IF((D483*233.456*3%)&gt;7004,7004,(D483*233.456*3%))</f>
        <v>6163.2384000000002</v>
      </c>
      <c r="Q483" s="21">
        <f t="shared" si="23"/>
        <v>293679.77945600002</v>
      </c>
      <c r="R483" s="21">
        <v>236257.47200000001</v>
      </c>
    </row>
    <row r="484" spans="1:18" ht="15.75" thickBot="1" x14ac:dyDescent="0.3">
      <c r="A484" s="21" t="s">
        <v>109</v>
      </c>
      <c r="B484" s="22" t="s">
        <v>99</v>
      </c>
      <c r="C484" s="22" t="s">
        <v>100</v>
      </c>
      <c r="D484" s="22">
        <v>860</v>
      </c>
      <c r="E484" s="22">
        <v>32</v>
      </c>
      <c r="F484" s="21">
        <f t="shared" si="24"/>
        <v>200772.16</v>
      </c>
      <c r="G484" s="21">
        <f t="shared" si="25"/>
        <v>30115.824000000001</v>
      </c>
      <c r="H484" s="21">
        <v>60000</v>
      </c>
      <c r="I484" s="21">
        <v>15000</v>
      </c>
      <c r="J484" s="21">
        <v>15000</v>
      </c>
      <c r="K484" s="26"/>
      <c r="L484" s="21">
        <f>SUM(F484:K484)</f>
        <v>320887.984</v>
      </c>
      <c r="M484" s="21">
        <v>33468.719072000007</v>
      </c>
      <c r="N484" s="21">
        <v>8442.0774400000009</v>
      </c>
      <c r="O484" s="21">
        <v>16724.320928000001</v>
      </c>
      <c r="P484" s="21">
        <f>IF((D484*233.456*3%)&gt;7004,7004,(D484*233.456*3%))</f>
        <v>6023.1647999999996</v>
      </c>
      <c r="Q484" s="21">
        <f t="shared" si="23"/>
        <v>289698.42083199997</v>
      </c>
      <c r="R484" s="21">
        <v>230887.984</v>
      </c>
    </row>
    <row r="485" spans="1:18" ht="15.75" thickBot="1" x14ac:dyDescent="0.3">
      <c r="A485" s="21" t="s">
        <v>109</v>
      </c>
      <c r="B485" s="22" t="s">
        <v>99</v>
      </c>
      <c r="C485" s="22" t="s">
        <v>100</v>
      </c>
      <c r="D485" s="22">
        <v>835</v>
      </c>
      <c r="E485" s="22">
        <v>31</v>
      </c>
      <c r="F485" s="21">
        <f t="shared" si="24"/>
        <v>194935.75999999998</v>
      </c>
      <c r="G485" s="21">
        <f t="shared" si="25"/>
        <v>29240.363999999998</v>
      </c>
      <c r="H485" s="21">
        <v>60000</v>
      </c>
      <c r="I485" s="21">
        <v>15000</v>
      </c>
      <c r="J485" s="21">
        <v>15000</v>
      </c>
      <c r="K485" s="26"/>
      <c r="L485" s="21">
        <f>SUM(F485:K485)</f>
        <v>314176.12399999995</v>
      </c>
      <c r="M485" s="21">
        <v>32495.791192000001</v>
      </c>
      <c r="N485" s="21">
        <v>7368.1798399999971</v>
      </c>
      <c r="O485" s="21">
        <v>16238.148807999998</v>
      </c>
      <c r="P485" s="21">
        <f>IF((D485*233.456*3%)&gt;7004,7004,(D485*233.456*3%))</f>
        <v>5848.072799999999</v>
      </c>
      <c r="Q485" s="21">
        <f t="shared" si="23"/>
        <v>284721.72255199996</v>
      </c>
      <c r="R485" s="21">
        <v>224176.12399999998</v>
      </c>
    </row>
    <row r="486" spans="1:18" ht="15.75" thickBot="1" x14ac:dyDescent="0.3">
      <c r="A486" s="21" t="s">
        <v>109</v>
      </c>
      <c r="B486" s="22" t="s">
        <v>99</v>
      </c>
      <c r="C486" s="22" t="s">
        <v>100</v>
      </c>
      <c r="D486" s="22">
        <v>795</v>
      </c>
      <c r="E486" s="22">
        <v>44</v>
      </c>
      <c r="F486" s="21">
        <f t="shared" si="24"/>
        <v>185597.52</v>
      </c>
      <c r="G486" s="21">
        <f t="shared" si="25"/>
        <v>27839.627999999997</v>
      </c>
      <c r="H486" s="21">
        <v>60000</v>
      </c>
      <c r="I486" s="21">
        <v>15000</v>
      </c>
      <c r="J486" s="21">
        <v>15000</v>
      </c>
      <c r="K486" s="26"/>
      <c r="L486" s="21">
        <f>SUM(F486:K486)</f>
        <v>303437.14799999999</v>
      </c>
      <c r="M486" s="21">
        <v>30939.106584000001</v>
      </c>
      <c r="N486" s="21">
        <v>5649.9436799999967</v>
      </c>
      <c r="O486" s="21">
        <v>15460.273415999998</v>
      </c>
      <c r="P486" s="21">
        <f>IF((D486*233.456*3%)&gt;7004,7004,(D486*233.456*3%))</f>
        <v>5567.9255999999996</v>
      </c>
      <c r="Q486" s="21">
        <f t="shared" si="23"/>
        <v>276759.00530399999</v>
      </c>
      <c r="R486" s="21">
        <v>213437.14799999999</v>
      </c>
    </row>
    <row r="487" spans="1:18" ht="15.75" thickBot="1" x14ac:dyDescent="0.3">
      <c r="A487" s="21" t="s">
        <v>109</v>
      </c>
      <c r="B487" s="22" t="s">
        <v>99</v>
      </c>
      <c r="C487" s="22" t="s">
        <v>100</v>
      </c>
      <c r="D487" s="22">
        <v>770</v>
      </c>
      <c r="E487" s="22">
        <v>43</v>
      </c>
      <c r="F487" s="21">
        <f t="shared" si="24"/>
        <v>179761.12</v>
      </c>
      <c r="G487" s="21">
        <f t="shared" si="25"/>
        <v>26964.167999999998</v>
      </c>
      <c r="H487" s="21">
        <v>60000</v>
      </c>
      <c r="I487" s="21">
        <v>15000</v>
      </c>
      <c r="J487" s="21">
        <v>15000</v>
      </c>
      <c r="K487" s="26"/>
      <c r="L487" s="21">
        <f>SUM(F487:K487)</f>
        <v>296725.288</v>
      </c>
      <c r="M487" s="21">
        <v>29966.178704000002</v>
      </c>
      <c r="N487" s="21">
        <v>4576.0460800000001</v>
      </c>
      <c r="O487" s="21">
        <v>14974.101295999999</v>
      </c>
      <c r="P487" s="21">
        <f>IF((D487*233.456*3%)&gt;7004,7004,(D487*233.456*3%))</f>
        <v>5392.8335999999999</v>
      </c>
      <c r="Q487" s="21">
        <f t="shared" si="23"/>
        <v>271782.30702399998</v>
      </c>
      <c r="R487" s="21">
        <v>206725.288</v>
      </c>
    </row>
    <row r="488" spans="1:18" ht="15.75" thickBot="1" x14ac:dyDescent="0.3">
      <c r="A488" s="21" t="s">
        <v>109</v>
      </c>
      <c r="B488" s="22" t="s">
        <v>99</v>
      </c>
      <c r="C488" s="22" t="s">
        <v>100</v>
      </c>
      <c r="D488" s="22">
        <v>740</v>
      </c>
      <c r="E488" s="22">
        <v>42</v>
      </c>
      <c r="F488" s="21">
        <f t="shared" si="24"/>
        <v>172757.44</v>
      </c>
      <c r="G488" s="21">
        <f t="shared" si="25"/>
        <v>25913.615999999998</v>
      </c>
      <c r="H488" s="21">
        <v>60000</v>
      </c>
      <c r="I488" s="21">
        <v>15000</v>
      </c>
      <c r="J488" s="21">
        <v>15000</v>
      </c>
      <c r="K488" s="26"/>
      <c r="L488" s="21">
        <f>SUM(F488:K488)</f>
        <v>288671.05599999998</v>
      </c>
      <c r="M488" s="21">
        <v>28798.665248000001</v>
      </c>
      <c r="N488" s="21">
        <v>3287.3689600000034</v>
      </c>
      <c r="O488" s="21">
        <v>14390.694751999999</v>
      </c>
      <c r="P488" s="21">
        <f>IF((D488*233.456*3%)&gt;7004,7004,(D488*233.456*3%))</f>
        <v>5182.7231999999995</v>
      </c>
      <c r="Q488" s="21">
        <f t="shared" si="23"/>
        <v>265810.269088</v>
      </c>
      <c r="R488" s="21">
        <v>198671.05600000001</v>
      </c>
    </row>
    <row r="489" spans="1:18" ht="15.75" thickBot="1" x14ac:dyDescent="0.3">
      <c r="A489" s="21" t="s">
        <v>109</v>
      </c>
      <c r="B489" s="22" t="s">
        <v>99</v>
      </c>
      <c r="C489" s="22" t="s">
        <v>100</v>
      </c>
      <c r="D489" s="22">
        <v>705</v>
      </c>
      <c r="E489" s="22">
        <v>41</v>
      </c>
      <c r="F489" s="21">
        <f t="shared" si="24"/>
        <v>164586.47999999998</v>
      </c>
      <c r="G489" s="21">
        <f t="shared" si="25"/>
        <v>24687.971999999998</v>
      </c>
      <c r="H489" s="21">
        <v>60000</v>
      </c>
      <c r="I489" s="21">
        <v>15000</v>
      </c>
      <c r="J489" s="21">
        <v>15000</v>
      </c>
      <c r="K489" s="26"/>
      <c r="L489" s="21">
        <f>SUM(F489:K489)</f>
        <v>279274.45199999999</v>
      </c>
      <c r="M489" s="21">
        <v>27436.566215999999</v>
      </c>
      <c r="N489" s="21">
        <v>1783.9123199999995</v>
      </c>
      <c r="O489" s="21">
        <v>13710.053783999998</v>
      </c>
      <c r="P489" s="21">
        <f>IF((D489*233.456*3%)&gt;7004,7004,(D489*233.456*3%))</f>
        <v>4937.594399999999</v>
      </c>
      <c r="Q489" s="21">
        <f>L489-SUM(N489:P489)</f>
        <v>258842.891496</v>
      </c>
      <c r="R489" s="21">
        <v>189274.45199999999</v>
      </c>
    </row>
    <row r="490" spans="1:18" ht="15.75" thickBot="1" x14ac:dyDescent="0.3">
      <c r="A490" s="21" t="s">
        <v>110</v>
      </c>
      <c r="B490" s="22" t="s">
        <v>90</v>
      </c>
      <c r="C490" s="22" t="s">
        <v>91</v>
      </c>
      <c r="D490" s="22">
        <v>4930</v>
      </c>
      <c r="E490" s="22">
        <v>21</v>
      </c>
      <c r="F490" s="21">
        <f t="shared" si="24"/>
        <v>1150938.0799999998</v>
      </c>
      <c r="G490" s="21">
        <f t="shared" si="25"/>
        <v>172640.71199999997</v>
      </c>
      <c r="H490" s="21">
        <v>90000</v>
      </c>
      <c r="I490" s="21">
        <v>15000</v>
      </c>
      <c r="J490" s="21">
        <v>15000</v>
      </c>
      <c r="K490" s="26">
        <v>250000</v>
      </c>
      <c r="L490" s="21">
        <f>SUM(F490:K490)</f>
        <v>1693578.7919999999</v>
      </c>
      <c r="M490" s="21">
        <v>191861.377936</v>
      </c>
      <c r="N490" s="21">
        <v>253158.91007999994</v>
      </c>
      <c r="O490" s="21">
        <v>95873.142063999985</v>
      </c>
      <c r="P490" s="21">
        <f>IF((D490*233.456*3%)&gt;7004,7004,(D490*233.456*3%))</f>
        <v>7004</v>
      </c>
      <c r="Q490" s="21">
        <f t="shared" ref="Q490:Q553" si="26">L490-SUM(N490:P490)</f>
        <v>1337542.7398560001</v>
      </c>
      <c r="R490" s="21">
        <v>1323578.7919999999</v>
      </c>
    </row>
    <row r="491" spans="1:18" ht="15.75" thickBot="1" x14ac:dyDescent="0.3">
      <c r="A491" s="21" t="s">
        <v>110</v>
      </c>
      <c r="B491" s="22" t="s">
        <v>90</v>
      </c>
      <c r="C491" s="22" t="s">
        <v>91</v>
      </c>
      <c r="D491" s="22">
        <v>4815</v>
      </c>
      <c r="E491" s="22">
        <v>33</v>
      </c>
      <c r="F491" s="21">
        <f t="shared" si="24"/>
        <v>1124090.6399999999</v>
      </c>
      <c r="G491" s="21">
        <f t="shared" si="25"/>
        <v>168613.59599999999</v>
      </c>
      <c r="H491" s="21">
        <v>90000</v>
      </c>
      <c r="I491" s="21">
        <v>15000</v>
      </c>
      <c r="J491" s="21">
        <v>15000</v>
      </c>
      <c r="K491" s="26">
        <v>250000</v>
      </c>
      <c r="L491" s="21">
        <f>SUM(F491:K491)</f>
        <v>1662704.2359999998</v>
      </c>
      <c r="M491" s="21">
        <v>187385.90968799999</v>
      </c>
      <c r="N491" s="21">
        <v>245749.01663999993</v>
      </c>
      <c r="O491" s="21">
        <v>93636.750311999989</v>
      </c>
      <c r="P491" s="21">
        <f>IF((D491*233.456*3%)&gt;7004,7004,(D491*233.456*3%))</f>
        <v>7004</v>
      </c>
      <c r="Q491" s="21">
        <f t="shared" si="26"/>
        <v>1316314.4690479999</v>
      </c>
      <c r="R491" s="21">
        <v>1292704.2359999998</v>
      </c>
    </row>
    <row r="492" spans="1:18" ht="15.75" thickBot="1" x14ac:dyDescent="0.3">
      <c r="A492" s="21" t="s">
        <v>110</v>
      </c>
      <c r="B492" s="22" t="s">
        <v>90</v>
      </c>
      <c r="C492" s="22" t="s">
        <v>91</v>
      </c>
      <c r="D492" s="22">
        <v>4700</v>
      </c>
      <c r="E492" s="22">
        <v>32</v>
      </c>
      <c r="F492" s="21">
        <f t="shared" si="24"/>
        <v>1097243.2</v>
      </c>
      <c r="G492" s="21">
        <f t="shared" si="25"/>
        <v>164586.47999999998</v>
      </c>
      <c r="H492" s="21">
        <v>90000</v>
      </c>
      <c r="I492" s="21">
        <v>15000</v>
      </c>
      <c r="J492" s="21">
        <v>15000</v>
      </c>
      <c r="K492" s="26">
        <v>250000</v>
      </c>
      <c r="L492" s="21">
        <f>SUM(F492:K492)</f>
        <v>1631829.68</v>
      </c>
      <c r="M492" s="21">
        <v>182910.44144</v>
      </c>
      <c r="N492" s="21">
        <v>238339.12319999997</v>
      </c>
      <c r="O492" s="21">
        <v>91400.358559999993</v>
      </c>
      <c r="P492" s="21">
        <f>IF((D492*233.456*3%)&gt;7004,7004,(D492*233.456*3%))</f>
        <v>7004</v>
      </c>
      <c r="Q492" s="21">
        <f t="shared" si="26"/>
        <v>1295086.1982399998</v>
      </c>
      <c r="R492" s="21">
        <v>1261829.68</v>
      </c>
    </row>
    <row r="493" spans="1:18" ht="15.75" thickBot="1" x14ac:dyDescent="0.3">
      <c r="A493" s="21" t="s">
        <v>110</v>
      </c>
      <c r="B493" s="22" t="s">
        <v>90</v>
      </c>
      <c r="C493" s="22" t="s">
        <v>91</v>
      </c>
      <c r="D493" s="22">
        <v>4640</v>
      </c>
      <c r="E493" s="22">
        <v>31</v>
      </c>
      <c r="F493" s="21">
        <f t="shared" si="24"/>
        <v>1083235.8399999999</v>
      </c>
      <c r="G493" s="21">
        <f t="shared" si="25"/>
        <v>162485.37599999996</v>
      </c>
      <c r="H493" s="21">
        <v>90000</v>
      </c>
      <c r="I493" s="21">
        <v>15000</v>
      </c>
      <c r="J493" s="21">
        <v>15000</v>
      </c>
      <c r="K493" s="26">
        <v>250000</v>
      </c>
      <c r="L493" s="21">
        <f>SUM(F493:K493)</f>
        <v>1615721.2159999998</v>
      </c>
      <c r="M493" s="21">
        <v>180575.41452799999</v>
      </c>
      <c r="N493" s="21">
        <v>234473.09183999995</v>
      </c>
      <c r="O493" s="21">
        <v>90233.545471999983</v>
      </c>
      <c r="P493" s="21">
        <f>IF((D493*233.456*3%)&gt;7004,7004,(D493*233.456*3%))</f>
        <v>7004</v>
      </c>
      <c r="Q493" s="21">
        <f t="shared" si="26"/>
        <v>1284010.5786879999</v>
      </c>
      <c r="R493" s="21">
        <v>1245721.2159999998</v>
      </c>
    </row>
    <row r="494" spans="1:18" ht="15.75" thickBot="1" x14ac:dyDescent="0.3">
      <c r="A494" s="21" t="s">
        <v>110</v>
      </c>
      <c r="B494" s="22" t="s">
        <v>90</v>
      </c>
      <c r="C494" s="22" t="s">
        <v>91</v>
      </c>
      <c r="D494" s="22">
        <v>4545</v>
      </c>
      <c r="E494" s="22">
        <v>44</v>
      </c>
      <c r="F494" s="21">
        <f t="shared" si="24"/>
        <v>1061057.52</v>
      </c>
      <c r="G494" s="21">
        <f t="shared" si="25"/>
        <v>159158.628</v>
      </c>
      <c r="H494" s="21">
        <v>90000</v>
      </c>
      <c r="I494" s="21">
        <v>15000</v>
      </c>
      <c r="J494" s="21">
        <v>15000</v>
      </c>
      <c r="K494" s="26">
        <v>250000</v>
      </c>
      <c r="L494" s="21">
        <f>SUM(F494:K494)</f>
        <v>1590216.148</v>
      </c>
      <c r="M494" s="21">
        <v>176878.28858400002</v>
      </c>
      <c r="N494" s="21">
        <v>228351.87552</v>
      </c>
      <c r="O494" s="21">
        <v>88386.091415999996</v>
      </c>
      <c r="P494" s="21">
        <f>IF((D494*233.456*3%)&gt;7004,7004,(D494*233.456*3%))</f>
        <v>7004</v>
      </c>
      <c r="Q494" s="21">
        <f t="shared" si="26"/>
        <v>1266474.1810640001</v>
      </c>
      <c r="R494" s="21">
        <v>1220216.148</v>
      </c>
    </row>
    <row r="495" spans="1:18" ht="15.75" thickBot="1" x14ac:dyDescent="0.3">
      <c r="A495" s="21" t="s">
        <v>110</v>
      </c>
      <c r="B495" s="22" t="s">
        <v>90</v>
      </c>
      <c r="C495" s="22" t="s">
        <v>91</v>
      </c>
      <c r="D495" s="22">
        <v>4440</v>
      </c>
      <c r="E495" s="22">
        <v>43</v>
      </c>
      <c r="F495" s="21">
        <f t="shared" si="24"/>
        <v>1036544.6399999999</v>
      </c>
      <c r="G495" s="21">
        <f t="shared" si="25"/>
        <v>155481.69599999997</v>
      </c>
      <c r="H495" s="21">
        <v>90000</v>
      </c>
      <c r="I495" s="21">
        <v>15000</v>
      </c>
      <c r="J495" s="21">
        <v>15000</v>
      </c>
      <c r="K495" s="26">
        <v>250000</v>
      </c>
      <c r="L495" s="21">
        <f>SUM(F495:K495)</f>
        <v>1562026.3359999999</v>
      </c>
      <c r="M495" s="21">
        <v>172791.991488</v>
      </c>
      <c r="N495" s="21">
        <v>221586.32063999999</v>
      </c>
      <c r="O495" s="21">
        <v>86344.168511999989</v>
      </c>
      <c r="P495" s="21">
        <f>IF((D495*233.456*3%)&gt;7004,7004,(D495*233.456*3%))</f>
        <v>7004</v>
      </c>
      <c r="Q495" s="21">
        <f t="shared" si="26"/>
        <v>1247091.8468479998</v>
      </c>
      <c r="R495" s="21">
        <v>1192026.3359999999</v>
      </c>
    </row>
    <row r="496" spans="1:18" ht="15.75" thickBot="1" x14ac:dyDescent="0.3">
      <c r="A496" s="21" t="s">
        <v>110</v>
      </c>
      <c r="B496" s="22" t="s">
        <v>90</v>
      </c>
      <c r="C496" s="22" t="s">
        <v>91</v>
      </c>
      <c r="D496" s="22">
        <v>4350</v>
      </c>
      <c r="E496" s="22">
        <v>42</v>
      </c>
      <c r="F496" s="21">
        <f t="shared" si="24"/>
        <v>1015533.6</v>
      </c>
      <c r="G496" s="21">
        <f t="shared" si="25"/>
        <v>152330.03999999998</v>
      </c>
      <c r="H496" s="21">
        <v>90000</v>
      </c>
      <c r="I496" s="21">
        <v>15000</v>
      </c>
      <c r="J496" s="21">
        <v>15000</v>
      </c>
      <c r="K496" s="26">
        <v>250000</v>
      </c>
      <c r="L496" s="21">
        <f>SUM(F496:K496)</f>
        <v>1537863.64</v>
      </c>
      <c r="M496" s="21">
        <v>169289.45112000001</v>
      </c>
      <c r="N496" s="21">
        <v>215787.27359999996</v>
      </c>
      <c r="O496" s="21">
        <v>84593.948879999996</v>
      </c>
      <c r="P496" s="21">
        <f>IF((D496*233.456*3%)&gt;7004,7004,(D496*233.456*3%))</f>
        <v>7004</v>
      </c>
      <c r="Q496" s="21">
        <f t="shared" si="26"/>
        <v>1230478.4175199999</v>
      </c>
      <c r="R496" s="21">
        <v>1167863.6399999999</v>
      </c>
    </row>
    <row r="497" spans="1:18" ht="15.75" thickBot="1" x14ac:dyDescent="0.3">
      <c r="A497" s="21" t="s">
        <v>110</v>
      </c>
      <c r="B497" s="22" t="s">
        <v>90</v>
      </c>
      <c r="C497" s="22" t="s">
        <v>91</v>
      </c>
      <c r="D497" s="22">
        <v>4285</v>
      </c>
      <c r="E497" s="22">
        <v>41</v>
      </c>
      <c r="F497" s="21">
        <f t="shared" si="24"/>
        <v>1000358.96</v>
      </c>
      <c r="G497" s="21">
        <f t="shared" si="25"/>
        <v>150053.84399999998</v>
      </c>
      <c r="H497" s="21">
        <v>90000</v>
      </c>
      <c r="I497" s="21">
        <v>15000</v>
      </c>
      <c r="J497" s="21">
        <v>15000</v>
      </c>
      <c r="K497" s="26">
        <v>250000</v>
      </c>
      <c r="L497" s="21">
        <f>SUM(F497:K497)</f>
        <v>1520412.804</v>
      </c>
      <c r="M497" s="21">
        <v>166759.838632</v>
      </c>
      <c r="N497" s="21">
        <v>211599.07296000002</v>
      </c>
      <c r="O497" s="21">
        <v>83329.901367999992</v>
      </c>
      <c r="P497" s="21">
        <f>IF((D497*233.456*3%)&gt;7004,7004,(D497*233.456*3%))</f>
        <v>7004</v>
      </c>
      <c r="Q497" s="21">
        <f t="shared" si="26"/>
        <v>1218479.8296719999</v>
      </c>
      <c r="R497" s="21">
        <v>1150412.804</v>
      </c>
    </row>
    <row r="498" spans="1:18" ht="15.75" thickBot="1" x14ac:dyDescent="0.3">
      <c r="A498" s="21" t="s">
        <v>110</v>
      </c>
      <c r="B498" s="22" t="s">
        <v>90</v>
      </c>
      <c r="C498" s="22" t="s">
        <v>92</v>
      </c>
      <c r="D498" s="22">
        <v>4610</v>
      </c>
      <c r="E498" s="22">
        <v>22</v>
      </c>
      <c r="F498" s="21">
        <f t="shared" si="24"/>
        <v>1076232.1599999999</v>
      </c>
      <c r="G498" s="21">
        <f t="shared" si="25"/>
        <v>161434.82399999999</v>
      </c>
      <c r="H498" s="21">
        <v>90000</v>
      </c>
      <c r="I498" s="21">
        <v>15000</v>
      </c>
      <c r="J498" s="21">
        <v>15000</v>
      </c>
      <c r="K498" s="26">
        <v>225000</v>
      </c>
      <c r="L498" s="21">
        <f>SUM(F498:K498)</f>
        <v>1582666.9839999999</v>
      </c>
      <c r="M498" s="21">
        <v>179407.90107200001</v>
      </c>
      <c r="N498" s="21">
        <v>232540.07616</v>
      </c>
      <c r="O498" s="21">
        <v>89650.138927999986</v>
      </c>
      <c r="P498" s="21">
        <f>IF((D498*233.456*3%)&gt;7004,7004,(D498*233.456*3%))</f>
        <v>7004</v>
      </c>
      <c r="Q498" s="21">
        <f t="shared" si="26"/>
        <v>1253472.7689119999</v>
      </c>
      <c r="R498" s="21">
        <v>1237666.9839999999</v>
      </c>
    </row>
    <row r="499" spans="1:18" ht="15.75" thickBot="1" x14ac:dyDescent="0.3">
      <c r="A499" s="21" t="s">
        <v>110</v>
      </c>
      <c r="B499" s="22" t="s">
        <v>90</v>
      </c>
      <c r="C499" s="22" t="s">
        <v>92</v>
      </c>
      <c r="D499" s="22">
        <v>4330</v>
      </c>
      <c r="E499" s="22">
        <v>21</v>
      </c>
      <c r="F499" s="21">
        <f t="shared" si="24"/>
        <v>1010864.48</v>
      </c>
      <c r="G499" s="21">
        <f t="shared" si="25"/>
        <v>151629.67199999999</v>
      </c>
      <c r="H499" s="21">
        <v>90000</v>
      </c>
      <c r="I499" s="21">
        <v>15000</v>
      </c>
      <c r="J499" s="21">
        <v>15000</v>
      </c>
      <c r="K499" s="26">
        <v>225000</v>
      </c>
      <c r="L499" s="21">
        <f>SUM(F499:K499)</f>
        <v>1507494.152</v>
      </c>
      <c r="M499" s="21">
        <v>168511.10881600002</v>
      </c>
      <c r="N499" s="21">
        <v>214498.59648000001</v>
      </c>
      <c r="O499" s="21">
        <v>84205.011184000003</v>
      </c>
      <c r="P499" s="21">
        <f>IF((D499*233.456*3%)&gt;7004,7004,(D499*233.456*3%))</f>
        <v>7004</v>
      </c>
      <c r="Q499" s="21">
        <f t="shared" si="26"/>
        <v>1201786.544336</v>
      </c>
      <c r="R499" s="21">
        <v>1162494.152</v>
      </c>
    </row>
    <row r="500" spans="1:18" ht="15.75" thickBot="1" x14ac:dyDescent="0.3">
      <c r="A500" s="21" t="s">
        <v>110</v>
      </c>
      <c r="B500" s="22" t="s">
        <v>90</v>
      </c>
      <c r="C500" s="22" t="s">
        <v>92</v>
      </c>
      <c r="D500" s="22">
        <v>4200</v>
      </c>
      <c r="E500" s="22">
        <v>33</v>
      </c>
      <c r="F500" s="21">
        <f t="shared" si="24"/>
        <v>980515.2</v>
      </c>
      <c r="G500" s="21">
        <f t="shared" si="25"/>
        <v>147077.28</v>
      </c>
      <c r="H500" s="21">
        <v>90000</v>
      </c>
      <c r="I500" s="21">
        <v>15000</v>
      </c>
      <c r="J500" s="21">
        <v>15000</v>
      </c>
      <c r="K500" s="26">
        <v>225000</v>
      </c>
      <c r="L500" s="21">
        <f>SUM(F500:K500)</f>
        <v>1472592.48</v>
      </c>
      <c r="M500" s="21">
        <v>163451.88383999999</v>
      </c>
      <c r="N500" s="21">
        <v>206122.19519999999</v>
      </c>
      <c r="O500" s="21">
        <v>81676.916159999993</v>
      </c>
      <c r="P500" s="21">
        <f>IF((D500*233.456*3%)&gt;7004,7004,(D500*233.456*3%))</f>
        <v>7004</v>
      </c>
      <c r="Q500" s="21">
        <f t="shared" si="26"/>
        <v>1177789.36864</v>
      </c>
      <c r="R500" s="21">
        <v>1127592.48</v>
      </c>
    </row>
    <row r="501" spans="1:18" ht="15.75" thickBot="1" x14ac:dyDescent="0.3">
      <c r="A501" s="21" t="s">
        <v>110</v>
      </c>
      <c r="B501" s="22" t="s">
        <v>90</v>
      </c>
      <c r="C501" s="22" t="s">
        <v>92</v>
      </c>
      <c r="D501" s="22">
        <v>4095</v>
      </c>
      <c r="E501" s="22">
        <v>32</v>
      </c>
      <c r="F501" s="21">
        <f t="shared" si="24"/>
        <v>956002.32</v>
      </c>
      <c r="G501" s="21">
        <f t="shared" si="25"/>
        <v>143400.348</v>
      </c>
      <c r="H501" s="21">
        <v>90000</v>
      </c>
      <c r="I501" s="21">
        <v>15000</v>
      </c>
      <c r="J501" s="21">
        <v>15000</v>
      </c>
      <c r="K501" s="26">
        <v>225000</v>
      </c>
      <c r="L501" s="21">
        <f>SUM(F501:K501)</f>
        <v>1444402.6680000001</v>
      </c>
      <c r="M501" s="21">
        <v>159365.586744</v>
      </c>
      <c r="N501" s="21">
        <v>199356.64032000001</v>
      </c>
      <c r="O501" s="21">
        <v>79634.993256000002</v>
      </c>
      <c r="P501" s="21">
        <f>IF((D501*233.456*3%)&gt;7004,7004,(D501*233.456*3%))</f>
        <v>7004</v>
      </c>
      <c r="Q501" s="21">
        <f t="shared" si="26"/>
        <v>1158407.034424</v>
      </c>
      <c r="R501" s="21">
        <v>1099402.6680000001</v>
      </c>
    </row>
    <row r="502" spans="1:18" ht="15.75" thickBot="1" x14ac:dyDescent="0.3">
      <c r="A502" s="21" t="s">
        <v>110</v>
      </c>
      <c r="B502" s="22" t="s">
        <v>90</v>
      </c>
      <c r="C502" s="22" t="s">
        <v>92</v>
      </c>
      <c r="D502" s="22">
        <v>4025</v>
      </c>
      <c r="E502" s="22">
        <v>31</v>
      </c>
      <c r="F502" s="21">
        <f t="shared" si="24"/>
        <v>939660.39999999991</v>
      </c>
      <c r="G502" s="21">
        <f t="shared" si="25"/>
        <v>140949.05999999997</v>
      </c>
      <c r="H502" s="21">
        <v>90000</v>
      </c>
      <c r="I502" s="21">
        <v>15000</v>
      </c>
      <c r="J502" s="21">
        <v>15000</v>
      </c>
      <c r="K502" s="26">
        <v>225000</v>
      </c>
      <c r="L502" s="21">
        <f>SUM(F502:K502)</f>
        <v>1425609.46</v>
      </c>
      <c r="M502" s="21">
        <v>156641.38868</v>
      </c>
      <c r="N502" s="21">
        <v>194846.27039999998</v>
      </c>
      <c r="O502" s="21">
        <v>78273.711319999988</v>
      </c>
      <c r="P502" s="21">
        <f>IF((D502*233.456*3%)&gt;7004,7004,(D502*233.456*3%))</f>
        <v>7004</v>
      </c>
      <c r="Q502" s="21">
        <f t="shared" si="26"/>
        <v>1145485.4782799999</v>
      </c>
      <c r="R502" s="21">
        <v>1080609.46</v>
      </c>
    </row>
    <row r="503" spans="1:18" ht="15.75" thickBot="1" x14ac:dyDescent="0.3">
      <c r="A503" s="21" t="s">
        <v>110</v>
      </c>
      <c r="B503" s="22" t="s">
        <v>90</v>
      </c>
      <c r="C503" s="22" t="s">
        <v>92</v>
      </c>
      <c r="D503" s="22">
        <v>3935</v>
      </c>
      <c r="E503" s="22">
        <v>44</v>
      </c>
      <c r="F503" s="21">
        <f t="shared" si="24"/>
        <v>918649.36</v>
      </c>
      <c r="G503" s="21">
        <f t="shared" si="25"/>
        <v>137797.40399999998</v>
      </c>
      <c r="H503" s="21">
        <v>90000</v>
      </c>
      <c r="I503" s="21">
        <v>15000</v>
      </c>
      <c r="J503" s="21">
        <v>15000</v>
      </c>
      <c r="K503" s="26">
        <v>225000</v>
      </c>
      <c r="L503" s="21">
        <f>SUM(F503:K503)</f>
        <v>1401446.764</v>
      </c>
      <c r="M503" s="21">
        <v>153138.84831200002</v>
      </c>
      <c r="N503" s="21">
        <v>189047.22336</v>
      </c>
      <c r="O503" s="21">
        <v>76523.491687999995</v>
      </c>
      <c r="P503" s="21">
        <f>IF((D503*233.456*3%)&gt;7004,7004,(D503*233.456*3%))</f>
        <v>7004</v>
      </c>
      <c r="Q503" s="21">
        <f t="shared" si="26"/>
        <v>1128872.048952</v>
      </c>
      <c r="R503" s="21">
        <v>1056446.764</v>
      </c>
    </row>
    <row r="504" spans="1:18" ht="15.75" thickBot="1" x14ac:dyDescent="0.3">
      <c r="A504" s="21" t="s">
        <v>110</v>
      </c>
      <c r="B504" s="22" t="s">
        <v>90</v>
      </c>
      <c r="C504" s="22" t="s">
        <v>92</v>
      </c>
      <c r="D504" s="22">
        <v>3850</v>
      </c>
      <c r="E504" s="22">
        <v>43</v>
      </c>
      <c r="F504" s="21">
        <f t="shared" si="24"/>
        <v>898805.6</v>
      </c>
      <c r="G504" s="21">
        <f t="shared" si="25"/>
        <v>134820.84</v>
      </c>
      <c r="H504" s="21">
        <v>90000</v>
      </c>
      <c r="I504" s="21">
        <v>15000</v>
      </c>
      <c r="J504" s="21">
        <v>15000</v>
      </c>
      <c r="K504" s="26">
        <v>225000</v>
      </c>
      <c r="L504" s="21">
        <f>SUM(F504:K504)</f>
        <v>1378626.44</v>
      </c>
      <c r="M504" s="21">
        <v>149830.89352000001</v>
      </c>
      <c r="N504" s="21">
        <v>183570.3456</v>
      </c>
      <c r="O504" s="21">
        <v>74870.506479999996</v>
      </c>
      <c r="P504" s="21">
        <f>IF((D504*233.456*3%)&gt;7004,7004,(D504*233.456*3%))</f>
        <v>7004</v>
      </c>
      <c r="Q504" s="21">
        <f t="shared" si="26"/>
        <v>1113181.5879199998</v>
      </c>
      <c r="R504" s="21">
        <v>1033626.44</v>
      </c>
    </row>
    <row r="505" spans="1:18" ht="15.75" thickBot="1" x14ac:dyDescent="0.3">
      <c r="A505" s="21" t="s">
        <v>110</v>
      </c>
      <c r="B505" s="22" t="s">
        <v>90</v>
      </c>
      <c r="C505" s="22" t="s">
        <v>92</v>
      </c>
      <c r="D505" s="22">
        <v>3760</v>
      </c>
      <c r="E505" s="22">
        <v>42</v>
      </c>
      <c r="F505" s="21">
        <f t="shared" si="24"/>
        <v>877794.55999999994</v>
      </c>
      <c r="G505" s="21">
        <f t="shared" si="25"/>
        <v>131669.18399999998</v>
      </c>
      <c r="H505" s="21">
        <v>90000</v>
      </c>
      <c r="I505" s="21">
        <v>15000</v>
      </c>
      <c r="J505" s="21">
        <v>15000</v>
      </c>
      <c r="K505" s="26">
        <v>225000</v>
      </c>
      <c r="L505" s="21">
        <f>SUM(F505:K505)</f>
        <v>1354463.7439999999</v>
      </c>
      <c r="M505" s="21">
        <v>146328.353152</v>
      </c>
      <c r="N505" s="21">
        <v>177771.29856</v>
      </c>
      <c r="O505" s="21">
        <v>73120.286847999989</v>
      </c>
      <c r="P505" s="21">
        <f>IF((D505*233.456*3%)&gt;7004,7004,(D505*233.456*3%))</f>
        <v>7004</v>
      </c>
      <c r="Q505" s="21">
        <f t="shared" si="26"/>
        <v>1096568.1585919999</v>
      </c>
      <c r="R505" s="21">
        <v>1009463.7439999999</v>
      </c>
    </row>
    <row r="506" spans="1:18" ht="15.75" thickBot="1" x14ac:dyDescent="0.3">
      <c r="A506" s="21" t="s">
        <v>110</v>
      </c>
      <c r="B506" s="22" t="s">
        <v>90</v>
      </c>
      <c r="C506" s="22" t="s">
        <v>92</v>
      </c>
      <c r="D506" s="22">
        <v>3705</v>
      </c>
      <c r="E506" s="22">
        <v>41</v>
      </c>
      <c r="F506" s="21">
        <f t="shared" si="24"/>
        <v>864954.48</v>
      </c>
      <c r="G506" s="21">
        <f t="shared" si="25"/>
        <v>129743.17199999999</v>
      </c>
      <c r="H506" s="21">
        <v>90000</v>
      </c>
      <c r="I506" s="21">
        <v>15000</v>
      </c>
      <c r="J506" s="21">
        <v>15000</v>
      </c>
      <c r="K506" s="26">
        <v>225000</v>
      </c>
      <c r="L506" s="21">
        <f>SUM(F506:K506)</f>
        <v>1339697.652</v>
      </c>
      <c r="M506" s="21">
        <v>144187.91181600001</v>
      </c>
      <c r="N506" s="21">
        <v>174227.43648</v>
      </c>
      <c r="O506" s="21">
        <v>72050.708184000003</v>
      </c>
      <c r="P506" s="21">
        <f>IF((D506*233.456*3%)&gt;7004,7004,(D506*233.456*3%))</f>
        <v>7004</v>
      </c>
      <c r="Q506" s="21">
        <f t="shared" si="26"/>
        <v>1086415.507336</v>
      </c>
      <c r="R506" s="21">
        <v>994697.652</v>
      </c>
    </row>
    <row r="507" spans="1:18" ht="15.75" thickBot="1" x14ac:dyDescent="0.3">
      <c r="A507" s="21" t="s">
        <v>110</v>
      </c>
      <c r="B507" s="22" t="s">
        <v>90</v>
      </c>
      <c r="C507" s="22" t="s">
        <v>93</v>
      </c>
      <c r="D507" s="22">
        <v>3685</v>
      </c>
      <c r="E507" s="22">
        <v>23</v>
      </c>
      <c r="F507" s="21">
        <f t="shared" si="24"/>
        <v>860285.36</v>
      </c>
      <c r="G507" s="21">
        <f t="shared" si="25"/>
        <v>129042.80399999999</v>
      </c>
      <c r="H507" s="21">
        <v>90000</v>
      </c>
      <c r="I507" s="21">
        <v>15000</v>
      </c>
      <c r="J507" s="21">
        <v>15000</v>
      </c>
      <c r="K507" s="26">
        <v>175000</v>
      </c>
      <c r="L507" s="21">
        <f>SUM(F507:K507)</f>
        <v>1284328.1639999999</v>
      </c>
      <c r="M507" s="21">
        <v>143409.56951200002</v>
      </c>
      <c r="N507" s="21">
        <v>172938.75936</v>
      </c>
      <c r="O507" s="21">
        <v>71661.770487999995</v>
      </c>
      <c r="P507" s="21">
        <f>IF((D507*233.456*3%)&gt;7004,7004,(D507*233.456*3%))</f>
        <v>7004</v>
      </c>
      <c r="Q507" s="21">
        <f t="shared" si="26"/>
        <v>1032723.6341519998</v>
      </c>
      <c r="R507" s="21">
        <v>989328.16399999999</v>
      </c>
    </row>
    <row r="508" spans="1:18" ht="15.75" thickBot="1" x14ac:dyDescent="0.3">
      <c r="A508" s="21" t="s">
        <v>110</v>
      </c>
      <c r="B508" s="22" t="s">
        <v>90</v>
      </c>
      <c r="C508" s="22" t="s">
        <v>93</v>
      </c>
      <c r="D508" s="22">
        <v>3510</v>
      </c>
      <c r="E508" s="22">
        <v>22</v>
      </c>
      <c r="F508" s="21">
        <f t="shared" si="24"/>
        <v>819430.55999999994</v>
      </c>
      <c r="G508" s="21">
        <f t="shared" si="25"/>
        <v>122914.58399999999</v>
      </c>
      <c r="H508" s="21">
        <v>90000</v>
      </c>
      <c r="I508" s="21">
        <v>15000</v>
      </c>
      <c r="J508" s="21">
        <v>15000</v>
      </c>
      <c r="K508" s="26">
        <v>175000</v>
      </c>
      <c r="L508" s="21">
        <f>SUM(F508:K508)</f>
        <v>1237345.1439999999</v>
      </c>
      <c r="M508" s="21">
        <v>136599.074352</v>
      </c>
      <c r="N508" s="21">
        <v>161662.83455999999</v>
      </c>
      <c r="O508" s="21">
        <v>68258.565647999989</v>
      </c>
      <c r="P508" s="21">
        <f>IF((D508*233.456*3%)&gt;7004,7004,(D508*233.456*3%))</f>
        <v>7004</v>
      </c>
      <c r="Q508" s="21">
        <f t="shared" si="26"/>
        <v>1000419.7437919999</v>
      </c>
      <c r="R508" s="21">
        <v>942345.14399999997</v>
      </c>
    </row>
    <row r="509" spans="1:18" ht="15.75" thickBot="1" x14ac:dyDescent="0.3">
      <c r="A509" s="21" t="s">
        <v>110</v>
      </c>
      <c r="B509" s="22" t="s">
        <v>90</v>
      </c>
      <c r="C509" s="22" t="s">
        <v>93</v>
      </c>
      <c r="D509" s="22">
        <v>3370</v>
      </c>
      <c r="E509" s="22">
        <v>21</v>
      </c>
      <c r="F509" s="21">
        <f t="shared" si="24"/>
        <v>786746.72</v>
      </c>
      <c r="G509" s="21">
        <f t="shared" si="25"/>
        <v>118012.00799999999</v>
      </c>
      <c r="H509" s="21">
        <v>90000</v>
      </c>
      <c r="I509" s="21">
        <v>15000</v>
      </c>
      <c r="J509" s="21">
        <v>15000</v>
      </c>
      <c r="K509" s="26">
        <v>175000</v>
      </c>
      <c r="L509" s="21">
        <f>SUM(F509:K509)</f>
        <v>1199758.7280000001</v>
      </c>
      <c r="M509" s="21">
        <v>131150.678224</v>
      </c>
      <c r="N509" s="21">
        <v>152642.09471999999</v>
      </c>
      <c r="O509" s="21">
        <v>65536.00177599999</v>
      </c>
      <c r="P509" s="21">
        <f>IF((D509*233.456*3%)&gt;7004,7004,(D509*233.456*3%))</f>
        <v>7004</v>
      </c>
      <c r="Q509" s="21">
        <f t="shared" si="26"/>
        <v>974576.63150400016</v>
      </c>
      <c r="R509" s="21">
        <v>904758.728</v>
      </c>
    </row>
    <row r="510" spans="1:18" ht="15.75" thickBot="1" x14ac:dyDescent="0.3">
      <c r="A510" s="21" t="s">
        <v>110</v>
      </c>
      <c r="B510" s="22" t="s">
        <v>90</v>
      </c>
      <c r="C510" s="22" t="s">
        <v>93</v>
      </c>
      <c r="D510" s="22">
        <v>3215</v>
      </c>
      <c r="E510" s="22">
        <v>33</v>
      </c>
      <c r="F510" s="21">
        <f t="shared" si="24"/>
        <v>750561.03999999992</v>
      </c>
      <c r="G510" s="21">
        <f t="shared" si="25"/>
        <v>112584.15599999999</v>
      </c>
      <c r="H510" s="21">
        <v>90000</v>
      </c>
      <c r="I510" s="21">
        <v>15000</v>
      </c>
      <c r="J510" s="21">
        <v>15000</v>
      </c>
      <c r="K510" s="26">
        <v>175000</v>
      </c>
      <c r="L510" s="21">
        <f>SUM(F510:K510)</f>
        <v>1158145.196</v>
      </c>
      <c r="M510" s="21">
        <v>125118.525368</v>
      </c>
      <c r="N510" s="21">
        <v>142654.84703999996</v>
      </c>
      <c r="O510" s="21">
        <v>62521.734631999992</v>
      </c>
      <c r="P510" s="21">
        <f>IF((D510*233.456*3%)&gt;7004,7004,(D510*233.456*3%))</f>
        <v>7004</v>
      </c>
      <c r="Q510" s="21">
        <f t="shared" si="26"/>
        <v>945964.614328</v>
      </c>
      <c r="R510" s="21">
        <v>863145.19599999988</v>
      </c>
    </row>
    <row r="511" spans="1:18" ht="15.75" thickBot="1" x14ac:dyDescent="0.3">
      <c r="A511" s="21" t="s">
        <v>110</v>
      </c>
      <c r="B511" s="22" t="s">
        <v>90</v>
      </c>
      <c r="C511" s="22" t="s">
        <v>93</v>
      </c>
      <c r="D511" s="22">
        <v>3075</v>
      </c>
      <c r="E511" s="22">
        <v>32</v>
      </c>
      <c r="F511" s="21">
        <f t="shared" si="24"/>
        <v>717877.2</v>
      </c>
      <c r="G511" s="21">
        <f t="shared" si="25"/>
        <v>107681.57999999999</v>
      </c>
      <c r="H511" s="21">
        <v>90000</v>
      </c>
      <c r="I511" s="21">
        <v>15000</v>
      </c>
      <c r="J511" s="21">
        <v>15000</v>
      </c>
      <c r="K511" s="26">
        <v>175000</v>
      </c>
      <c r="L511" s="21">
        <f>SUM(F511:K511)</f>
        <v>1120558.7799999998</v>
      </c>
      <c r="M511" s="21">
        <v>119670.12924000001</v>
      </c>
      <c r="N511" s="21">
        <v>133634.10719999997</v>
      </c>
      <c r="O511" s="21">
        <v>59799.170759999994</v>
      </c>
      <c r="P511" s="21">
        <f>IF((D511*233.456*3%)&gt;7004,7004,(D511*233.456*3%))</f>
        <v>7004</v>
      </c>
      <c r="Q511" s="21">
        <f t="shared" si="26"/>
        <v>920121.50203999982</v>
      </c>
      <c r="R511" s="21">
        <v>825558.77999999991</v>
      </c>
    </row>
    <row r="512" spans="1:18" ht="15.75" thickBot="1" x14ac:dyDescent="0.3">
      <c r="A512" s="21" t="s">
        <v>110</v>
      </c>
      <c r="B512" s="22" t="s">
        <v>90</v>
      </c>
      <c r="C512" s="22" t="s">
        <v>93</v>
      </c>
      <c r="D512" s="22">
        <v>2995</v>
      </c>
      <c r="E512" s="22">
        <v>31</v>
      </c>
      <c r="F512" s="21">
        <f t="shared" si="24"/>
        <v>699200.72</v>
      </c>
      <c r="G512" s="21">
        <f t="shared" si="25"/>
        <v>104880.10799999999</v>
      </c>
      <c r="H512" s="21">
        <v>90000</v>
      </c>
      <c r="I512" s="21">
        <v>15000</v>
      </c>
      <c r="J512" s="21">
        <v>15000</v>
      </c>
      <c r="K512" s="26">
        <v>175000</v>
      </c>
      <c r="L512" s="21">
        <f>SUM(F512:K512)</f>
        <v>1099080.828</v>
      </c>
      <c r="M512" s="21">
        <v>116556.760024</v>
      </c>
      <c r="N512" s="21">
        <v>128479.39872</v>
      </c>
      <c r="O512" s="21">
        <v>58243.419975999997</v>
      </c>
      <c r="P512" s="21">
        <f>IF((D512*233.456*3%)&gt;7004,7004,(D512*233.456*3%))</f>
        <v>7004</v>
      </c>
      <c r="Q512" s="21">
        <f t="shared" si="26"/>
        <v>905354.00930399995</v>
      </c>
      <c r="R512" s="21">
        <v>804080.82799999998</v>
      </c>
    </row>
    <row r="513" spans="1:18" ht="15.75" thickBot="1" x14ac:dyDescent="0.3">
      <c r="A513" s="21" t="s">
        <v>110</v>
      </c>
      <c r="B513" s="22" t="s">
        <v>90</v>
      </c>
      <c r="C513" s="22" t="s">
        <v>93</v>
      </c>
      <c r="D513" s="22">
        <v>2875</v>
      </c>
      <c r="E513" s="22">
        <v>44</v>
      </c>
      <c r="F513" s="21">
        <f t="shared" si="24"/>
        <v>671186</v>
      </c>
      <c r="G513" s="21">
        <f t="shared" si="25"/>
        <v>100677.9</v>
      </c>
      <c r="H513" s="21">
        <v>90000</v>
      </c>
      <c r="I513" s="21">
        <v>15000</v>
      </c>
      <c r="J513" s="21">
        <v>15000</v>
      </c>
      <c r="K513" s="26">
        <v>175000</v>
      </c>
      <c r="L513" s="21">
        <f>SUM(F513:K513)</f>
        <v>1066863.8999999999</v>
      </c>
      <c r="M513" s="21">
        <v>111886.70620000002</v>
      </c>
      <c r="N513" s="21">
        <v>121591.41899999999</v>
      </c>
      <c r="O513" s="21">
        <v>55909.793799999999</v>
      </c>
      <c r="P513" s="21">
        <f>IF((D513*233.456*3%)&gt;7004,7004,(D513*233.456*3%))</f>
        <v>7004</v>
      </c>
      <c r="Q513" s="21">
        <f t="shared" si="26"/>
        <v>882358.68719999993</v>
      </c>
      <c r="R513" s="21">
        <v>771863.9</v>
      </c>
    </row>
    <row r="514" spans="1:18" ht="15.75" thickBot="1" x14ac:dyDescent="0.3">
      <c r="A514" s="21" t="s">
        <v>110</v>
      </c>
      <c r="B514" s="22" t="s">
        <v>90</v>
      </c>
      <c r="C514" s="22" t="s">
        <v>93</v>
      </c>
      <c r="D514" s="22">
        <v>2770</v>
      </c>
      <c r="E514" s="22">
        <v>43</v>
      </c>
      <c r="F514" s="21">
        <f t="shared" si="24"/>
        <v>646673.12</v>
      </c>
      <c r="G514" s="21">
        <f t="shared" si="25"/>
        <v>97000.967999999993</v>
      </c>
      <c r="H514" s="21">
        <v>90000</v>
      </c>
      <c r="I514" s="21">
        <v>15000</v>
      </c>
      <c r="J514" s="21">
        <v>15000</v>
      </c>
      <c r="K514" s="26">
        <v>175000</v>
      </c>
      <c r="L514" s="21">
        <f>SUM(F514:K514)</f>
        <v>1038674.088</v>
      </c>
      <c r="M514" s="21">
        <v>107800.40910400001</v>
      </c>
      <c r="N514" s="21">
        <v>115671.55848000001</v>
      </c>
      <c r="O514" s="21">
        <v>53867.870896</v>
      </c>
      <c r="P514" s="21">
        <f>IF((D514*233.456*3%)&gt;7004,7004,(D514*233.456*3%))</f>
        <v>7004</v>
      </c>
      <c r="Q514" s="21">
        <f t="shared" si="26"/>
        <v>862130.65862399992</v>
      </c>
      <c r="R514" s="21">
        <v>743674.08799999999</v>
      </c>
    </row>
    <row r="515" spans="1:18" ht="15.75" thickBot="1" x14ac:dyDescent="0.3">
      <c r="A515" s="21" t="s">
        <v>110</v>
      </c>
      <c r="B515" s="22" t="s">
        <v>90</v>
      </c>
      <c r="C515" s="22" t="s">
        <v>93</v>
      </c>
      <c r="D515" s="22">
        <v>2685</v>
      </c>
      <c r="E515" s="22">
        <v>42</v>
      </c>
      <c r="F515" s="21">
        <f t="shared" si="24"/>
        <v>626829.36</v>
      </c>
      <c r="G515" s="21">
        <f t="shared" si="25"/>
        <v>94024.403999999995</v>
      </c>
      <c r="H515" s="21">
        <v>90000</v>
      </c>
      <c r="I515" s="21">
        <v>15000</v>
      </c>
      <c r="J515" s="21">
        <v>15000</v>
      </c>
      <c r="K515" s="26">
        <v>175000</v>
      </c>
      <c r="L515" s="21">
        <f>SUM(F515:K515)</f>
        <v>1015853.764</v>
      </c>
      <c r="M515" s="21">
        <v>104492.454312</v>
      </c>
      <c r="N515" s="21">
        <v>110879.29043999998</v>
      </c>
      <c r="O515" s="21">
        <v>52214.885687999995</v>
      </c>
      <c r="P515" s="21">
        <f>IF((D515*233.456*3%)&gt;7004,7004,(D515*233.456*3%))</f>
        <v>7004</v>
      </c>
      <c r="Q515" s="21">
        <f t="shared" si="26"/>
        <v>845755.58787199995</v>
      </c>
      <c r="R515" s="21">
        <v>720853.76399999997</v>
      </c>
    </row>
    <row r="516" spans="1:18" ht="15.75" thickBot="1" x14ac:dyDescent="0.3">
      <c r="A516" s="21" t="s">
        <v>110</v>
      </c>
      <c r="B516" s="22" t="s">
        <v>90</v>
      </c>
      <c r="C516" s="22" t="s">
        <v>93</v>
      </c>
      <c r="D516" s="22">
        <v>2610</v>
      </c>
      <c r="E516" s="22">
        <v>41</v>
      </c>
      <c r="F516" s="21">
        <f t="shared" si="24"/>
        <v>609320.15999999992</v>
      </c>
      <c r="G516" s="21">
        <f t="shared" si="25"/>
        <v>91398.02399999999</v>
      </c>
      <c r="H516" s="21">
        <v>90000</v>
      </c>
      <c r="I516" s="21">
        <v>15000</v>
      </c>
      <c r="J516" s="21">
        <v>15000</v>
      </c>
      <c r="K516" s="26">
        <v>175000</v>
      </c>
      <c r="L516" s="21">
        <f>SUM(F516:K516)</f>
        <v>995718.18399999989</v>
      </c>
      <c r="M516" s="21">
        <v>101573.67067199999</v>
      </c>
      <c r="N516" s="21">
        <v>106650.81863999997</v>
      </c>
      <c r="O516" s="21">
        <v>50756.369327999993</v>
      </c>
      <c r="P516" s="21">
        <f>IF((D516*233.456*3%)&gt;7004,7004,(D516*233.456*3%))</f>
        <v>7004</v>
      </c>
      <c r="Q516" s="21">
        <f t="shared" si="26"/>
        <v>831306.99603199994</v>
      </c>
      <c r="R516" s="21">
        <v>700718.18399999989</v>
      </c>
    </row>
    <row r="517" spans="1:18" ht="15.75" thickBot="1" x14ac:dyDescent="0.3">
      <c r="A517" s="21" t="s">
        <v>110</v>
      </c>
      <c r="B517" s="22" t="s">
        <v>90</v>
      </c>
      <c r="C517" s="22" t="s">
        <v>94</v>
      </c>
      <c r="D517" s="22">
        <v>3470</v>
      </c>
      <c r="E517" s="22">
        <v>13</v>
      </c>
      <c r="F517" s="21">
        <f t="shared" si="24"/>
        <v>810092.32</v>
      </c>
      <c r="G517" s="21">
        <f t="shared" si="25"/>
        <v>121513.84799999998</v>
      </c>
      <c r="H517" s="21">
        <v>90000</v>
      </c>
      <c r="I517" s="21">
        <v>15000</v>
      </c>
      <c r="J517" s="21">
        <v>15000</v>
      </c>
      <c r="K517" s="26">
        <v>175000</v>
      </c>
      <c r="L517" s="21">
        <f>SUM(F517:K517)</f>
        <v>1226606.1680000001</v>
      </c>
      <c r="M517" s="21">
        <v>135042.38974400001</v>
      </c>
      <c r="N517" s="21">
        <v>159085.48031999997</v>
      </c>
      <c r="O517" s="21">
        <v>67480.690256000002</v>
      </c>
      <c r="P517" s="21">
        <f>IF((D517*233.456*3%)&gt;7004,7004,(D517*233.456*3%))</f>
        <v>7004</v>
      </c>
      <c r="Q517" s="21">
        <f t="shared" si="26"/>
        <v>993035.99742400006</v>
      </c>
      <c r="R517" s="21">
        <v>931606.16799999995</v>
      </c>
    </row>
    <row r="518" spans="1:18" ht="15.75" thickBot="1" x14ac:dyDescent="0.3">
      <c r="A518" s="21" t="s">
        <v>110</v>
      </c>
      <c r="B518" s="22" t="s">
        <v>90</v>
      </c>
      <c r="C518" s="22" t="s">
        <v>94</v>
      </c>
      <c r="D518" s="22">
        <v>3420</v>
      </c>
      <c r="E518" s="22">
        <v>12</v>
      </c>
      <c r="F518" s="21">
        <f t="shared" si="24"/>
        <v>798419.52</v>
      </c>
      <c r="G518" s="21">
        <f t="shared" si="25"/>
        <v>119762.928</v>
      </c>
      <c r="H518" s="21">
        <v>90000</v>
      </c>
      <c r="I518" s="21">
        <v>15000</v>
      </c>
      <c r="J518" s="21">
        <v>15000</v>
      </c>
      <c r="K518" s="26">
        <v>175000</v>
      </c>
      <c r="L518" s="21">
        <f>SUM(F518:K518)</f>
        <v>1213182.4479999999</v>
      </c>
      <c r="M518" s="21">
        <v>133096.53398400001</v>
      </c>
      <c r="N518" s="21">
        <v>155863.78751999998</v>
      </c>
      <c r="O518" s="21">
        <v>66508.346015999996</v>
      </c>
      <c r="P518" s="21">
        <f>IF((D518*233.456*3%)&gt;7004,7004,(D518*233.456*3%))</f>
        <v>7004</v>
      </c>
      <c r="Q518" s="21">
        <f t="shared" si="26"/>
        <v>983806.31446399982</v>
      </c>
      <c r="R518" s="21">
        <v>918182.44799999997</v>
      </c>
    </row>
    <row r="519" spans="1:18" ht="15.75" thickBot="1" x14ac:dyDescent="0.3">
      <c r="A519" s="21" t="s">
        <v>110</v>
      </c>
      <c r="B519" s="22" t="s">
        <v>90</v>
      </c>
      <c r="C519" s="22" t="s">
        <v>94</v>
      </c>
      <c r="D519" s="22">
        <v>3355</v>
      </c>
      <c r="E519" s="22">
        <v>11</v>
      </c>
      <c r="F519" s="21">
        <f t="shared" si="24"/>
        <v>783244.88</v>
      </c>
      <c r="G519" s="21">
        <f t="shared" si="25"/>
        <v>117486.732</v>
      </c>
      <c r="H519" s="21">
        <v>90000</v>
      </c>
      <c r="I519" s="21">
        <v>15000</v>
      </c>
      <c r="J519" s="21">
        <v>15000</v>
      </c>
      <c r="K519" s="26">
        <v>175000</v>
      </c>
      <c r="L519" s="21">
        <f>SUM(F519:K519)</f>
        <v>1195731.612</v>
      </c>
      <c r="M519" s="21">
        <v>130566.92149600001</v>
      </c>
      <c r="N519" s="21">
        <v>151675.58687999999</v>
      </c>
      <c r="O519" s="21">
        <v>65244.298503999999</v>
      </c>
      <c r="P519" s="21">
        <f>IF((D519*233.456*3%)&gt;7004,7004,(D519*233.456*3%))</f>
        <v>7004</v>
      </c>
      <c r="Q519" s="21">
        <f t="shared" si="26"/>
        <v>971807.72661599994</v>
      </c>
      <c r="R519" s="21">
        <v>900731.61199999996</v>
      </c>
    </row>
    <row r="520" spans="1:18" ht="15.75" thickBot="1" x14ac:dyDescent="0.3">
      <c r="A520" s="21" t="s">
        <v>110</v>
      </c>
      <c r="B520" s="22" t="s">
        <v>90</v>
      </c>
      <c r="C520" s="22" t="s">
        <v>94</v>
      </c>
      <c r="D520" s="22">
        <v>3250</v>
      </c>
      <c r="E520" s="22">
        <v>23</v>
      </c>
      <c r="F520" s="21">
        <f t="shared" si="24"/>
        <v>758732</v>
      </c>
      <c r="G520" s="21">
        <f t="shared" si="25"/>
        <v>113809.8</v>
      </c>
      <c r="H520" s="21">
        <v>90000</v>
      </c>
      <c r="I520" s="21">
        <v>15000</v>
      </c>
      <c r="J520" s="21">
        <v>15000</v>
      </c>
      <c r="K520" s="26">
        <v>175000</v>
      </c>
      <c r="L520" s="21">
        <f>SUM(F520:K520)</f>
        <v>1167541.8</v>
      </c>
      <c r="M520" s="21">
        <v>126480.62440000002</v>
      </c>
      <c r="N520" s="21">
        <v>144910.03200000001</v>
      </c>
      <c r="O520" s="21">
        <v>63202.375599999999</v>
      </c>
      <c r="P520" s="21">
        <f>IF((D520*233.456*3%)&gt;7004,7004,(D520*233.456*3%))</f>
        <v>7004</v>
      </c>
      <c r="Q520" s="21">
        <f t="shared" si="26"/>
        <v>952425.39240000001</v>
      </c>
      <c r="R520" s="21">
        <v>872541.8</v>
      </c>
    </row>
    <row r="521" spans="1:18" ht="15.75" thickBot="1" x14ac:dyDescent="0.3">
      <c r="A521" s="21" t="s">
        <v>110</v>
      </c>
      <c r="B521" s="22" t="s">
        <v>90</v>
      </c>
      <c r="C521" s="22" t="s">
        <v>94</v>
      </c>
      <c r="D521" s="22">
        <v>3090</v>
      </c>
      <c r="E521" s="22">
        <v>22</v>
      </c>
      <c r="F521" s="21">
        <f t="shared" si="24"/>
        <v>721379.03999999992</v>
      </c>
      <c r="G521" s="21">
        <f t="shared" si="25"/>
        <v>108206.85599999999</v>
      </c>
      <c r="H521" s="21">
        <v>90000</v>
      </c>
      <c r="I521" s="21">
        <v>15000</v>
      </c>
      <c r="J521" s="21">
        <v>15000</v>
      </c>
      <c r="K521" s="26">
        <v>175000</v>
      </c>
      <c r="L521" s="21">
        <f>SUM(F521:K521)</f>
        <v>1124585.8959999999</v>
      </c>
      <c r="M521" s="21">
        <v>120253.885968</v>
      </c>
      <c r="N521" s="21">
        <v>134600.61503999998</v>
      </c>
      <c r="O521" s="21">
        <v>60090.874031999992</v>
      </c>
      <c r="P521" s="21">
        <f>IF((D521*233.456*3%)&gt;7004,7004,(D521*233.456*3%))</f>
        <v>7004</v>
      </c>
      <c r="Q521" s="21">
        <f t="shared" si="26"/>
        <v>922890.40692800004</v>
      </c>
      <c r="R521" s="21">
        <v>829585.89599999995</v>
      </c>
    </row>
    <row r="522" spans="1:18" ht="15.75" thickBot="1" x14ac:dyDescent="0.3">
      <c r="A522" s="21" t="s">
        <v>110</v>
      </c>
      <c r="B522" s="22" t="s">
        <v>90</v>
      </c>
      <c r="C522" s="22" t="s">
        <v>94</v>
      </c>
      <c r="D522" s="22">
        <v>2945</v>
      </c>
      <c r="E522" s="22">
        <v>21</v>
      </c>
      <c r="F522" s="21">
        <f t="shared" si="24"/>
        <v>687527.91999999993</v>
      </c>
      <c r="G522" s="21">
        <f t="shared" si="25"/>
        <v>103129.18799999998</v>
      </c>
      <c r="H522" s="21">
        <v>90000</v>
      </c>
      <c r="I522" s="21">
        <v>15000</v>
      </c>
      <c r="J522" s="21">
        <v>15000</v>
      </c>
      <c r="K522" s="26">
        <v>175000</v>
      </c>
      <c r="L522" s="21">
        <f>SUM(F522:K522)</f>
        <v>1085657.108</v>
      </c>
      <c r="M522" s="21">
        <v>114610.904264</v>
      </c>
      <c r="N522" s="21">
        <v>125537.99267999997</v>
      </c>
      <c r="O522" s="21">
        <v>57271.075735999992</v>
      </c>
      <c r="P522" s="21">
        <f>IF((D522*233.456*3%)&gt;7004,7004,(D522*233.456*3%))</f>
        <v>7004</v>
      </c>
      <c r="Q522" s="21">
        <f t="shared" si="26"/>
        <v>895844.03958400001</v>
      </c>
      <c r="R522" s="21">
        <v>790657.10799999989</v>
      </c>
    </row>
    <row r="523" spans="1:18" ht="15.75" thickBot="1" x14ac:dyDescent="0.3">
      <c r="A523" s="21" t="s">
        <v>110</v>
      </c>
      <c r="B523" s="22" t="s">
        <v>90</v>
      </c>
      <c r="C523" s="22" t="s">
        <v>94</v>
      </c>
      <c r="D523" s="22">
        <v>2795</v>
      </c>
      <c r="E523" s="22">
        <v>33</v>
      </c>
      <c r="F523" s="21">
        <f t="shared" ref="F523:F586" si="27">D523*233.456</f>
        <v>652509.52</v>
      </c>
      <c r="G523" s="21">
        <f t="shared" ref="G523:G586" si="28">F523*15%</f>
        <v>97876.428</v>
      </c>
      <c r="H523" s="21">
        <v>90000</v>
      </c>
      <c r="I523" s="21">
        <v>15000</v>
      </c>
      <c r="J523" s="21">
        <v>15000</v>
      </c>
      <c r="K523" s="26">
        <v>175000</v>
      </c>
      <c r="L523" s="21">
        <f>SUM(F523:K523)</f>
        <v>1045385.948</v>
      </c>
      <c r="M523" s="21">
        <v>108773.33698400001</v>
      </c>
      <c r="N523" s="21">
        <v>117081.04908</v>
      </c>
      <c r="O523" s="21">
        <v>54354.043016000003</v>
      </c>
      <c r="P523" s="21">
        <f>IF((D523*233.456*3%)&gt;7004,7004,(D523*233.456*3%))</f>
        <v>7004</v>
      </c>
      <c r="Q523" s="21">
        <f t="shared" si="26"/>
        <v>866946.855904</v>
      </c>
      <c r="R523" s="21">
        <v>750385.94799999997</v>
      </c>
    </row>
    <row r="524" spans="1:18" ht="15.75" thickBot="1" x14ac:dyDescent="0.3">
      <c r="A524" s="21" t="s">
        <v>110</v>
      </c>
      <c r="B524" s="22" t="s">
        <v>90</v>
      </c>
      <c r="C524" s="22" t="s">
        <v>94</v>
      </c>
      <c r="D524" s="22">
        <v>2645</v>
      </c>
      <c r="E524" s="22">
        <v>32</v>
      </c>
      <c r="F524" s="21">
        <f t="shared" si="27"/>
        <v>617491.12</v>
      </c>
      <c r="G524" s="21">
        <f t="shared" si="28"/>
        <v>92623.667999999991</v>
      </c>
      <c r="H524" s="21">
        <v>90000</v>
      </c>
      <c r="I524" s="21">
        <v>15000</v>
      </c>
      <c r="J524" s="21">
        <v>15000</v>
      </c>
      <c r="K524" s="26">
        <v>175000</v>
      </c>
      <c r="L524" s="21">
        <f>SUM(F524:K524)</f>
        <v>1005114.7879999999</v>
      </c>
      <c r="M524" s="21">
        <v>102935.76970400001</v>
      </c>
      <c r="N524" s="21">
        <v>108624.10547999998</v>
      </c>
      <c r="O524" s="21">
        <v>51437.010296</v>
      </c>
      <c r="P524" s="21">
        <f>IF((D524*233.456*3%)&gt;7004,7004,(D524*233.456*3%))</f>
        <v>7004</v>
      </c>
      <c r="Q524" s="21">
        <f t="shared" si="26"/>
        <v>838049.67222399998</v>
      </c>
      <c r="R524" s="21">
        <v>710114.78799999994</v>
      </c>
    </row>
    <row r="525" spans="1:18" ht="15.75" thickBot="1" x14ac:dyDescent="0.3">
      <c r="A525" s="21" t="s">
        <v>110</v>
      </c>
      <c r="B525" s="22" t="s">
        <v>90</v>
      </c>
      <c r="C525" s="22" t="s">
        <v>94</v>
      </c>
      <c r="D525" s="22">
        <v>2550</v>
      </c>
      <c r="E525" s="22">
        <v>31</v>
      </c>
      <c r="F525" s="21">
        <f t="shared" si="27"/>
        <v>595312.79999999993</v>
      </c>
      <c r="G525" s="21">
        <f t="shared" si="28"/>
        <v>89296.919999999984</v>
      </c>
      <c r="H525" s="21">
        <v>90000</v>
      </c>
      <c r="I525" s="21">
        <v>15000</v>
      </c>
      <c r="J525" s="21">
        <v>15000</v>
      </c>
      <c r="K525" s="26">
        <v>175000</v>
      </c>
      <c r="L525" s="21">
        <f>SUM(F525:K525)</f>
        <v>979609.72</v>
      </c>
      <c r="M525" s="21">
        <v>99238.643759999992</v>
      </c>
      <c r="N525" s="21">
        <v>103268.04119999999</v>
      </c>
      <c r="O525" s="21">
        <v>49589.556239999991</v>
      </c>
      <c r="P525" s="21">
        <f>IF((D525*233.456*3%)&gt;7004,7004,(D525*233.456*3%))</f>
        <v>7004</v>
      </c>
      <c r="Q525" s="21">
        <f t="shared" si="26"/>
        <v>819748.12256000005</v>
      </c>
      <c r="R525" s="21">
        <v>684609.72</v>
      </c>
    </row>
    <row r="526" spans="1:18" ht="15.75" thickBot="1" x14ac:dyDescent="0.3">
      <c r="A526" s="21" t="s">
        <v>110</v>
      </c>
      <c r="B526" s="22" t="s">
        <v>90</v>
      </c>
      <c r="C526" s="22" t="s">
        <v>94</v>
      </c>
      <c r="D526" s="22">
        <v>2435</v>
      </c>
      <c r="E526" s="22">
        <v>44</v>
      </c>
      <c r="F526" s="21">
        <f t="shared" si="27"/>
        <v>568465.36</v>
      </c>
      <c r="G526" s="21">
        <f t="shared" si="28"/>
        <v>85269.803999999989</v>
      </c>
      <c r="H526" s="21">
        <v>90000</v>
      </c>
      <c r="I526" s="21">
        <v>15000</v>
      </c>
      <c r="J526" s="21">
        <v>15000</v>
      </c>
      <c r="K526" s="26">
        <v>175000</v>
      </c>
      <c r="L526" s="21">
        <f>SUM(F526:K526)</f>
        <v>948735.16399999999</v>
      </c>
      <c r="M526" s="21">
        <v>94763.175512000002</v>
      </c>
      <c r="N526" s="21">
        <v>96784.384439999994</v>
      </c>
      <c r="O526" s="21">
        <v>47353.164487999995</v>
      </c>
      <c r="P526" s="21">
        <f>IF((D526*233.456*3%)&gt;7004,7004,(D526*233.456*3%))</f>
        <v>7004</v>
      </c>
      <c r="Q526" s="21">
        <f t="shared" si="26"/>
        <v>797593.61507200007</v>
      </c>
      <c r="R526" s="21">
        <v>653735.16399999999</v>
      </c>
    </row>
    <row r="527" spans="1:18" ht="15.75" thickBot="1" x14ac:dyDescent="0.3">
      <c r="A527" s="21" t="s">
        <v>110</v>
      </c>
      <c r="B527" s="22" t="s">
        <v>90</v>
      </c>
      <c r="C527" s="22" t="s">
        <v>94</v>
      </c>
      <c r="D527" s="22">
        <v>2315</v>
      </c>
      <c r="E527" s="22">
        <v>43</v>
      </c>
      <c r="F527" s="21">
        <f t="shared" si="27"/>
        <v>540450.64</v>
      </c>
      <c r="G527" s="21">
        <f t="shared" si="28"/>
        <v>81067.596000000005</v>
      </c>
      <c r="H527" s="21">
        <v>90000</v>
      </c>
      <c r="I527" s="21">
        <v>15000</v>
      </c>
      <c r="J527" s="21">
        <v>15000</v>
      </c>
      <c r="K527" s="26">
        <v>175000</v>
      </c>
      <c r="L527" s="21">
        <f>SUM(F527:K527)</f>
        <v>916518.23600000003</v>
      </c>
      <c r="M527" s="21">
        <v>90093.121688000014</v>
      </c>
      <c r="N527" s="21">
        <v>90018.829559999998</v>
      </c>
      <c r="O527" s="21">
        <v>45019.538312000004</v>
      </c>
      <c r="P527" s="21">
        <f>IF((D527*233.456*3%)&gt;7004,7004,(D527*233.456*3%))</f>
        <v>7004</v>
      </c>
      <c r="Q527" s="21">
        <f t="shared" si="26"/>
        <v>774475.86812800006</v>
      </c>
      <c r="R527" s="21">
        <v>621518.23600000003</v>
      </c>
    </row>
    <row r="528" spans="1:18" ht="15.75" thickBot="1" x14ac:dyDescent="0.3">
      <c r="A528" s="21" t="s">
        <v>110</v>
      </c>
      <c r="B528" s="22" t="s">
        <v>90</v>
      </c>
      <c r="C528" s="22" t="s">
        <v>94</v>
      </c>
      <c r="D528" s="22">
        <v>2200</v>
      </c>
      <c r="E528" s="22">
        <v>42</v>
      </c>
      <c r="F528" s="21">
        <f t="shared" si="27"/>
        <v>513603.19999999995</v>
      </c>
      <c r="G528" s="21">
        <f t="shared" si="28"/>
        <v>77040.479999999996</v>
      </c>
      <c r="H528" s="21">
        <v>90000</v>
      </c>
      <c r="I528" s="21">
        <v>15000</v>
      </c>
      <c r="J528" s="21">
        <v>15000</v>
      </c>
      <c r="K528" s="26">
        <v>175000</v>
      </c>
      <c r="L528" s="21">
        <f>SUM(F528:K528)</f>
        <v>885643.67999999993</v>
      </c>
      <c r="M528" s="21">
        <v>85617.653439999995</v>
      </c>
      <c r="N528" s="21">
        <v>83535.172799999986</v>
      </c>
      <c r="O528" s="21">
        <v>42783.146559999994</v>
      </c>
      <c r="P528" s="21">
        <f>IF((D528*233.456*3%)&gt;7004,7004,(D528*233.456*3%))</f>
        <v>7004</v>
      </c>
      <c r="Q528" s="21">
        <f t="shared" si="26"/>
        <v>752321.36063999997</v>
      </c>
      <c r="R528" s="21">
        <v>590643.67999999993</v>
      </c>
    </row>
    <row r="529" spans="1:18" ht="15.75" thickBot="1" x14ac:dyDescent="0.3">
      <c r="A529" s="21" t="s">
        <v>110</v>
      </c>
      <c r="B529" s="22" t="s">
        <v>90</v>
      </c>
      <c r="C529" s="22" t="s">
        <v>94</v>
      </c>
      <c r="D529" s="22">
        <v>2120</v>
      </c>
      <c r="E529" s="22">
        <v>41</v>
      </c>
      <c r="F529" s="21">
        <f t="shared" si="27"/>
        <v>494926.72</v>
      </c>
      <c r="G529" s="21">
        <f t="shared" si="28"/>
        <v>74239.007999999987</v>
      </c>
      <c r="H529" s="21">
        <v>90000</v>
      </c>
      <c r="I529" s="21">
        <v>15000</v>
      </c>
      <c r="J529" s="21">
        <v>15000</v>
      </c>
      <c r="K529" s="26">
        <v>175000</v>
      </c>
      <c r="L529" s="21">
        <f>SUM(F529:K529)</f>
        <v>864165.728</v>
      </c>
      <c r="M529" s="21">
        <v>82504.284224000003</v>
      </c>
      <c r="N529" s="21">
        <v>79024.802880000003</v>
      </c>
      <c r="O529" s="21">
        <v>41227.395775999998</v>
      </c>
      <c r="P529" s="21">
        <f>IF((D529*233.456*3%)&gt;7004,7004,(D529*233.456*3%))</f>
        <v>7004</v>
      </c>
      <c r="Q529" s="21">
        <f t="shared" si="26"/>
        <v>736909.52934400004</v>
      </c>
      <c r="R529" s="21">
        <v>569165.728</v>
      </c>
    </row>
    <row r="530" spans="1:18" ht="15.75" thickBot="1" x14ac:dyDescent="0.3">
      <c r="A530" s="21" t="s">
        <v>111</v>
      </c>
      <c r="B530" s="22" t="s">
        <v>90</v>
      </c>
      <c r="C530" s="22" t="s">
        <v>95</v>
      </c>
      <c r="D530" s="22">
        <v>1790</v>
      </c>
      <c r="E530" s="22">
        <v>13</v>
      </c>
      <c r="F530" s="21">
        <f t="shared" si="27"/>
        <v>417886.24</v>
      </c>
      <c r="G530" s="21">
        <f t="shared" si="28"/>
        <v>62682.935999999994</v>
      </c>
      <c r="H530" s="21">
        <v>60000</v>
      </c>
      <c r="I530" s="21">
        <v>15000</v>
      </c>
      <c r="J530" s="21">
        <v>15000</v>
      </c>
      <c r="K530" s="26">
        <v>15000</v>
      </c>
      <c r="L530" s="21">
        <f>SUM(F530:K530)</f>
        <v>585569.17599999998</v>
      </c>
      <c r="M530" s="21">
        <v>69661.636208000011</v>
      </c>
      <c r="N530" s="21">
        <v>63569.526959999988</v>
      </c>
      <c r="O530" s="21">
        <v>34809.923792000001</v>
      </c>
      <c r="P530" s="21">
        <f>IF((D530*233.456*3%)&gt;7004,7004,(D530*233.456*3%))</f>
        <v>7004</v>
      </c>
      <c r="Q530" s="21">
        <f t="shared" si="26"/>
        <v>480185.725248</v>
      </c>
      <c r="R530" s="21">
        <v>495569.17599999998</v>
      </c>
    </row>
    <row r="531" spans="1:18" ht="15.75" thickBot="1" x14ac:dyDescent="0.3">
      <c r="A531" s="21" t="s">
        <v>111</v>
      </c>
      <c r="B531" s="22" t="s">
        <v>90</v>
      </c>
      <c r="C531" s="22" t="s">
        <v>95</v>
      </c>
      <c r="D531" s="22">
        <v>1760</v>
      </c>
      <c r="E531" s="22">
        <v>12</v>
      </c>
      <c r="F531" s="21">
        <f t="shared" si="27"/>
        <v>410882.56</v>
      </c>
      <c r="G531" s="21">
        <f t="shared" si="28"/>
        <v>61632.383999999998</v>
      </c>
      <c r="H531" s="21">
        <v>60000</v>
      </c>
      <c r="I531" s="21">
        <v>15000</v>
      </c>
      <c r="J531" s="21">
        <v>15000</v>
      </c>
      <c r="K531" s="26">
        <v>15000</v>
      </c>
      <c r="L531" s="21">
        <f>SUM(F531:K531)</f>
        <v>577514.94400000002</v>
      </c>
      <c r="M531" s="21">
        <v>68494.12275200001</v>
      </c>
      <c r="N531" s="21">
        <v>61878.13824</v>
      </c>
      <c r="O531" s="21">
        <v>34226.517247999996</v>
      </c>
      <c r="P531" s="21">
        <f>IF((D531*233.456*3%)&gt;7004,7004,(D531*233.456*3%))</f>
        <v>7004</v>
      </c>
      <c r="Q531" s="21">
        <f t="shared" si="26"/>
        <v>474406.288512</v>
      </c>
      <c r="R531" s="21">
        <v>487514.94400000002</v>
      </c>
    </row>
    <row r="532" spans="1:18" ht="15.75" thickBot="1" x14ac:dyDescent="0.3">
      <c r="A532" s="21" t="s">
        <v>111</v>
      </c>
      <c r="B532" s="22" t="s">
        <v>90</v>
      </c>
      <c r="C532" s="22" t="s">
        <v>95</v>
      </c>
      <c r="D532" s="22">
        <v>1735</v>
      </c>
      <c r="E532" s="22">
        <v>11</v>
      </c>
      <c r="F532" s="21">
        <f t="shared" si="27"/>
        <v>405046.16</v>
      </c>
      <c r="G532" s="21">
        <f t="shared" si="28"/>
        <v>60756.923999999992</v>
      </c>
      <c r="H532" s="21">
        <v>60000</v>
      </c>
      <c r="I532" s="21">
        <v>15000</v>
      </c>
      <c r="J532" s="21">
        <v>15000</v>
      </c>
      <c r="K532" s="26">
        <v>15000</v>
      </c>
      <c r="L532" s="21">
        <f>SUM(F532:K532)</f>
        <v>570803.08400000003</v>
      </c>
      <c r="M532" s="21">
        <v>67521.194872000007</v>
      </c>
      <c r="N532" s="21">
        <v>60468.647639999996</v>
      </c>
      <c r="O532" s="21">
        <v>33740.345128000001</v>
      </c>
      <c r="P532" s="21">
        <f>IF((D532*233.456*3%)&gt;7004,7004,(D532*233.456*3%))</f>
        <v>7004</v>
      </c>
      <c r="Q532" s="21">
        <f t="shared" si="26"/>
        <v>469590.09123200004</v>
      </c>
      <c r="R532" s="21">
        <v>480803.08399999997</v>
      </c>
    </row>
    <row r="533" spans="1:18" ht="15.75" thickBot="1" x14ac:dyDescent="0.3">
      <c r="A533" s="21" t="s">
        <v>111</v>
      </c>
      <c r="B533" s="22" t="s">
        <v>90</v>
      </c>
      <c r="C533" s="22" t="s">
        <v>95</v>
      </c>
      <c r="D533" s="22">
        <v>1575</v>
      </c>
      <c r="E533" s="22">
        <v>23</v>
      </c>
      <c r="F533" s="21">
        <f t="shared" si="27"/>
        <v>367693.19999999995</v>
      </c>
      <c r="G533" s="21">
        <f t="shared" si="28"/>
        <v>55153.979999999989</v>
      </c>
      <c r="H533" s="21">
        <v>60000</v>
      </c>
      <c r="I533" s="21">
        <v>15000</v>
      </c>
      <c r="J533" s="21">
        <v>15000</v>
      </c>
      <c r="K533" s="26">
        <v>15000</v>
      </c>
      <c r="L533" s="21">
        <f>SUM(F533:K533)</f>
        <v>527847.17999999993</v>
      </c>
      <c r="M533" s="21">
        <v>61294.456439999994</v>
      </c>
      <c r="N533" s="21">
        <v>51447.907799999986</v>
      </c>
      <c r="O533" s="21">
        <v>30628.843559999998</v>
      </c>
      <c r="P533" s="21">
        <f>IF((D533*233.456*3%)&gt;7004,7004,(D533*233.456*3%))</f>
        <v>7004</v>
      </c>
      <c r="Q533" s="21">
        <f t="shared" si="26"/>
        <v>438766.42863999994</v>
      </c>
      <c r="R533" s="21">
        <v>437847.17999999993</v>
      </c>
    </row>
    <row r="534" spans="1:18" ht="15.75" thickBot="1" x14ac:dyDescent="0.3">
      <c r="A534" s="21" t="s">
        <v>111</v>
      </c>
      <c r="B534" s="22" t="s">
        <v>90</v>
      </c>
      <c r="C534" s="22" t="s">
        <v>95</v>
      </c>
      <c r="D534" s="22">
        <v>1380</v>
      </c>
      <c r="E534" s="22">
        <v>22</v>
      </c>
      <c r="F534" s="21">
        <f t="shared" si="27"/>
        <v>322169.27999999997</v>
      </c>
      <c r="G534" s="21">
        <f t="shared" si="28"/>
        <v>48325.391999999993</v>
      </c>
      <c r="H534" s="21">
        <v>60000</v>
      </c>
      <c r="I534" s="21">
        <v>15000</v>
      </c>
      <c r="J534" s="21">
        <v>15000</v>
      </c>
      <c r="K534" s="26">
        <v>15000</v>
      </c>
      <c r="L534" s="21">
        <f>SUM(F534:K534)</f>
        <v>475494.67199999996</v>
      </c>
      <c r="M534" s="21">
        <v>53705.618975999998</v>
      </c>
      <c r="N534" s="21">
        <v>40453.881119999991</v>
      </c>
      <c r="O534" s="21">
        <v>26836.701023999998</v>
      </c>
      <c r="P534" s="21">
        <f>IF((D534*233.456*3%)&gt;7004,7004,(D534*233.456*3%))</f>
        <v>7004</v>
      </c>
      <c r="Q534" s="21">
        <f t="shared" si="26"/>
        <v>401200.08985599998</v>
      </c>
      <c r="R534" s="21">
        <v>385494.67199999996</v>
      </c>
    </row>
    <row r="535" spans="1:18" ht="15.75" thickBot="1" x14ac:dyDescent="0.3">
      <c r="A535" s="21" t="s">
        <v>111</v>
      </c>
      <c r="B535" s="22" t="s">
        <v>90</v>
      </c>
      <c r="C535" s="22" t="s">
        <v>95</v>
      </c>
      <c r="D535" s="22">
        <v>1315</v>
      </c>
      <c r="E535" s="22">
        <v>21</v>
      </c>
      <c r="F535" s="21">
        <f t="shared" si="27"/>
        <v>306994.64</v>
      </c>
      <c r="G535" s="21">
        <f t="shared" si="28"/>
        <v>46049.196000000004</v>
      </c>
      <c r="H535" s="21">
        <v>60000</v>
      </c>
      <c r="I535" s="21">
        <v>15000</v>
      </c>
      <c r="J535" s="21">
        <v>15000</v>
      </c>
      <c r="K535" s="26">
        <v>15000</v>
      </c>
      <c r="L535" s="21">
        <f>SUM(F535:K535)</f>
        <v>458043.83600000001</v>
      </c>
      <c r="M535" s="21">
        <v>51176.006488000006</v>
      </c>
      <c r="N535" s="21">
        <v>36789.205560000002</v>
      </c>
      <c r="O535" s="21">
        <v>25572.653512000001</v>
      </c>
      <c r="P535" s="21">
        <f>IF((D535*233.456*3%)&gt;7004,7004,(D535*233.456*3%))</f>
        <v>7004</v>
      </c>
      <c r="Q535" s="21">
        <f t="shared" si="26"/>
        <v>388677.97692799999</v>
      </c>
      <c r="R535" s="21">
        <v>368043.83600000001</v>
      </c>
    </row>
    <row r="536" spans="1:18" ht="15.75" thickBot="1" x14ac:dyDescent="0.3">
      <c r="A536" s="21" t="s">
        <v>111</v>
      </c>
      <c r="B536" s="22" t="s">
        <v>90</v>
      </c>
      <c r="C536" s="22" t="s">
        <v>95</v>
      </c>
      <c r="D536" s="22">
        <v>1255</v>
      </c>
      <c r="E536" s="22">
        <v>33</v>
      </c>
      <c r="F536" s="21">
        <f t="shared" si="27"/>
        <v>292987.27999999997</v>
      </c>
      <c r="G536" s="21">
        <f t="shared" si="28"/>
        <v>43948.091999999997</v>
      </c>
      <c r="H536" s="21">
        <v>60000</v>
      </c>
      <c r="I536" s="21">
        <v>15000</v>
      </c>
      <c r="J536" s="21">
        <v>15000</v>
      </c>
      <c r="K536" s="26">
        <v>15000</v>
      </c>
      <c r="L536" s="21">
        <f>SUM(F536:K536)</f>
        <v>441935.37199999997</v>
      </c>
      <c r="M536" s="21">
        <v>48840.979575999998</v>
      </c>
      <c r="N536" s="21">
        <v>33406.428119999997</v>
      </c>
      <c r="O536" s="21">
        <v>24405.840423999998</v>
      </c>
      <c r="P536" s="21">
        <f>IF((D536*233.456*3%)&gt;7004,7004,(D536*233.456*3%))</f>
        <v>7004</v>
      </c>
      <c r="Q536" s="21">
        <f t="shared" si="26"/>
        <v>377119.10345599998</v>
      </c>
      <c r="R536" s="21">
        <v>351935.37199999997</v>
      </c>
    </row>
    <row r="537" spans="1:18" ht="15.75" thickBot="1" x14ac:dyDescent="0.3">
      <c r="A537" s="21" t="s">
        <v>111</v>
      </c>
      <c r="B537" s="22" t="s">
        <v>90</v>
      </c>
      <c r="C537" s="22" t="s">
        <v>95</v>
      </c>
      <c r="D537" s="22">
        <v>1190</v>
      </c>
      <c r="E537" s="22">
        <v>32</v>
      </c>
      <c r="F537" s="21">
        <f t="shared" si="27"/>
        <v>277812.64</v>
      </c>
      <c r="G537" s="21">
        <f t="shared" si="28"/>
        <v>41671.896000000001</v>
      </c>
      <c r="H537" s="21">
        <v>60000</v>
      </c>
      <c r="I537" s="21">
        <v>15000</v>
      </c>
      <c r="J537" s="21">
        <v>15000</v>
      </c>
      <c r="K537" s="26">
        <v>15000</v>
      </c>
      <c r="L537" s="21">
        <f>SUM(F537:K537)</f>
        <v>424484.53600000002</v>
      </c>
      <c r="M537" s="21">
        <v>46311.367088000006</v>
      </c>
      <c r="N537" s="21">
        <v>29741.752560000008</v>
      </c>
      <c r="O537" s="21">
        <v>23141.792912000001</v>
      </c>
      <c r="P537" s="21">
        <f>IF((D537*233.456*3%)&gt;7004,7004,(D537*233.456*3%))</f>
        <v>7004</v>
      </c>
      <c r="Q537" s="21">
        <f t="shared" si="26"/>
        <v>364596.99052799999</v>
      </c>
      <c r="R537" s="21">
        <v>334484.53600000002</v>
      </c>
    </row>
    <row r="538" spans="1:18" ht="15.75" thickBot="1" x14ac:dyDescent="0.3">
      <c r="A538" s="21" t="s">
        <v>111</v>
      </c>
      <c r="B538" s="22" t="s">
        <v>90</v>
      </c>
      <c r="C538" s="22" t="s">
        <v>95</v>
      </c>
      <c r="D538" s="22">
        <v>1100</v>
      </c>
      <c r="E538" s="22">
        <v>31</v>
      </c>
      <c r="F538" s="21">
        <f t="shared" si="27"/>
        <v>256801.59999999998</v>
      </c>
      <c r="G538" s="21">
        <f t="shared" si="28"/>
        <v>38520.239999999998</v>
      </c>
      <c r="H538" s="21">
        <v>60000</v>
      </c>
      <c r="I538" s="21">
        <v>15000</v>
      </c>
      <c r="J538" s="21">
        <v>15000</v>
      </c>
      <c r="K538" s="26">
        <v>15000</v>
      </c>
      <c r="L538" s="21">
        <f>SUM(F538:K538)</f>
        <v>400321.83999999997</v>
      </c>
      <c r="M538" s="21">
        <v>42808.826719999997</v>
      </c>
      <c r="N538" s="21">
        <v>24667.586399999993</v>
      </c>
      <c r="O538" s="21">
        <v>21391.573279999997</v>
      </c>
      <c r="P538" s="21">
        <f>IF((D538*233.456*3%)&gt;7004,7004,(D538*233.456*3%))</f>
        <v>7004</v>
      </c>
      <c r="Q538" s="21">
        <f t="shared" si="26"/>
        <v>347258.68031999998</v>
      </c>
      <c r="R538" s="21">
        <v>310321.83999999997</v>
      </c>
    </row>
    <row r="539" spans="1:18" ht="15.75" thickBot="1" x14ac:dyDescent="0.3">
      <c r="A539" s="21" t="s">
        <v>111</v>
      </c>
      <c r="B539" s="22" t="s">
        <v>90</v>
      </c>
      <c r="C539" s="22" t="s">
        <v>95</v>
      </c>
      <c r="D539" s="22">
        <v>990</v>
      </c>
      <c r="E539" s="22">
        <v>44</v>
      </c>
      <c r="F539" s="21">
        <f t="shared" si="27"/>
        <v>231121.44</v>
      </c>
      <c r="G539" s="21">
        <f t="shared" si="28"/>
        <v>34668.216</v>
      </c>
      <c r="H539" s="21">
        <v>60000</v>
      </c>
      <c r="I539" s="21">
        <v>15000</v>
      </c>
      <c r="J539" s="21">
        <v>15000</v>
      </c>
      <c r="K539" s="26">
        <v>15000</v>
      </c>
      <c r="L539" s="21">
        <f>SUM(F539:K539)</f>
        <v>370789.65600000002</v>
      </c>
      <c r="M539" s="21">
        <v>38527.944048000005</v>
      </c>
      <c r="N539" s="21">
        <v>18465.82776</v>
      </c>
      <c r="O539" s="21">
        <v>19252.415951999999</v>
      </c>
      <c r="P539" s="21">
        <f>IF((D539*233.456*3%)&gt;7004,7004,(D539*233.456*3%))</f>
        <v>6933.6431999999995</v>
      </c>
      <c r="Q539" s="21">
        <f t="shared" si="26"/>
        <v>326137.769088</v>
      </c>
      <c r="R539" s="21">
        <v>280789.65600000002</v>
      </c>
    </row>
    <row r="540" spans="1:18" ht="15.75" thickBot="1" x14ac:dyDescent="0.3">
      <c r="A540" s="21" t="s">
        <v>111</v>
      </c>
      <c r="B540" s="22" t="s">
        <v>90</v>
      </c>
      <c r="C540" s="22" t="s">
        <v>95</v>
      </c>
      <c r="D540" s="22">
        <v>915</v>
      </c>
      <c r="E540" s="22">
        <v>43</v>
      </c>
      <c r="F540" s="21">
        <f t="shared" si="27"/>
        <v>213612.24</v>
      </c>
      <c r="G540" s="21">
        <f t="shared" si="28"/>
        <v>32041.835999999996</v>
      </c>
      <c r="H540" s="21">
        <v>60000</v>
      </c>
      <c r="I540" s="21">
        <v>15000</v>
      </c>
      <c r="J540" s="21">
        <v>15000</v>
      </c>
      <c r="K540" s="26">
        <v>15000</v>
      </c>
      <c r="L540" s="21">
        <f>SUM(F540:K540)</f>
        <v>350654.076</v>
      </c>
      <c r="M540" s="21">
        <v>35609.160408000003</v>
      </c>
      <c r="N540" s="21">
        <v>14237.355960000001</v>
      </c>
      <c r="O540" s="21">
        <v>17793.899591999998</v>
      </c>
      <c r="P540" s="21">
        <f>IF((D540*233.456*3%)&gt;7004,7004,(D540*233.456*3%))</f>
        <v>6408.3671999999997</v>
      </c>
      <c r="Q540" s="21">
        <f t="shared" si="26"/>
        <v>312214.45324800001</v>
      </c>
      <c r="R540" s="21">
        <v>260654.076</v>
      </c>
    </row>
    <row r="541" spans="1:18" ht="15.75" thickBot="1" x14ac:dyDescent="0.3">
      <c r="A541" s="21" t="s">
        <v>111</v>
      </c>
      <c r="B541" s="22" t="s">
        <v>90</v>
      </c>
      <c r="C541" s="22" t="s">
        <v>95</v>
      </c>
      <c r="D541" s="22">
        <v>870</v>
      </c>
      <c r="E541" s="22">
        <v>42</v>
      </c>
      <c r="F541" s="21">
        <f t="shared" si="27"/>
        <v>203106.72</v>
      </c>
      <c r="G541" s="21">
        <f t="shared" si="28"/>
        <v>30466.007999999998</v>
      </c>
      <c r="H541" s="21">
        <v>60000</v>
      </c>
      <c r="I541" s="21">
        <v>15000</v>
      </c>
      <c r="J541" s="21">
        <v>15000</v>
      </c>
      <c r="K541" s="26">
        <v>15000</v>
      </c>
      <c r="L541" s="21">
        <f>SUM(F541:K541)</f>
        <v>338572.728</v>
      </c>
      <c r="M541" s="21">
        <v>33857.890224000002</v>
      </c>
      <c r="N541" s="21">
        <v>11700.27288</v>
      </c>
      <c r="O541" s="21">
        <v>16918.789776000001</v>
      </c>
      <c r="P541" s="21">
        <f>IF((D541*233.456*3%)&gt;7004,7004,(D541*233.456*3%))</f>
        <v>6093.2015999999994</v>
      </c>
      <c r="Q541" s="21">
        <f t="shared" si="26"/>
        <v>303860.46374400001</v>
      </c>
      <c r="R541" s="21">
        <v>248572.728</v>
      </c>
    </row>
    <row r="542" spans="1:18" ht="15.75" thickBot="1" x14ac:dyDescent="0.3">
      <c r="A542" s="21" t="s">
        <v>111</v>
      </c>
      <c r="B542" s="22" t="s">
        <v>90</v>
      </c>
      <c r="C542" s="22" t="s">
        <v>95</v>
      </c>
      <c r="D542" s="22">
        <v>830</v>
      </c>
      <c r="E542" s="22">
        <v>41</v>
      </c>
      <c r="F542" s="21">
        <f t="shared" si="27"/>
        <v>193768.47999999998</v>
      </c>
      <c r="G542" s="21">
        <f t="shared" si="28"/>
        <v>29065.271999999997</v>
      </c>
      <c r="H542" s="21">
        <v>60000</v>
      </c>
      <c r="I542" s="21">
        <v>15000</v>
      </c>
      <c r="J542" s="21">
        <v>15000</v>
      </c>
      <c r="K542" s="26">
        <v>15000</v>
      </c>
      <c r="L542" s="21">
        <f>SUM(F542:K542)</f>
        <v>327833.75199999998</v>
      </c>
      <c r="M542" s="21">
        <v>32301.205615999999</v>
      </c>
      <c r="N542" s="21">
        <v>9553.400319999997</v>
      </c>
      <c r="O542" s="21">
        <v>16140.914383999998</v>
      </c>
      <c r="P542" s="21">
        <f>IF((D542*233.456*3%)&gt;7004,7004,(D542*233.456*3%))</f>
        <v>5813.0543999999991</v>
      </c>
      <c r="Q542" s="21">
        <f t="shared" si="26"/>
        <v>296326.382896</v>
      </c>
      <c r="R542" s="21">
        <v>237833.75199999998</v>
      </c>
    </row>
    <row r="543" spans="1:18" ht="15.75" thickBot="1" x14ac:dyDescent="0.3">
      <c r="A543" s="21" t="s">
        <v>111</v>
      </c>
      <c r="B543" s="22" t="s">
        <v>96</v>
      </c>
      <c r="C543" s="22" t="s">
        <v>97</v>
      </c>
      <c r="D543" s="22">
        <v>1325</v>
      </c>
      <c r="E543" s="22">
        <v>13</v>
      </c>
      <c r="F543" s="21">
        <f t="shared" si="27"/>
        <v>309329.2</v>
      </c>
      <c r="G543" s="21">
        <f t="shared" si="28"/>
        <v>46399.38</v>
      </c>
      <c r="H543" s="21">
        <v>60000</v>
      </c>
      <c r="I543" s="21">
        <v>15000</v>
      </c>
      <c r="J543" s="21">
        <v>15000</v>
      </c>
      <c r="K543" s="26">
        <v>15000</v>
      </c>
      <c r="L543" s="21">
        <f>SUM(F543:K543)</f>
        <v>460728.58</v>
      </c>
      <c r="M543" s="21">
        <v>51565.177640000009</v>
      </c>
      <c r="N543" s="21">
        <v>37353.001799999998</v>
      </c>
      <c r="O543" s="21">
        <v>25767.122360000001</v>
      </c>
      <c r="P543" s="21">
        <f>IF((D543*233.456*3%)&gt;7004,7004,(D543*233.456*3%))</f>
        <v>7004</v>
      </c>
      <c r="Q543" s="21">
        <f t="shared" si="26"/>
        <v>390604.45584000001</v>
      </c>
      <c r="R543" s="21">
        <v>370728.58</v>
      </c>
    </row>
    <row r="544" spans="1:18" ht="15.75" thickBot="1" x14ac:dyDescent="0.3">
      <c r="A544" s="21" t="s">
        <v>111</v>
      </c>
      <c r="B544" s="22" t="s">
        <v>96</v>
      </c>
      <c r="C544" s="22" t="s">
        <v>97</v>
      </c>
      <c r="D544" s="22">
        <v>1300</v>
      </c>
      <c r="E544" s="22">
        <v>12</v>
      </c>
      <c r="F544" s="21">
        <f t="shared" si="27"/>
        <v>303492.8</v>
      </c>
      <c r="G544" s="21">
        <f t="shared" si="28"/>
        <v>45523.92</v>
      </c>
      <c r="H544" s="21">
        <v>60000</v>
      </c>
      <c r="I544" s="21">
        <v>15000</v>
      </c>
      <c r="J544" s="21">
        <v>15000</v>
      </c>
      <c r="K544" s="26">
        <v>15000</v>
      </c>
      <c r="L544" s="21">
        <f>SUM(F544:K544)</f>
        <v>454016.72</v>
      </c>
      <c r="M544" s="21">
        <v>50592.249760000006</v>
      </c>
      <c r="N544" s="21">
        <v>35943.511199999994</v>
      </c>
      <c r="O544" s="21">
        <v>25280.950239999998</v>
      </c>
      <c r="P544" s="21">
        <f>IF((D544*233.456*3%)&gt;7004,7004,(D544*233.456*3%))</f>
        <v>7004</v>
      </c>
      <c r="Q544" s="21">
        <f t="shared" si="26"/>
        <v>385788.25855999999</v>
      </c>
      <c r="R544" s="21">
        <v>364016.72</v>
      </c>
    </row>
    <row r="545" spans="1:18" ht="15.75" thickBot="1" x14ac:dyDescent="0.3">
      <c r="A545" s="21" t="s">
        <v>111</v>
      </c>
      <c r="B545" s="22" t="s">
        <v>96</v>
      </c>
      <c r="C545" s="22" t="s">
        <v>97</v>
      </c>
      <c r="D545" s="22">
        <v>1270</v>
      </c>
      <c r="E545" s="22">
        <v>11</v>
      </c>
      <c r="F545" s="21">
        <f t="shared" si="27"/>
        <v>296489.12</v>
      </c>
      <c r="G545" s="21">
        <f t="shared" si="28"/>
        <v>44473.367999999995</v>
      </c>
      <c r="H545" s="21">
        <v>60000</v>
      </c>
      <c r="I545" s="21">
        <v>15000</v>
      </c>
      <c r="J545" s="21">
        <v>15000</v>
      </c>
      <c r="K545" s="26">
        <v>15000</v>
      </c>
      <c r="L545" s="21">
        <f>SUM(F545:K545)</f>
        <v>445962.48800000001</v>
      </c>
      <c r="M545" s="21">
        <v>49424.736304000005</v>
      </c>
      <c r="N545" s="21">
        <v>34252.122480000005</v>
      </c>
      <c r="O545" s="21">
        <v>24697.543696000001</v>
      </c>
      <c r="P545" s="21">
        <f>IF((D545*233.456*3%)&gt;7004,7004,(D545*233.456*3%))</f>
        <v>7004</v>
      </c>
      <c r="Q545" s="21">
        <f t="shared" si="26"/>
        <v>380008.82182399998</v>
      </c>
      <c r="R545" s="21">
        <v>355962.48800000001</v>
      </c>
    </row>
    <row r="546" spans="1:18" ht="15.75" thickBot="1" x14ac:dyDescent="0.3">
      <c r="A546" s="21" t="s">
        <v>111</v>
      </c>
      <c r="B546" s="22" t="s">
        <v>96</v>
      </c>
      <c r="C546" s="22" t="s">
        <v>97</v>
      </c>
      <c r="D546" s="22">
        <v>1185</v>
      </c>
      <c r="E546" s="22">
        <v>23</v>
      </c>
      <c r="F546" s="21">
        <f t="shared" si="27"/>
        <v>276645.36</v>
      </c>
      <c r="G546" s="21">
        <f t="shared" si="28"/>
        <v>41496.803999999996</v>
      </c>
      <c r="H546" s="21">
        <v>60000</v>
      </c>
      <c r="I546" s="21">
        <v>15000</v>
      </c>
      <c r="J546" s="21">
        <v>15000</v>
      </c>
      <c r="K546" s="26">
        <v>15000</v>
      </c>
      <c r="L546" s="21">
        <f>SUM(F546:K546)</f>
        <v>423142.16399999999</v>
      </c>
      <c r="M546" s="21">
        <v>46116.781512000001</v>
      </c>
      <c r="N546" s="21">
        <v>29459.854439999996</v>
      </c>
      <c r="O546" s="21">
        <v>23044.558487999999</v>
      </c>
      <c r="P546" s="21">
        <f>IF((D546*233.456*3%)&gt;7004,7004,(D546*233.456*3%))</f>
        <v>7004</v>
      </c>
      <c r="Q546" s="21">
        <f t="shared" si="26"/>
        <v>363633.75107200001</v>
      </c>
      <c r="R546" s="21">
        <v>333142.16399999999</v>
      </c>
    </row>
    <row r="547" spans="1:18" ht="15.75" thickBot="1" x14ac:dyDescent="0.3">
      <c r="A547" s="21" t="s">
        <v>111</v>
      </c>
      <c r="B547" s="22" t="s">
        <v>96</v>
      </c>
      <c r="C547" s="22" t="s">
        <v>97</v>
      </c>
      <c r="D547" s="22">
        <v>1135</v>
      </c>
      <c r="E547" s="22">
        <v>22</v>
      </c>
      <c r="F547" s="21">
        <f t="shared" si="27"/>
        <v>264972.56</v>
      </c>
      <c r="G547" s="21">
        <f t="shared" si="28"/>
        <v>39745.883999999998</v>
      </c>
      <c r="H547" s="21">
        <v>60000</v>
      </c>
      <c r="I547" s="21">
        <v>15000</v>
      </c>
      <c r="J547" s="21">
        <v>15000</v>
      </c>
      <c r="K547" s="26">
        <v>15000</v>
      </c>
      <c r="L547" s="21">
        <f>SUM(F547:K547)</f>
        <v>409718.44400000002</v>
      </c>
      <c r="M547" s="21">
        <v>44170.925752000003</v>
      </c>
      <c r="N547" s="21">
        <v>26640.873240000001</v>
      </c>
      <c r="O547" s="21">
        <v>22072.214248</v>
      </c>
      <c r="P547" s="21">
        <f>IF((D547*233.456*3%)&gt;7004,7004,(D547*233.456*3%))</f>
        <v>7004</v>
      </c>
      <c r="Q547" s="21">
        <f t="shared" si="26"/>
        <v>354001.35651200003</v>
      </c>
      <c r="R547" s="21">
        <v>319718.44400000002</v>
      </c>
    </row>
    <row r="548" spans="1:18" ht="15.75" thickBot="1" x14ac:dyDescent="0.3">
      <c r="A548" s="21" t="s">
        <v>111</v>
      </c>
      <c r="B548" s="22" t="s">
        <v>96</v>
      </c>
      <c r="C548" s="22" t="s">
        <v>97</v>
      </c>
      <c r="D548" s="22">
        <v>1085</v>
      </c>
      <c r="E548" s="22">
        <v>21</v>
      </c>
      <c r="F548" s="21">
        <f t="shared" si="27"/>
        <v>253299.75999999998</v>
      </c>
      <c r="G548" s="21">
        <f t="shared" si="28"/>
        <v>37994.963999999993</v>
      </c>
      <c r="H548" s="21">
        <v>60000</v>
      </c>
      <c r="I548" s="21">
        <v>15000</v>
      </c>
      <c r="J548" s="21">
        <v>15000</v>
      </c>
      <c r="K548" s="26">
        <v>15000</v>
      </c>
      <c r="L548" s="21">
        <f>SUM(F548:K548)</f>
        <v>396294.72399999999</v>
      </c>
      <c r="M548" s="21">
        <v>42225.069991999997</v>
      </c>
      <c r="N548" s="21">
        <v>23821.892039999999</v>
      </c>
      <c r="O548" s="21">
        <v>21099.870007999998</v>
      </c>
      <c r="P548" s="21">
        <f>IF((D548*233.456*3%)&gt;7004,7004,(D548*233.456*3%))</f>
        <v>7004</v>
      </c>
      <c r="Q548" s="21">
        <f t="shared" si="26"/>
        <v>344368.96195199998</v>
      </c>
      <c r="R548" s="21">
        <v>306294.72399999999</v>
      </c>
    </row>
    <row r="549" spans="1:18" ht="15.75" thickBot="1" x14ac:dyDescent="0.3">
      <c r="A549" s="21" t="s">
        <v>111</v>
      </c>
      <c r="B549" s="22" t="s">
        <v>96</v>
      </c>
      <c r="C549" s="22" t="s">
        <v>97</v>
      </c>
      <c r="D549" s="22">
        <v>1000</v>
      </c>
      <c r="E549" s="22">
        <v>33</v>
      </c>
      <c r="F549" s="21">
        <f t="shared" si="27"/>
        <v>233456</v>
      </c>
      <c r="G549" s="21">
        <f t="shared" si="28"/>
        <v>35018.400000000001</v>
      </c>
      <c r="H549" s="21">
        <v>60000</v>
      </c>
      <c r="I549" s="21">
        <v>15000</v>
      </c>
      <c r="J549" s="21">
        <v>15000</v>
      </c>
      <c r="K549" s="26">
        <v>15000</v>
      </c>
      <c r="L549" s="21">
        <f>SUM(F549:K549)</f>
        <v>373474.4</v>
      </c>
      <c r="M549" s="21">
        <v>38917.1152</v>
      </c>
      <c r="N549" s="21">
        <v>19029.624000000003</v>
      </c>
      <c r="O549" s="21">
        <v>19446.8848</v>
      </c>
      <c r="P549" s="21">
        <f>IF((D549*233.456*3%)&gt;7004,7004,(D549*233.456*3%))</f>
        <v>7003.6799999999994</v>
      </c>
      <c r="Q549" s="21">
        <f t="shared" si="26"/>
        <v>327994.21120000002</v>
      </c>
      <c r="R549" s="21">
        <v>283474.40000000002</v>
      </c>
    </row>
    <row r="550" spans="1:18" ht="15.75" thickBot="1" x14ac:dyDescent="0.3">
      <c r="A550" s="21" t="s">
        <v>111</v>
      </c>
      <c r="B550" s="22" t="s">
        <v>96</v>
      </c>
      <c r="C550" s="22" t="s">
        <v>97</v>
      </c>
      <c r="D550" s="22">
        <v>950</v>
      </c>
      <c r="E550" s="22">
        <v>32</v>
      </c>
      <c r="F550" s="21">
        <f t="shared" si="27"/>
        <v>221783.19999999998</v>
      </c>
      <c r="G550" s="21">
        <f t="shared" si="28"/>
        <v>33267.479999999996</v>
      </c>
      <c r="H550" s="21">
        <v>60000</v>
      </c>
      <c r="I550" s="21">
        <v>15000</v>
      </c>
      <c r="J550" s="21">
        <v>15000</v>
      </c>
      <c r="K550" s="26">
        <v>15000</v>
      </c>
      <c r="L550" s="21">
        <f>SUM(F550:K550)</f>
        <v>360050.68</v>
      </c>
      <c r="M550" s="21">
        <v>36971.259440000002</v>
      </c>
      <c r="N550" s="21">
        <v>16210.642799999998</v>
      </c>
      <c r="O550" s="21">
        <v>18474.540559999998</v>
      </c>
      <c r="P550" s="21">
        <f>IF((D550*233.456*3%)&gt;7004,7004,(D550*233.456*3%))</f>
        <v>6653.4959999999992</v>
      </c>
      <c r="Q550" s="21">
        <f t="shared" si="26"/>
        <v>318712.00063999998</v>
      </c>
      <c r="R550" s="21">
        <v>270050.68</v>
      </c>
    </row>
    <row r="551" spans="1:18" ht="15.75" thickBot="1" x14ac:dyDescent="0.3">
      <c r="A551" s="21" t="s">
        <v>111</v>
      </c>
      <c r="B551" s="22" t="s">
        <v>96</v>
      </c>
      <c r="C551" s="22" t="s">
        <v>97</v>
      </c>
      <c r="D551" s="22">
        <v>890</v>
      </c>
      <c r="E551" s="22">
        <v>31</v>
      </c>
      <c r="F551" s="21">
        <f t="shared" si="27"/>
        <v>207775.84</v>
      </c>
      <c r="G551" s="21">
        <f t="shared" si="28"/>
        <v>31166.375999999997</v>
      </c>
      <c r="H551" s="21">
        <v>60000</v>
      </c>
      <c r="I551" s="21">
        <v>15000</v>
      </c>
      <c r="J551" s="21">
        <v>15000</v>
      </c>
      <c r="K551" s="26">
        <v>15000</v>
      </c>
      <c r="L551" s="21">
        <f>SUM(F551:K551)</f>
        <v>343942.21600000001</v>
      </c>
      <c r="M551" s="21">
        <v>34636.232528</v>
      </c>
      <c r="N551" s="21">
        <v>12827.865359999996</v>
      </c>
      <c r="O551" s="21">
        <v>17307.727471999999</v>
      </c>
      <c r="P551" s="21">
        <f>IF((D551*233.456*3%)&gt;7004,7004,(D551*233.456*3%))</f>
        <v>6233.2752</v>
      </c>
      <c r="Q551" s="21">
        <f t="shared" si="26"/>
        <v>307573.34796799999</v>
      </c>
      <c r="R551" s="21">
        <v>253942.21599999999</v>
      </c>
    </row>
    <row r="552" spans="1:18" ht="15.75" thickBot="1" x14ac:dyDescent="0.3">
      <c r="A552" s="21" t="s">
        <v>111</v>
      </c>
      <c r="B552" s="22" t="s">
        <v>96</v>
      </c>
      <c r="C552" s="22" t="s">
        <v>97</v>
      </c>
      <c r="D552" s="22">
        <v>840</v>
      </c>
      <c r="E552" s="22">
        <v>44</v>
      </c>
      <c r="F552" s="21">
        <f t="shared" si="27"/>
        <v>196103.03999999998</v>
      </c>
      <c r="G552" s="21">
        <f t="shared" si="28"/>
        <v>29415.455999999995</v>
      </c>
      <c r="H552" s="21">
        <v>60000</v>
      </c>
      <c r="I552" s="21">
        <v>15000</v>
      </c>
      <c r="J552" s="21">
        <v>15000</v>
      </c>
      <c r="K552" s="26">
        <v>15000</v>
      </c>
      <c r="L552" s="21">
        <f>SUM(F552:K552)</f>
        <v>330518.49599999998</v>
      </c>
      <c r="M552" s="21">
        <v>32690.376767999998</v>
      </c>
      <c r="N552" s="21">
        <v>10008.884159999998</v>
      </c>
      <c r="O552" s="21">
        <v>16335.383231999998</v>
      </c>
      <c r="P552" s="21">
        <f>IF((D552*233.456*3%)&gt;7004,7004,(D552*233.456*3%))</f>
        <v>5883.0911999999989</v>
      </c>
      <c r="Q552" s="21">
        <f t="shared" si="26"/>
        <v>298291.13740800001</v>
      </c>
      <c r="R552" s="21">
        <v>240518.49599999998</v>
      </c>
    </row>
    <row r="553" spans="1:18" ht="15.75" thickBot="1" x14ac:dyDescent="0.3">
      <c r="A553" s="21" t="s">
        <v>111</v>
      </c>
      <c r="B553" s="22" t="s">
        <v>96</v>
      </c>
      <c r="C553" s="22" t="s">
        <v>97</v>
      </c>
      <c r="D553" s="22">
        <v>785</v>
      </c>
      <c r="E553" s="22">
        <v>43</v>
      </c>
      <c r="F553" s="21">
        <f t="shared" si="27"/>
        <v>183262.96</v>
      </c>
      <c r="G553" s="21">
        <f t="shared" si="28"/>
        <v>27489.444</v>
      </c>
      <c r="H553" s="21">
        <v>60000</v>
      </c>
      <c r="I553" s="21">
        <v>15000</v>
      </c>
      <c r="J553" s="21">
        <v>15000</v>
      </c>
      <c r="K553" s="26">
        <v>15000</v>
      </c>
      <c r="L553" s="21">
        <f>SUM(F553:K553)</f>
        <v>315752.40399999998</v>
      </c>
      <c r="M553" s="21">
        <v>30549.935432000002</v>
      </c>
      <c r="N553" s="21">
        <v>7620.3846399999966</v>
      </c>
      <c r="O553" s="21">
        <v>15265.804568</v>
      </c>
      <c r="P553" s="21">
        <f>IF((D553*233.456*3%)&gt;7004,7004,(D553*233.456*3%))</f>
        <v>5497.8887999999997</v>
      </c>
      <c r="Q553" s="21">
        <f t="shared" si="26"/>
        <v>287368.325992</v>
      </c>
      <c r="R553" s="21">
        <v>225752.40399999998</v>
      </c>
    </row>
    <row r="554" spans="1:18" ht="15.75" thickBot="1" x14ac:dyDescent="0.3">
      <c r="A554" s="21" t="s">
        <v>111</v>
      </c>
      <c r="B554" s="22" t="s">
        <v>96</v>
      </c>
      <c r="C554" s="22" t="s">
        <v>97</v>
      </c>
      <c r="D554" s="22">
        <v>730</v>
      </c>
      <c r="E554" s="22">
        <v>42</v>
      </c>
      <c r="F554" s="21">
        <f t="shared" si="27"/>
        <v>170422.88</v>
      </c>
      <c r="G554" s="21">
        <f t="shared" si="28"/>
        <v>25563.432000000001</v>
      </c>
      <c r="H554" s="21">
        <v>60000</v>
      </c>
      <c r="I554" s="21">
        <v>15000</v>
      </c>
      <c r="J554" s="21">
        <v>15000</v>
      </c>
      <c r="K554" s="26">
        <v>15000</v>
      </c>
      <c r="L554" s="21">
        <f>SUM(F554:K554)</f>
        <v>300986.31200000003</v>
      </c>
      <c r="M554" s="21">
        <v>28409.494096000002</v>
      </c>
      <c r="N554" s="21">
        <v>5257.8099199999997</v>
      </c>
      <c r="O554" s="21">
        <v>14196.225904000001</v>
      </c>
      <c r="P554" s="21">
        <f>IF((D554*233.456*3%)&gt;7004,7004,(D554*233.456*3%))</f>
        <v>5112.6863999999996</v>
      </c>
      <c r="Q554" s="21">
        <f t="shared" ref="Q554:Q617" si="29">L554-SUM(N554:P554)</f>
        <v>276419.58977600001</v>
      </c>
      <c r="R554" s="21">
        <v>210986.31200000001</v>
      </c>
    </row>
    <row r="555" spans="1:18" ht="15.75" thickBot="1" x14ac:dyDescent="0.3">
      <c r="A555" s="21" t="s">
        <v>111</v>
      </c>
      <c r="B555" s="22" t="s">
        <v>96</v>
      </c>
      <c r="C555" s="22" t="s">
        <v>97</v>
      </c>
      <c r="D555" s="22">
        <v>680</v>
      </c>
      <c r="E555" s="22">
        <v>41</v>
      </c>
      <c r="F555" s="21">
        <f t="shared" si="27"/>
        <v>158750.07999999999</v>
      </c>
      <c r="G555" s="21">
        <f t="shared" si="28"/>
        <v>23812.511999999999</v>
      </c>
      <c r="H555" s="21">
        <v>60000</v>
      </c>
      <c r="I555" s="21">
        <v>15000</v>
      </c>
      <c r="J555" s="21">
        <v>15000</v>
      </c>
      <c r="K555" s="26">
        <v>15000</v>
      </c>
      <c r="L555" s="21">
        <f>SUM(F555:K555)</f>
        <v>287562.59199999995</v>
      </c>
      <c r="M555" s="21">
        <v>26463.638336</v>
      </c>
      <c r="N555" s="21">
        <v>3110.0147199999956</v>
      </c>
      <c r="O555" s="21">
        <v>13223.881663999999</v>
      </c>
      <c r="P555" s="21">
        <f>IF((D555*233.456*3%)&gt;7004,7004,(D555*233.456*3%))</f>
        <v>4762.5023999999994</v>
      </c>
      <c r="Q555" s="21">
        <f t="shared" si="29"/>
        <v>266466.19321599993</v>
      </c>
      <c r="R555" s="21">
        <v>197562.59199999998</v>
      </c>
    </row>
    <row r="556" spans="1:18" ht="15.75" thickBot="1" x14ac:dyDescent="0.3">
      <c r="A556" s="21" t="s">
        <v>111</v>
      </c>
      <c r="B556" s="22" t="s">
        <v>96</v>
      </c>
      <c r="C556" s="22" t="s">
        <v>98</v>
      </c>
      <c r="D556" s="22">
        <v>925</v>
      </c>
      <c r="E556" s="22">
        <v>13</v>
      </c>
      <c r="F556" s="21">
        <f t="shared" si="27"/>
        <v>215946.8</v>
      </c>
      <c r="G556" s="21">
        <f t="shared" si="28"/>
        <v>32392.019999999997</v>
      </c>
      <c r="H556" s="21">
        <v>60000</v>
      </c>
      <c r="I556" s="21">
        <v>15000</v>
      </c>
      <c r="J556" s="21">
        <v>15000</v>
      </c>
      <c r="K556" s="26"/>
      <c r="L556" s="21">
        <f>SUM(F556:K556)</f>
        <v>338338.81999999995</v>
      </c>
      <c r="M556" s="21">
        <v>35998.331559999999</v>
      </c>
      <c r="N556" s="21">
        <v>14801.15219999999</v>
      </c>
      <c r="O556" s="21">
        <v>17988.368439999998</v>
      </c>
      <c r="P556" s="21">
        <f>IF((D556*233.456*3%)&gt;7004,7004,(D556*233.456*3%))</f>
        <v>6478.4039999999995</v>
      </c>
      <c r="Q556" s="21">
        <f t="shared" si="29"/>
        <v>299070.89535999997</v>
      </c>
      <c r="R556" s="21">
        <v>263338.81999999995</v>
      </c>
    </row>
    <row r="557" spans="1:18" ht="15.75" thickBot="1" x14ac:dyDescent="0.3">
      <c r="A557" s="21" t="s">
        <v>111</v>
      </c>
      <c r="B557" s="22" t="s">
        <v>96</v>
      </c>
      <c r="C557" s="22" t="s">
        <v>98</v>
      </c>
      <c r="D557" s="22">
        <v>900</v>
      </c>
      <c r="E557" s="22">
        <v>12</v>
      </c>
      <c r="F557" s="21">
        <f t="shared" si="27"/>
        <v>210110.4</v>
      </c>
      <c r="G557" s="21">
        <f t="shared" si="28"/>
        <v>31516.559999999998</v>
      </c>
      <c r="H557" s="21">
        <v>60000</v>
      </c>
      <c r="I557" s="21">
        <v>15000</v>
      </c>
      <c r="J557" s="21">
        <v>15000</v>
      </c>
      <c r="K557" s="26"/>
      <c r="L557" s="21">
        <f>SUM(F557:K557)</f>
        <v>331626.95999999996</v>
      </c>
      <c r="M557" s="21">
        <v>35025.403680000003</v>
      </c>
      <c r="N557" s="21">
        <v>13391.661599999999</v>
      </c>
      <c r="O557" s="21">
        <v>17502.196319999999</v>
      </c>
      <c r="P557" s="21">
        <f>IF((D557*233.456*3%)&gt;7004,7004,(D557*233.456*3%))</f>
        <v>6303.3119999999999</v>
      </c>
      <c r="Q557" s="21">
        <f t="shared" si="29"/>
        <v>294429.79007999995</v>
      </c>
      <c r="R557" s="21">
        <v>256626.96</v>
      </c>
    </row>
    <row r="558" spans="1:18" ht="15.75" thickBot="1" x14ac:dyDescent="0.3">
      <c r="A558" s="21" t="s">
        <v>111</v>
      </c>
      <c r="B558" s="22" t="s">
        <v>96</v>
      </c>
      <c r="C558" s="22" t="s">
        <v>98</v>
      </c>
      <c r="D558" s="22">
        <v>880</v>
      </c>
      <c r="E558" s="22">
        <v>11</v>
      </c>
      <c r="F558" s="21">
        <f t="shared" si="27"/>
        <v>205441.28</v>
      </c>
      <c r="G558" s="21">
        <f t="shared" si="28"/>
        <v>30816.191999999999</v>
      </c>
      <c r="H558" s="21">
        <v>60000</v>
      </c>
      <c r="I558" s="21">
        <v>15000</v>
      </c>
      <c r="J558" s="21">
        <v>15000</v>
      </c>
      <c r="K558" s="26"/>
      <c r="L558" s="21">
        <f>SUM(F558:K558)</f>
        <v>326257.47200000001</v>
      </c>
      <c r="M558" s="21">
        <v>34247.061376000005</v>
      </c>
      <c r="N558" s="21">
        <v>12264.06912</v>
      </c>
      <c r="O558" s="21">
        <v>17113.258623999998</v>
      </c>
      <c r="P558" s="21">
        <f>IF((D558*233.456*3%)&gt;7004,7004,(D558*233.456*3%))</f>
        <v>6163.2384000000002</v>
      </c>
      <c r="Q558" s="21">
        <f t="shared" si="29"/>
        <v>290716.90585600003</v>
      </c>
      <c r="R558" s="21">
        <v>251257.47200000001</v>
      </c>
    </row>
    <row r="559" spans="1:18" ht="15.75" thickBot="1" x14ac:dyDescent="0.3">
      <c r="A559" s="21" t="s">
        <v>111</v>
      </c>
      <c r="B559" s="22" t="s">
        <v>96</v>
      </c>
      <c r="C559" s="22" t="s">
        <v>98</v>
      </c>
      <c r="D559" s="22">
        <v>860</v>
      </c>
      <c r="E559" s="22">
        <v>23</v>
      </c>
      <c r="F559" s="21">
        <f t="shared" si="27"/>
        <v>200772.16</v>
      </c>
      <c r="G559" s="21">
        <f t="shared" si="28"/>
        <v>30115.824000000001</v>
      </c>
      <c r="H559" s="21">
        <v>60000</v>
      </c>
      <c r="I559" s="21">
        <v>15000</v>
      </c>
      <c r="J559" s="21">
        <v>15000</v>
      </c>
      <c r="K559" s="26"/>
      <c r="L559" s="21">
        <f>SUM(F559:K559)</f>
        <v>320887.984</v>
      </c>
      <c r="M559" s="21">
        <v>33468.719072000007</v>
      </c>
      <c r="N559" s="21">
        <v>11136.476640000001</v>
      </c>
      <c r="O559" s="21">
        <v>16724.320928000001</v>
      </c>
      <c r="P559" s="21">
        <f>IF((D559*233.456*3%)&gt;7004,7004,(D559*233.456*3%))</f>
        <v>6023.1647999999996</v>
      </c>
      <c r="Q559" s="21">
        <f t="shared" si="29"/>
        <v>287004.02163199999</v>
      </c>
      <c r="R559" s="21">
        <v>245887.984</v>
      </c>
    </row>
    <row r="560" spans="1:18" ht="15.75" thickBot="1" x14ac:dyDescent="0.3">
      <c r="A560" s="21" t="s">
        <v>111</v>
      </c>
      <c r="B560" s="22" t="s">
        <v>96</v>
      </c>
      <c r="C560" s="22" t="s">
        <v>98</v>
      </c>
      <c r="D560" s="22">
        <v>835</v>
      </c>
      <c r="E560" s="22">
        <v>22</v>
      </c>
      <c r="F560" s="21">
        <f t="shared" si="27"/>
        <v>194935.75999999998</v>
      </c>
      <c r="G560" s="21">
        <f t="shared" si="28"/>
        <v>29240.363999999998</v>
      </c>
      <c r="H560" s="21">
        <v>60000</v>
      </c>
      <c r="I560" s="21">
        <v>15000</v>
      </c>
      <c r="J560" s="21">
        <v>15000</v>
      </c>
      <c r="K560" s="26"/>
      <c r="L560" s="21">
        <f>SUM(F560:K560)</f>
        <v>314176.12399999995</v>
      </c>
      <c r="M560" s="21">
        <v>32495.791192000001</v>
      </c>
      <c r="N560" s="21">
        <v>9768.1798399999971</v>
      </c>
      <c r="O560" s="21">
        <v>16238.148807999998</v>
      </c>
      <c r="P560" s="21">
        <f>IF((D560*233.456*3%)&gt;7004,7004,(D560*233.456*3%))</f>
        <v>5848.072799999999</v>
      </c>
      <c r="Q560" s="21">
        <f t="shared" si="29"/>
        <v>282321.72255199996</v>
      </c>
      <c r="R560" s="21">
        <v>239176.12399999998</v>
      </c>
    </row>
    <row r="561" spans="1:18" ht="15.75" thickBot="1" x14ac:dyDescent="0.3">
      <c r="A561" s="21" t="s">
        <v>111</v>
      </c>
      <c r="B561" s="22" t="s">
        <v>96</v>
      </c>
      <c r="C561" s="22" t="s">
        <v>98</v>
      </c>
      <c r="D561" s="22">
        <v>815</v>
      </c>
      <c r="E561" s="22">
        <v>21</v>
      </c>
      <c r="F561" s="21">
        <f t="shared" si="27"/>
        <v>190266.63999999998</v>
      </c>
      <c r="G561" s="21">
        <f t="shared" si="28"/>
        <v>28539.995999999996</v>
      </c>
      <c r="H561" s="21">
        <v>60000</v>
      </c>
      <c r="I561" s="21">
        <v>15000</v>
      </c>
      <c r="J561" s="21">
        <v>15000</v>
      </c>
      <c r="K561" s="26"/>
      <c r="L561" s="21">
        <f>SUM(F561:K561)</f>
        <v>308806.63599999994</v>
      </c>
      <c r="M561" s="21">
        <v>31717.448887999999</v>
      </c>
      <c r="N561" s="21">
        <v>8909.0617599999969</v>
      </c>
      <c r="O561" s="21">
        <v>15849.211111999999</v>
      </c>
      <c r="P561" s="21">
        <f>IF((D561*233.456*3%)&gt;7004,7004,(D561*233.456*3%))</f>
        <v>5707.9991999999993</v>
      </c>
      <c r="Q561" s="21">
        <f t="shared" si="29"/>
        <v>278340.36392799998</v>
      </c>
      <c r="R561" s="21">
        <v>233806.63599999997</v>
      </c>
    </row>
    <row r="562" spans="1:18" ht="15.75" thickBot="1" x14ac:dyDescent="0.3">
      <c r="A562" s="21" t="s">
        <v>111</v>
      </c>
      <c r="B562" s="22" t="s">
        <v>96</v>
      </c>
      <c r="C562" s="22" t="s">
        <v>98</v>
      </c>
      <c r="D562" s="22">
        <v>740</v>
      </c>
      <c r="E562" s="22">
        <v>33</v>
      </c>
      <c r="F562" s="21">
        <f t="shared" si="27"/>
        <v>172757.44</v>
      </c>
      <c r="G562" s="21">
        <f t="shared" si="28"/>
        <v>25913.615999999998</v>
      </c>
      <c r="H562" s="21">
        <v>60000</v>
      </c>
      <c r="I562" s="21">
        <v>15000</v>
      </c>
      <c r="J562" s="21">
        <v>15000</v>
      </c>
      <c r="K562" s="26"/>
      <c r="L562" s="21">
        <f>SUM(F562:K562)</f>
        <v>288671.05599999998</v>
      </c>
      <c r="M562" s="21">
        <v>28798.665248000001</v>
      </c>
      <c r="N562" s="21">
        <v>5687.3689600000034</v>
      </c>
      <c r="O562" s="21">
        <v>14390.694751999999</v>
      </c>
      <c r="P562" s="21">
        <f>IF((D562*233.456*3%)&gt;7004,7004,(D562*233.456*3%))</f>
        <v>5182.7231999999995</v>
      </c>
      <c r="Q562" s="21">
        <f t="shared" si="29"/>
        <v>263410.269088</v>
      </c>
      <c r="R562" s="21">
        <v>213671.05600000001</v>
      </c>
    </row>
    <row r="563" spans="1:18" ht="15.75" thickBot="1" x14ac:dyDescent="0.3">
      <c r="A563" s="21" t="s">
        <v>111</v>
      </c>
      <c r="B563" s="22" t="s">
        <v>96</v>
      </c>
      <c r="C563" s="22" t="s">
        <v>98</v>
      </c>
      <c r="D563" s="22">
        <v>715</v>
      </c>
      <c r="E563" s="22">
        <v>32</v>
      </c>
      <c r="F563" s="21">
        <f t="shared" si="27"/>
        <v>166921.03999999998</v>
      </c>
      <c r="G563" s="21">
        <f t="shared" si="28"/>
        <v>25038.155999999995</v>
      </c>
      <c r="H563" s="21">
        <v>60000</v>
      </c>
      <c r="I563" s="21">
        <v>15000</v>
      </c>
      <c r="J563" s="21">
        <v>15000</v>
      </c>
      <c r="K563" s="26"/>
      <c r="L563" s="21">
        <f>SUM(F563:K563)</f>
        <v>281959.196</v>
      </c>
      <c r="M563" s="21">
        <v>27825.737367999998</v>
      </c>
      <c r="N563" s="21">
        <v>4613.4713599999959</v>
      </c>
      <c r="O563" s="21">
        <v>13904.522631999998</v>
      </c>
      <c r="P563" s="21">
        <f>IF((D563*233.456*3%)&gt;7004,7004,(D563*233.456*3%))</f>
        <v>5007.6311999999989</v>
      </c>
      <c r="Q563" s="21">
        <f t="shared" si="29"/>
        <v>258433.57080799999</v>
      </c>
      <c r="R563" s="21">
        <v>206959.19599999997</v>
      </c>
    </row>
    <row r="564" spans="1:18" ht="15.75" thickBot="1" x14ac:dyDescent="0.3">
      <c r="A564" s="21" t="s">
        <v>111</v>
      </c>
      <c r="B564" s="22" t="s">
        <v>96</v>
      </c>
      <c r="C564" s="22" t="s">
        <v>98</v>
      </c>
      <c r="D564" s="22">
        <v>695</v>
      </c>
      <c r="E564" s="22">
        <v>31</v>
      </c>
      <c r="F564" s="21">
        <f t="shared" si="27"/>
        <v>162251.91999999998</v>
      </c>
      <c r="G564" s="21">
        <f t="shared" si="28"/>
        <v>24337.787999999997</v>
      </c>
      <c r="H564" s="21">
        <v>60000</v>
      </c>
      <c r="I564" s="21">
        <v>15000</v>
      </c>
      <c r="J564" s="21">
        <v>15000</v>
      </c>
      <c r="K564" s="26"/>
      <c r="L564" s="21">
        <f>SUM(F564:K564)</f>
        <v>276589.70799999998</v>
      </c>
      <c r="M564" s="21">
        <v>27047.395064</v>
      </c>
      <c r="N564" s="21">
        <v>3754.3532799999994</v>
      </c>
      <c r="O564" s="21">
        <v>13515.584935999999</v>
      </c>
      <c r="P564" s="21">
        <f>IF((D564*233.456*3%)&gt;7004,7004,(D564*233.456*3%))</f>
        <v>4867.5575999999992</v>
      </c>
      <c r="Q564" s="21">
        <f t="shared" si="29"/>
        <v>254452.21218399997</v>
      </c>
      <c r="R564" s="21">
        <v>201589.70799999998</v>
      </c>
    </row>
    <row r="565" spans="1:18" ht="15.75" thickBot="1" x14ac:dyDescent="0.3">
      <c r="A565" s="21" t="s">
        <v>111</v>
      </c>
      <c r="B565" s="22" t="s">
        <v>96</v>
      </c>
      <c r="C565" s="22" t="s">
        <v>98</v>
      </c>
      <c r="D565" s="22">
        <v>640</v>
      </c>
      <c r="E565" s="22">
        <v>44</v>
      </c>
      <c r="F565" s="21">
        <f t="shared" si="27"/>
        <v>149411.84</v>
      </c>
      <c r="G565" s="21">
        <f t="shared" si="28"/>
        <v>22411.775999999998</v>
      </c>
      <c r="H565" s="21">
        <v>60000</v>
      </c>
      <c r="I565" s="21">
        <v>15000</v>
      </c>
      <c r="J565" s="21">
        <v>15000</v>
      </c>
      <c r="K565" s="26"/>
      <c r="L565" s="21">
        <f>SUM(F565:K565)</f>
        <v>261823.61599999998</v>
      </c>
      <c r="M565" s="21">
        <v>24906.953728</v>
      </c>
      <c r="N565" s="21">
        <v>1391.7785599999988</v>
      </c>
      <c r="O565" s="21">
        <v>12446.006271999999</v>
      </c>
      <c r="P565" s="21">
        <f>IF((D565*233.456*3%)&gt;7004,7004,(D565*233.456*3%))</f>
        <v>4482.3552</v>
      </c>
      <c r="Q565" s="21">
        <f t="shared" si="29"/>
        <v>243503.47596799998</v>
      </c>
      <c r="R565" s="21">
        <v>186823.61599999998</v>
      </c>
    </row>
    <row r="566" spans="1:18" ht="15.75" thickBot="1" x14ac:dyDescent="0.3">
      <c r="A566" s="21" t="s">
        <v>111</v>
      </c>
      <c r="B566" s="22" t="s">
        <v>96</v>
      </c>
      <c r="C566" s="22" t="s">
        <v>98</v>
      </c>
      <c r="D566" s="22">
        <v>625</v>
      </c>
      <c r="E566" s="22">
        <v>43</v>
      </c>
      <c r="F566" s="21">
        <f t="shared" si="27"/>
        <v>145910</v>
      </c>
      <c r="G566" s="21">
        <f t="shared" si="28"/>
        <v>21886.5</v>
      </c>
      <c r="H566" s="21">
        <v>60000</v>
      </c>
      <c r="I566" s="21">
        <v>15000</v>
      </c>
      <c r="J566" s="21">
        <v>15000</v>
      </c>
      <c r="K566" s="26"/>
      <c r="L566" s="21">
        <f>SUM(F566:K566)</f>
        <v>257796.5</v>
      </c>
      <c r="M566" s="21">
        <v>24323.197000000004</v>
      </c>
      <c r="N566" s="21">
        <v>747.43999999999869</v>
      </c>
      <c r="O566" s="21">
        <v>12154.303</v>
      </c>
      <c r="P566" s="21">
        <f>IF((D566*233.456*3%)&gt;7004,7004,(D566*233.456*3%))</f>
        <v>4377.3</v>
      </c>
      <c r="Q566" s="21">
        <f t="shared" si="29"/>
        <v>240517.45699999999</v>
      </c>
      <c r="R566" s="21">
        <v>182796.5</v>
      </c>
    </row>
    <row r="567" spans="1:18" ht="15.75" thickBot="1" x14ac:dyDescent="0.3">
      <c r="A567" s="21" t="s">
        <v>111</v>
      </c>
      <c r="B567" s="22" t="s">
        <v>96</v>
      </c>
      <c r="C567" s="22" t="s">
        <v>98</v>
      </c>
      <c r="D567" s="22">
        <v>595</v>
      </c>
      <c r="E567" s="22">
        <v>42</v>
      </c>
      <c r="F567" s="21">
        <f t="shared" si="27"/>
        <v>138906.32</v>
      </c>
      <c r="G567" s="21">
        <f t="shared" si="28"/>
        <v>20835.948</v>
      </c>
      <c r="H567" s="21">
        <v>60000</v>
      </c>
      <c r="I567" s="21">
        <v>15000</v>
      </c>
      <c r="J567" s="21">
        <v>15000</v>
      </c>
      <c r="K567" s="26"/>
      <c r="L567" s="21">
        <f>SUM(F567:K567)</f>
        <v>249742.26800000001</v>
      </c>
      <c r="M567" s="21">
        <v>23155.683544000003</v>
      </c>
      <c r="N567" s="21">
        <v>0</v>
      </c>
      <c r="O567" s="21">
        <v>11570.896456</v>
      </c>
      <c r="P567" s="21">
        <f>IF((D567*233.456*3%)&gt;7004,7004,(D567*233.456*3%))</f>
        <v>4167.1895999999997</v>
      </c>
      <c r="Q567" s="21">
        <f t="shared" si="29"/>
        <v>234004.18194400001</v>
      </c>
      <c r="R567" s="21">
        <v>174742.26800000001</v>
      </c>
    </row>
    <row r="568" spans="1:18" ht="15.75" thickBot="1" x14ac:dyDescent="0.3">
      <c r="A568" s="21" t="s">
        <v>111</v>
      </c>
      <c r="B568" s="22" t="s">
        <v>96</v>
      </c>
      <c r="C568" s="22" t="s">
        <v>98</v>
      </c>
      <c r="D568" s="22">
        <v>565</v>
      </c>
      <c r="E568" s="22">
        <v>41</v>
      </c>
      <c r="F568" s="21">
        <f t="shared" si="27"/>
        <v>131902.63999999998</v>
      </c>
      <c r="G568" s="21">
        <f t="shared" si="28"/>
        <v>19785.395999999997</v>
      </c>
      <c r="H568" s="21">
        <v>60000</v>
      </c>
      <c r="I568" s="21">
        <v>15000</v>
      </c>
      <c r="J568" s="21">
        <v>15000</v>
      </c>
      <c r="K568" s="26"/>
      <c r="L568" s="21">
        <f>SUM(F568:K568)</f>
        <v>241688.03599999999</v>
      </c>
      <c r="M568" s="21">
        <v>21988.170087999999</v>
      </c>
      <c r="N568" s="21">
        <v>0</v>
      </c>
      <c r="O568" s="21">
        <v>10987.489911999999</v>
      </c>
      <c r="P568" s="21">
        <f>IF((D568*233.456*3%)&gt;7004,7004,(D568*233.456*3%))</f>
        <v>3957.0791999999992</v>
      </c>
      <c r="Q568" s="21">
        <f t="shared" si="29"/>
        <v>226743.466888</v>
      </c>
      <c r="R568" s="21">
        <v>166688.03599999999</v>
      </c>
    </row>
    <row r="569" spans="1:18" ht="15.75" thickBot="1" x14ac:dyDescent="0.3">
      <c r="A569" s="21" t="s">
        <v>112</v>
      </c>
      <c r="B569" s="22" t="s">
        <v>90</v>
      </c>
      <c r="C569" s="22" t="s">
        <v>94</v>
      </c>
      <c r="D569" s="22">
        <v>2580</v>
      </c>
      <c r="E569" s="22">
        <v>12</v>
      </c>
      <c r="F569" s="21">
        <f t="shared" si="27"/>
        <v>602316.48</v>
      </c>
      <c r="G569" s="21">
        <f t="shared" si="28"/>
        <v>90347.471999999994</v>
      </c>
      <c r="H569" s="21">
        <v>90000</v>
      </c>
      <c r="I569" s="21">
        <v>15000</v>
      </c>
      <c r="J569" s="21">
        <v>15000</v>
      </c>
      <c r="K569" s="26">
        <f>145000+125000</f>
        <v>270000</v>
      </c>
      <c r="L569" s="21">
        <f>SUM(F569:K569)</f>
        <v>1082663.952</v>
      </c>
      <c r="M569" s="21">
        <v>100406.15721600001</v>
      </c>
      <c r="N569" s="21">
        <v>104959.42991999998</v>
      </c>
      <c r="O569" s="21">
        <v>50172.962783999996</v>
      </c>
      <c r="P569" s="21">
        <f>IF((D569*233.456*3%)&gt;7004,7004,(D569*233.456*3%))</f>
        <v>7004</v>
      </c>
      <c r="Q569" s="21">
        <f t="shared" si="29"/>
        <v>920527.55929600005</v>
      </c>
      <c r="R569" s="21">
        <v>692663.95199999993</v>
      </c>
    </row>
    <row r="570" spans="1:18" ht="15.75" thickBot="1" x14ac:dyDescent="0.3">
      <c r="A570" s="21" t="s">
        <v>112</v>
      </c>
      <c r="B570" s="22" t="s">
        <v>90</v>
      </c>
      <c r="C570" s="22" t="s">
        <v>94</v>
      </c>
      <c r="D570" s="22">
        <v>2375</v>
      </c>
      <c r="E570" s="22">
        <v>11</v>
      </c>
      <c r="F570" s="21">
        <f t="shared" si="27"/>
        <v>554458</v>
      </c>
      <c r="G570" s="21">
        <f t="shared" si="28"/>
        <v>83168.7</v>
      </c>
      <c r="H570" s="21">
        <v>90000</v>
      </c>
      <c r="I570" s="21">
        <v>15000</v>
      </c>
      <c r="J570" s="21">
        <v>15000</v>
      </c>
      <c r="K570" s="26">
        <f t="shared" ref="K570:K580" si="30">145000+125000</f>
        <v>270000</v>
      </c>
      <c r="L570" s="21">
        <f>SUM(F570:K570)</f>
        <v>1027626.7</v>
      </c>
      <c r="M570" s="21">
        <v>92428.148600000015</v>
      </c>
      <c r="N570" s="21">
        <v>93401.606999999989</v>
      </c>
      <c r="O570" s="21">
        <v>46186.3514</v>
      </c>
      <c r="P570" s="21">
        <f>IF((D570*233.456*3%)&gt;7004,7004,(D570*233.456*3%))</f>
        <v>7004</v>
      </c>
      <c r="Q570" s="21">
        <f t="shared" si="29"/>
        <v>881034.74159999995</v>
      </c>
      <c r="R570" s="21">
        <v>637626.69999999995</v>
      </c>
    </row>
    <row r="571" spans="1:18" ht="15.75" thickBot="1" x14ac:dyDescent="0.3">
      <c r="A571" s="21" t="s">
        <v>112</v>
      </c>
      <c r="B571" s="22" t="s">
        <v>90</v>
      </c>
      <c r="C571" s="22" t="s">
        <v>94</v>
      </c>
      <c r="D571" s="22">
        <v>2275</v>
      </c>
      <c r="E571" s="22">
        <v>23</v>
      </c>
      <c r="F571" s="21">
        <f t="shared" si="27"/>
        <v>531112.4</v>
      </c>
      <c r="G571" s="21">
        <f t="shared" si="28"/>
        <v>79666.86</v>
      </c>
      <c r="H571" s="21">
        <v>90000</v>
      </c>
      <c r="I571" s="21">
        <v>15000</v>
      </c>
      <c r="J571" s="21">
        <v>15000</v>
      </c>
      <c r="K571" s="26">
        <f t="shared" si="30"/>
        <v>270000</v>
      </c>
      <c r="L571" s="21">
        <f>SUM(F571:K571)</f>
        <v>1000779.26</v>
      </c>
      <c r="M571" s="21">
        <v>88536.437080000018</v>
      </c>
      <c r="N571" s="21">
        <v>87763.6446</v>
      </c>
      <c r="O571" s="21">
        <v>44241.662920000002</v>
      </c>
      <c r="P571" s="21">
        <f>IF((D571*233.456*3%)&gt;7004,7004,(D571*233.456*3%))</f>
        <v>7004</v>
      </c>
      <c r="Q571" s="21">
        <f t="shared" si="29"/>
        <v>861769.95247999998</v>
      </c>
      <c r="R571" s="21">
        <v>610779.26</v>
      </c>
    </row>
    <row r="572" spans="1:18" ht="15.75" thickBot="1" x14ac:dyDescent="0.3">
      <c r="A572" s="21" t="s">
        <v>112</v>
      </c>
      <c r="B572" s="22" t="s">
        <v>90</v>
      </c>
      <c r="C572" s="22" t="s">
        <v>94</v>
      </c>
      <c r="D572" s="22">
        <v>2170</v>
      </c>
      <c r="E572" s="22">
        <v>22</v>
      </c>
      <c r="F572" s="21">
        <f t="shared" si="27"/>
        <v>506599.51999999996</v>
      </c>
      <c r="G572" s="21">
        <f t="shared" si="28"/>
        <v>75989.927999999985</v>
      </c>
      <c r="H572" s="21">
        <v>90000</v>
      </c>
      <c r="I572" s="21">
        <v>15000</v>
      </c>
      <c r="J572" s="21">
        <v>15000</v>
      </c>
      <c r="K572" s="26">
        <f t="shared" si="30"/>
        <v>270000</v>
      </c>
      <c r="L572" s="21">
        <f>SUM(F572:K572)</f>
        <v>972589.44799999997</v>
      </c>
      <c r="M572" s="21">
        <v>84450.139983999994</v>
      </c>
      <c r="N572" s="21">
        <v>81843.784079999998</v>
      </c>
      <c r="O572" s="21">
        <v>42199.740015999996</v>
      </c>
      <c r="P572" s="21">
        <f>IF((D572*233.456*3%)&gt;7004,7004,(D572*233.456*3%))</f>
        <v>7004</v>
      </c>
      <c r="Q572" s="21">
        <f t="shared" si="29"/>
        <v>841541.92390399997</v>
      </c>
      <c r="R572" s="21">
        <v>582589.44799999997</v>
      </c>
    </row>
    <row r="573" spans="1:18" ht="15.75" thickBot="1" x14ac:dyDescent="0.3">
      <c r="A573" s="21" t="s">
        <v>112</v>
      </c>
      <c r="B573" s="22" t="s">
        <v>90</v>
      </c>
      <c r="C573" s="22" t="s">
        <v>94</v>
      </c>
      <c r="D573" s="22">
        <v>2070</v>
      </c>
      <c r="E573" s="22">
        <v>21</v>
      </c>
      <c r="F573" s="21">
        <f t="shared" si="27"/>
        <v>483253.92</v>
      </c>
      <c r="G573" s="21">
        <f t="shared" si="28"/>
        <v>72488.087999999989</v>
      </c>
      <c r="H573" s="21">
        <v>90000</v>
      </c>
      <c r="I573" s="21">
        <v>15000</v>
      </c>
      <c r="J573" s="21">
        <v>15000</v>
      </c>
      <c r="K573" s="26">
        <f t="shared" si="30"/>
        <v>270000</v>
      </c>
      <c r="L573" s="21">
        <f>SUM(F573:K573)</f>
        <v>945742.00799999991</v>
      </c>
      <c r="M573" s="21">
        <v>80558.428464000011</v>
      </c>
      <c r="N573" s="21">
        <v>76205.821679999979</v>
      </c>
      <c r="O573" s="21">
        <v>40255.051535999999</v>
      </c>
      <c r="P573" s="21">
        <f>IF((D573*233.456*3%)&gt;7004,7004,(D573*233.456*3%))</f>
        <v>7004</v>
      </c>
      <c r="Q573" s="21">
        <f t="shared" si="29"/>
        <v>822277.13478399999</v>
      </c>
      <c r="R573" s="21">
        <v>555742.00799999991</v>
      </c>
    </row>
    <row r="574" spans="1:18" ht="15.75" thickBot="1" x14ac:dyDescent="0.3">
      <c r="A574" s="21" t="s">
        <v>112</v>
      </c>
      <c r="B574" s="22" t="s">
        <v>90</v>
      </c>
      <c r="C574" s="22" t="s">
        <v>94</v>
      </c>
      <c r="D574" s="22">
        <v>1970</v>
      </c>
      <c r="E574" s="22">
        <v>33</v>
      </c>
      <c r="F574" s="21">
        <f t="shared" si="27"/>
        <v>459908.32</v>
      </c>
      <c r="G574" s="21">
        <f t="shared" si="28"/>
        <v>68986.247999999992</v>
      </c>
      <c r="H574" s="21">
        <v>90000</v>
      </c>
      <c r="I574" s="21">
        <v>15000</v>
      </c>
      <c r="J574" s="21">
        <v>15000</v>
      </c>
      <c r="K574" s="26">
        <f t="shared" si="30"/>
        <v>270000</v>
      </c>
      <c r="L574" s="21">
        <f>SUM(F574:K574)</f>
        <v>918894.56799999997</v>
      </c>
      <c r="M574" s="21">
        <v>76666.716944000014</v>
      </c>
      <c r="N574" s="21">
        <v>70567.85927999999</v>
      </c>
      <c r="O574" s="21">
        <v>38310.363056000002</v>
      </c>
      <c r="P574" s="21">
        <f>IF((D574*233.456*3%)&gt;7004,7004,(D574*233.456*3%))</f>
        <v>7004</v>
      </c>
      <c r="Q574" s="21">
        <f t="shared" si="29"/>
        <v>803012.34566400002</v>
      </c>
      <c r="R574" s="21">
        <v>528894.56799999997</v>
      </c>
    </row>
    <row r="575" spans="1:18" ht="15.75" thickBot="1" x14ac:dyDescent="0.3">
      <c r="A575" s="21" t="s">
        <v>112</v>
      </c>
      <c r="B575" s="22" t="s">
        <v>90</v>
      </c>
      <c r="C575" s="22" t="s">
        <v>94</v>
      </c>
      <c r="D575" s="22">
        <v>1850</v>
      </c>
      <c r="E575" s="22">
        <v>32</v>
      </c>
      <c r="F575" s="21">
        <f t="shared" si="27"/>
        <v>431893.6</v>
      </c>
      <c r="G575" s="21">
        <f t="shared" si="28"/>
        <v>64784.039999999994</v>
      </c>
      <c r="H575" s="21">
        <v>90000</v>
      </c>
      <c r="I575" s="21">
        <v>15000</v>
      </c>
      <c r="J575" s="21">
        <v>15000</v>
      </c>
      <c r="K575" s="26">
        <f t="shared" si="30"/>
        <v>270000</v>
      </c>
      <c r="L575" s="21">
        <f>SUM(F575:K575)</f>
        <v>886677.6399999999</v>
      </c>
      <c r="M575" s="21">
        <v>71996.663119999997</v>
      </c>
      <c r="N575" s="21">
        <v>63802.304399999994</v>
      </c>
      <c r="O575" s="21">
        <v>35976.736879999997</v>
      </c>
      <c r="P575" s="21">
        <f>IF((D575*233.456*3%)&gt;7004,7004,(D575*233.456*3%))</f>
        <v>7004</v>
      </c>
      <c r="Q575" s="21">
        <f t="shared" si="29"/>
        <v>779894.59871999989</v>
      </c>
      <c r="R575" s="21">
        <v>496677.63999999996</v>
      </c>
    </row>
    <row r="576" spans="1:18" ht="15.75" thickBot="1" x14ac:dyDescent="0.3">
      <c r="A576" s="21" t="s">
        <v>112</v>
      </c>
      <c r="B576" s="22" t="s">
        <v>90</v>
      </c>
      <c r="C576" s="22" t="s">
        <v>94</v>
      </c>
      <c r="D576" s="22">
        <v>1690</v>
      </c>
      <c r="E576" s="22">
        <v>31</v>
      </c>
      <c r="F576" s="21">
        <f t="shared" si="27"/>
        <v>394540.63999999996</v>
      </c>
      <c r="G576" s="21">
        <f t="shared" si="28"/>
        <v>59181.09599999999</v>
      </c>
      <c r="H576" s="21">
        <v>90000</v>
      </c>
      <c r="I576" s="21">
        <v>15000</v>
      </c>
      <c r="J576" s="21">
        <v>15000</v>
      </c>
      <c r="K576" s="26">
        <f t="shared" si="30"/>
        <v>270000</v>
      </c>
      <c r="L576" s="21">
        <f>SUM(F576:K576)</f>
        <v>843721.73599999992</v>
      </c>
      <c r="M576" s="21">
        <v>65769.924687999999</v>
      </c>
      <c r="N576" s="21">
        <v>54781.564559999984</v>
      </c>
      <c r="O576" s="21">
        <v>32865.235311999997</v>
      </c>
      <c r="P576" s="21">
        <f>IF((D576*233.456*3%)&gt;7004,7004,(D576*233.456*3%))</f>
        <v>7004</v>
      </c>
      <c r="Q576" s="21">
        <f t="shared" si="29"/>
        <v>749070.93612799991</v>
      </c>
      <c r="R576" s="21">
        <v>453721.73599999992</v>
      </c>
    </row>
    <row r="577" spans="1:18" ht="15.75" thickBot="1" x14ac:dyDescent="0.3">
      <c r="A577" s="21" t="s">
        <v>112</v>
      </c>
      <c r="B577" s="22" t="s">
        <v>90</v>
      </c>
      <c r="C577" s="22" t="s">
        <v>94</v>
      </c>
      <c r="D577" s="22">
        <v>1555</v>
      </c>
      <c r="E577" s="22">
        <v>44</v>
      </c>
      <c r="F577" s="21">
        <f t="shared" si="27"/>
        <v>363024.07999999996</v>
      </c>
      <c r="G577" s="21">
        <f t="shared" si="28"/>
        <v>54453.611999999994</v>
      </c>
      <c r="H577" s="21">
        <v>90000</v>
      </c>
      <c r="I577" s="21">
        <v>15000</v>
      </c>
      <c r="J577" s="21">
        <v>15000</v>
      </c>
      <c r="K577" s="26">
        <f t="shared" si="30"/>
        <v>270000</v>
      </c>
      <c r="L577" s="21">
        <f>SUM(F577:K577)</f>
        <v>807477.69199999992</v>
      </c>
      <c r="M577" s="21">
        <v>60516.114135999997</v>
      </c>
      <c r="N577" s="21">
        <v>47170.31531999998</v>
      </c>
      <c r="O577" s="21">
        <v>30239.905863999997</v>
      </c>
      <c r="P577" s="21">
        <f>IF((D577*233.456*3%)&gt;7004,7004,(D577*233.456*3%))</f>
        <v>7004</v>
      </c>
      <c r="Q577" s="21">
        <f t="shared" si="29"/>
        <v>723063.4708159999</v>
      </c>
      <c r="R577" s="21">
        <v>417477.69199999992</v>
      </c>
    </row>
    <row r="578" spans="1:18" ht="15.75" thickBot="1" x14ac:dyDescent="0.3">
      <c r="A578" s="21" t="s">
        <v>112</v>
      </c>
      <c r="B578" s="22" t="s">
        <v>90</v>
      </c>
      <c r="C578" s="22" t="s">
        <v>94</v>
      </c>
      <c r="D578" s="22">
        <v>1410</v>
      </c>
      <c r="E578" s="22">
        <v>43</v>
      </c>
      <c r="F578" s="21">
        <f t="shared" si="27"/>
        <v>329172.95999999996</v>
      </c>
      <c r="G578" s="21">
        <f t="shared" si="28"/>
        <v>49375.943999999996</v>
      </c>
      <c r="H578" s="21">
        <v>90000</v>
      </c>
      <c r="I578" s="21">
        <v>15000</v>
      </c>
      <c r="J578" s="21">
        <v>15000</v>
      </c>
      <c r="K578" s="26">
        <f t="shared" si="30"/>
        <v>270000</v>
      </c>
      <c r="L578" s="21">
        <f>SUM(F578:K578)</f>
        <v>768548.90399999998</v>
      </c>
      <c r="M578" s="21">
        <v>54873.132431999999</v>
      </c>
      <c r="N578" s="21">
        <v>38995.269839999994</v>
      </c>
      <c r="O578" s="21">
        <v>27420.107567999996</v>
      </c>
      <c r="P578" s="21">
        <f>IF((D578*233.456*3%)&gt;7004,7004,(D578*233.456*3%))</f>
        <v>7004</v>
      </c>
      <c r="Q578" s="21">
        <f t="shared" si="29"/>
        <v>695129.52659200004</v>
      </c>
      <c r="R578" s="21">
        <v>378548.90399999998</v>
      </c>
    </row>
    <row r="579" spans="1:18" ht="15.75" thickBot="1" x14ac:dyDescent="0.3">
      <c r="A579" s="21" t="s">
        <v>112</v>
      </c>
      <c r="B579" s="22" t="s">
        <v>90</v>
      </c>
      <c r="C579" s="22" t="s">
        <v>94</v>
      </c>
      <c r="D579" s="22">
        <v>1275</v>
      </c>
      <c r="E579" s="22">
        <v>42</v>
      </c>
      <c r="F579" s="21">
        <f t="shared" si="27"/>
        <v>297656.39999999997</v>
      </c>
      <c r="G579" s="21">
        <f t="shared" si="28"/>
        <v>44648.459999999992</v>
      </c>
      <c r="H579" s="21">
        <v>90000</v>
      </c>
      <c r="I579" s="21">
        <v>15000</v>
      </c>
      <c r="J579" s="21">
        <v>15000</v>
      </c>
      <c r="K579" s="26">
        <f t="shared" si="30"/>
        <v>270000</v>
      </c>
      <c r="L579" s="21">
        <f>SUM(F579:K579)</f>
        <v>732304.86</v>
      </c>
      <c r="M579" s="21">
        <v>49619.321879999996</v>
      </c>
      <c r="N579" s="21">
        <v>31384.020599999996</v>
      </c>
      <c r="O579" s="21">
        <v>24794.778119999995</v>
      </c>
      <c r="P579" s="21">
        <f>IF((D579*233.456*3%)&gt;7004,7004,(D579*233.456*3%))</f>
        <v>7004</v>
      </c>
      <c r="Q579" s="21">
        <f t="shared" si="29"/>
        <v>669122.06128000002</v>
      </c>
      <c r="R579" s="21">
        <v>342304.86</v>
      </c>
    </row>
    <row r="580" spans="1:18" ht="15.75" thickBot="1" x14ac:dyDescent="0.3">
      <c r="A580" s="21" t="s">
        <v>112</v>
      </c>
      <c r="B580" s="22" t="s">
        <v>90</v>
      </c>
      <c r="C580" s="22" t="s">
        <v>94</v>
      </c>
      <c r="D580" s="22">
        <v>1140</v>
      </c>
      <c r="E580" s="22">
        <v>41</v>
      </c>
      <c r="F580" s="21">
        <f t="shared" si="27"/>
        <v>266139.83999999997</v>
      </c>
      <c r="G580" s="21">
        <f t="shared" si="28"/>
        <v>39920.975999999995</v>
      </c>
      <c r="H580" s="21">
        <v>90000</v>
      </c>
      <c r="I580" s="21">
        <v>15000</v>
      </c>
      <c r="J580" s="21">
        <v>15000</v>
      </c>
      <c r="K580" s="26">
        <f t="shared" si="30"/>
        <v>270000</v>
      </c>
      <c r="L580" s="21">
        <f>SUM(F580:K580)</f>
        <v>696060.81599999999</v>
      </c>
      <c r="M580" s="21">
        <v>44365.511328000001</v>
      </c>
      <c r="N580" s="21">
        <v>23772.771359999999</v>
      </c>
      <c r="O580" s="21">
        <v>22169.448671999999</v>
      </c>
      <c r="P580" s="21">
        <f>IF((D580*233.456*3%)&gt;7004,7004,(D580*233.456*3%))</f>
        <v>7004</v>
      </c>
      <c r="Q580" s="21">
        <f t="shared" si="29"/>
        <v>643114.59596800001</v>
      </c>
      <c r="R580" s="21">
        <v>306060.81599999999</v>
      </c>
    </row>
    <row r="581" spans="1:18" ht="15.75" thickBot="1" x14ac:dyDescent="0.3">
      <c r="A581" s="21" t="s">
        <v>112</v>
      </c>
      <c r="B581" s="22" t="s">
        <v>90</v>
      </c>
      <c r="C581" s="22" t="s">
        <v>95</v>
      </c>
      <c r="D581" s="22">
        <v>2200</v>
      </c>
      <c r="E581" s="22">
        <v>12</v>
      </c>
      <c r="F581" s="21">
        <f t="shared" si="27"/>
        <v>513603.19999999995</v>
      </c>
      <c r="G581" s="21">
        <f t="shared" si="28"/>
        <v>77040.479999999996</v>
      </c>
      <c r="H581" s="21">
        <v>70000</v>
      </c>
      <c r="I581" s="21">
        <v>15000</v>
      </c>
      <c r="J581" s="21">
        <v>15000</v>
      </c>
      <c r="K581" s="26">
        <v>220000</v>
      </c>
      <c r="L581" s="21">
        <f>SUM(F581:K581)</f>
        <v>910643.67999999993</v>
      </c>
      <c r="M581" s="21">
        <v>85617.653439999995</v>
      </c>
      <c r="N581" s="21">
        <v>83535.172799999986</v>
      </c>
      <c r="O581" s="21">
        <v>42783.146559999994</v>
      </c>
      <c r="P581" s="21">
        <f>IF((D581*233.456*3%)&gt;7004,7004,(D581*233.456*3%))</f>
        <v>7004</v>
      </c>
      <c r="Q581" s="21">
        <f t="shared" si="29"/>
        <v>777321.36063999997</v>
      </c>
      <c r="R581" s="21">
        <v>590643.67999999993</v>
      </c>
    </row>
    <row r="582" spans="1:18" ht="15.75" thickBot="1" x14ac:dyDescent="0.3">
      <c r="A582" s="21" t="s">
        <v>112</v>
      </c>
      <c r="B582" s="22" t="s">
        <v>90</v>
      </c>
      <c r="C582" s="22" t="s">
        <v>95</v>
      </c>
      <c r="D582" s="22">
        <v>2020</v>
      </c>
      <c r="E582" s="22">
        <v>11</v>
      </c>
      <c r="F582" s="21">
        <f t="shared" si="27"/>
        <v>471581.12</v>
      </c>
      <c r="G582" s="21">
        <f t="shared" si="28"/>
        <v>70737.167999999991</v>
      </c>
      <c r="H582" s="21">
        <v>70000</v>
      </c>
      <c r="I582" s="21">
        <v>15000</v>
      </c>
      <c r="J582" s="21">
        <v>15000</v>
      </c>
      <c r="K582" s="26">
        <v>220000</v>
      </c>
      <c r="L582" s="21">
        <f>SUM(F582:K582)</f>
        <v>862318.28799999994</v>
      </c>
      <c r="M582" s="21">
        <v>78612.572704000006</v>
      </c>
      <c r="N582" s="21">
        <v>73386.840479999984</v>
      </c>
      <c r="O582" s="21">
        <v>39282.707296</v>
      </c>
      <c r="P582" s="21">
        <f>IF((D582*233.456*3%)&gt;7004,7004,(D582*233.456*3%))</f>
        <v>7004</v>
      </c>
      <c r="Q582" s="21">
        <f t="shared" si="29"/>
        <v>742644.74022399995</v>
      </c>
      <c r="R582" s="21">
        <v>542318.28799999994</v>
      </c>
    </row>
    <row r="583" spans="1:18" ht="15.75" thickBot="1" x14ac:dyDescent="0.3">
      <c r="A583" s="21" t="s">
        <v>112</v>
      </c>
      <c r="B583" s="22" t="s">
        <v>90</v>
      </c>
      <c r="C583" s="22" t="s">
        <v>95</v>
      </c>
      <c r="D583" s="22">
        <v>1905</v>
      </c>
      <c r="E583" s="22">
        <v>23</v>
      </c>
      <c r="F583" s="21">
        <f t="shared" si="27"/>
        <v>444733.68</v>
      </c>
      <c r="G583" s="21">
        <f t="shared" si="28"/>
        <v>66710.051999999996</v>
      </c>
      <c r="H583" s="21">
        <v>70000</v>
      </c>
      <c r="I583" s="21">
        <v>15000</v>
      </c>
      <c r="J583" s="21">
        <v>15000</v>
      </c>
      <c r="K583" s="26">
        <v>220000</v>
      </c>
      <c r="L583" s="21">
        <f>SUM(F583:K583)</f>
        <v>831443.73199999996</v>
      </c>
      <c r="M583" s="21">
        <v>74137.104456000001</v>
      </c>
      <c r="N583" s="21">
        <v>66903.183719999986</v>
      </c>
      <c r="O583" s="21">
        <v>37046.315543999997</v>
      </c>
      <c r="P583" s="21">
        <f>IF((D583*233.456*3%)&gt;7004,7004,(D583*233.456*3%))</f>
        <v>7004</v>
      </c>
      <c r="Q583" s="21">
        <f t="shared" si="29"/>
        <v>720490.23273599998</v>
      </c>
      <c r="R583" s="21">
        <v>511443.73199999996</v>
      </c>
    </row>
    <row r="584" spans="1:18" ht="15.75" thickBot="1" x14ac:dyDescent="0.3">
      <c r="A584" s="21" t="s">
        <v>112</v>
      </c>
      <c r="B584" s="22" t="s">
        <v>90</v>
      </c>
      <c r="C584" s="22" t="s">
        <v>95</v>
      </c>
      <c r="D584" s="22">
        <v>1810</v>
      </c>
      <c r="E584" s="22">
        <v>22</v>
      </c>
      <c r="F584" s="21">
        <f t="shared" si="27"/>
        <v>422555.36</v>
      </c>
      <c r="G584" s="21">
        <f t="shared" si="28"/>
        <v>63383.303999999996</v>
      </c>
      <c r="H584" s="21">
        <v>70000</v>
      </c>
      <c r="I584" s="21">
        <v>15000</v>
      </c>
      <c r="J584" s="21">
        <v>15000</v>
      </c>
      <c r="K584" s="26">
        <v>220000</v>
      </c>
      <c r="L584" s="21">
        <f>SUM(F584:K584)</f>
        <v>805938.66399999999</v>
      </c>
      <c r="M584" s="21">
        <v>70439.978512000002</v>
      </c>
      <c r="N584" s="21">
        <v>61547.119439999995</v>
      </c>
      <c r="O584" s="21">
        <v>35198.861487999995</v>
      </c>
      <c r="P584" s="21">
        <f>IF((D584*233.456*3%)&gt;7004,7004,(D584*233.456*3%))</f>
        <v>7004</v>
      </c>
      <c r="Q584" s="21">
        <f t="shared" si="29"/>
        <v>702188.68307200004</v>
      </c>
      <c r="R584" s="21">
        <v>485938.66399999999</v>
      </c>
    </row>
    <row r="585" spans="1:18" ht="15.75" thickBot="1" x14ac:dyDescent="0.3">
      <c r="A585" s="21" t="s">
        <v>112</v>
      </c>
      <c r="B585" s="22" t="s">
        <v>90</v>
      </c>
      <c r="C585" s="22" t="s">
        <v>95</v>
      </c>
      <c r="D585" s="22">
        <v>1715</v>
      </c>
      <c r="E585" s="22">
        <v>21</v>
      </c>
      <c r="F585" s="21">
        <f t="shared" si="27"/>
        <v>400377.04</v>
      </c>
      <c r="G585" s="21">
        <f t="shared" si="28"/>
        <v>60056.555999999997</v>
      </c>
      <c r="H585" s="21">
        <v>70000</v>
      </c>
      <c r="I585" s="21">
        <v>15000</v>
      </c>
      <c r="J585" s="21">
        <v>15000</v>
      </c>
      <c r="K585" s="26">
        <v>220000</v>
      </c>
      <c r="L585" s="21">
        <f>SUM(F585:K585)</f>
        <v>780433.5959999999</v>
      </c>
      <c r="M585" s="21">
        <v>66742.852568000002</v>
      </c>
      <c r="N585" s="21">
        <v>56191.055159999989</v>
      </c>
      <c r="O585" s="21">
        <v>33351.407432</v>
      </c>
      <c r="P585" s="21">
        <f>IF((D585*233.456*3%)&gt;7004,7004,(D585*233.456*3%))</f>
        <v>7004</v>
      </c>
      <c r="Q585" s="21">
        <f t="shared" si="29"/>
        <v>683887.13340799988</v>
      </c>
      <c r="R585" s="21">
        <v>460433.59599999996</v>
      </c>
    </row>
    <row r="586" spans="1:18" ht="15.75" thickBot="1" x14ac:dyDescent="0.3">
      <c r="A586" s="21" t="s">
        <v>112</v>
      </c>
      <c r="B586" s="22" t="s">
        <v>90</v>
      </c>
      <c r="C586" s="22" t="s">
        <v>95</v>
      </c>
      <c r="D586" s="22">
        <v>1620</v>
      </c>
      <c r="E586" s="22">
        <v>33</v>
      </c>
      <c r="F586" s="21">
        <f t="shared" si="27"/>
        <v>378198.72</v>
      </c>
      <c r="G586" s="21">
        <f t="shared" si="28"/>
        <v>56729.807999999997</v>
      </c>
      <c r="H586" s="21">
        <v>70000</v>
      </c>
      <c r="I586" s="21">
        <v>15000</v>
      </c>
      <c r="J586" s="21">
        <v>15000</v>
      </c>
      <c r="K586" s="26">
        <v>220000</v>
      </c>
      <c r="L586" s="21">
        <f>SUM(F586:K586)</f>
        <v>754928.52799999993</v>
      </c>
      <c r="M586" s="21">
        <v>63045.726624000003</v>
      </c>
      <c r="N586" s="21">
        <v>50834.990879999998</v>
      </c>
      <c r="O586" s="21">
        <v>31503.953375999998</v>
      </c>
      <c r="P586" s="21">
        <f>IF((D586*233.456*3%)&gt;7004,7004,(D586*233.456*3%))</f>
        <v>7004</v>
      </c>
      <c r="Q586" s="21">
        <f t="shared" si="29"/>
        <v>665585.58374399994</v>
      </c>
      <c r="R586" s="21">
        <v>434928.52799999999</v>
      </c>
    </row>
    <row r="587" spans="1:18" ht="15.75" thickBot="1" x14ac:dyDescent="0.3">
      <c r="A587" s="21" t="s">
        <v>112</v>
      </c>
      <c r="B587" s="22" t="s">
        <v>90</v>
      </c>
      <c r="C587" s="22" t="s">
        <v>95</v>
      </c>
      <c r="D587" s="22">
        <v>1525</v>
      </c>
      <c r="E587" s="22">
        <v>32</v>
      </c>
      <c r="F587" s="21">
        <f t="shared" ref="F587:F643" si="31">D587*233.456</f>
        <v>356020.39999999997</v>
      </c>
      <c r="G587" s="21">
        <f t="shared" ref="G587:G643" si="32">F587*15%</f>
        <v>53403.05999999999</v>
      </c>
      <c r="H587" s="21">
        <v>70000</v>
      </c>
      <c r="I587" s="21">
        <v>15000</v>
      </c>
      <c r="J587" s="21">
        <v>15000</v>
      </c>
      <c r="K587" s="26">
        <v>220000</v>
      </c>
      <c r="L587" s="21">
        <f>SUM(F587:K587)</f>
        <v>729423.46</v>
      </c>
      <c r="M587" s="21">
        <v>59348.600679999996</v>
      </c>
      <c r="N587" s="21">
        <v>45478.926599999992</v>
      </c>
      <c r="O587" s="21">
        <v>29656.499319999995</v>
      </c>
      <c r="P587" s="21">
        <f>IF((D587*233.456*3%)&gt;7004,7004,(D587*233.456*3%))</f>
        <v>7004</v>
      </c>
      <c r="Q587" s="21">
        <f t="shared" si="29"/>
        <v>647284.03408000001</v>
      </c>
      <c r="R587" s="21">
        <v>409423.45999999996</v>
      </c>
    </row>
    <row r="588" spans="1:18" ht="15.75" thickBot="1" x14ac:dyDescent="0.3">
      <c r="A588" s="21" t="s">
        <v>112</v>
      </c>
      <c r="B588" s="22" t="s">
        <v>90</v>
      </c>
      <c r="C588" s="22" t="s">
        <v>95</v>
      </c>
      <c r="D588" s="22">
        <v>1430</v>
      </c>
      <c r="E588" s="22">
        <v>31</v>
      </c>
      <c r="F588" s="21">
        <f t="shared" si="31"/>
        <v>333842.07999999996</v>
      </c>
      <c r="G588" s="21">
        <f t="shared" si="32"/>
        <v>50076.311999999991</v>
      </c>
      <c r="H588" s="21">
        <v>70000</v>
      </c>
      <c r="I588" s="21">
        <v>15000</v>
      </c>
      <c r="J588" s="21">
        <v>15000</v>
      </c>
      <c r="K588" s="26">
        <v>220000</v>
      </c>
      <c r="L588" s="21">
        <f>SUM(F588:K588)</f>
        <v>703918.39199999999</v>
      </c>
      <c r="M588" s="21">
        <v>55651.474735999996</v>
      </c>
      <c r="N588" s="21">
        <v>40122.862319999986</v>
      </c>
      <c r="O588" s="21">
        <v>27809.045263999997</v>
      </c>
      <c r="P588" s="21">
        <f>IF((D588*233.456*3%)&gt;7004,7004,(D588*233.456*3%))</f>
        <v>7004</v>
      </c>
      <c r="Q588" s="21">
        <f t="shared" si="29"/>
        <v>628982.48441599996</v>
      </c>
      <c r="R588" s="21">
        <v>383918.39199999993</v>
      </c>
    </row>
    <row r="589" spans="1:18" ht="15.75" thickBot="1" x14ac:dyDescent="0.3">
      <c r="A589" s="21" t="s">
        <v>112</v>
      </c>
      <c r="B589" s="22" t="s">
        <v>90</v>
      </c>
      <c r="C589" s="22" t="s">
        <v>95</v>
      </c>
      <c r="D589" s="22">
        <v>1335</v>
      </c>
      <c r="E589" s="22">
        <v>44</v>
      </c>
      <c r="F589" s="21">
        <f t="shared" si="31"/>
        <v>311663.76</v>
      </c>
      <c r="G589" s="21">
        <f t="shared" si="32"/>
        <v>46749.563999999998</v>
      </c>
      <c r="H589" s="21">
        <v>70000</v>
      </c>
      <c r="I589" s="21">
        <v>15000</v>
      </c>
      <c r="J589" s="21">
        <v>15000</v>
      </c>
      <c r="K589" s="26">
        <v>220000</v>
      </c>
      <c r="L589" s="21">
        <f>SUM(F589:K589)</f>
        <v>678413.32400000002</v>
      </c>
      <c r="M589" s="21">
        <v>51954.348792000004</v>
      </c>
      <c r="N589" s="21">
        <v>34766.798040000009</v>
      </c>
      <c r="O589" s="21">
        <v>25961.591208000002</v>
      </c>
      <c r="P589" s="21">
        <f>IF((D589*233.456*3%)&gt;7004,7004,(D589*233.456*3%))</f>
        <v>7004</v>
      </c>
      <c r="Q589" s="21">
        <f t="shared" si="29"/>
        <v>610680.93475200003</v>
      </c>
      <c r="R589" s="21">
        <v>358413.32400000002</v>
      </c>
    </row>
    <row r="590" spans="1:18" ht="15.75" thickBot="1" x14ac:dyDescent="0.3">
      <c r="A590" s="21" t="s">
        <v>112</v>
      </c>
      <c r="B590" s="22" t="s">
        <v>90</v>
      </c>
      <c r="C590" s="22" t="s">
        <v>95</v>
      </c>
      <c r="D590" s="22">
        <v>1240</v>
      </c>
      <c r="E590" s="22">
        <v>43</v>
      </c>
      <c r="F590" s="21">
        <f t="shared" si="31"/>
        <v>289485.44</v>
      </c>
      <c r="G590" s="21">
        <f t="shared" si="32"/>
        <v>43422.815999999999</v>
      </c>
      <c r="H590" s="21">
        <v>70000</v>
      </c>
      <c r="I590" s="21">
        <v>15000</v>
      </c>
      <c r="J590" s="21">
        <v>15000</v>
      </c>
      <c r="K590" s="26">
        <v>220000</v>
      </c>
      <c r="L590" s="21">
        <f>SUM(F590:K590)</f>
        <v>652908.25600000005</v>
      </c>
      <c r="M590" s="21">
        <v>48257.222848000005</v>
      </c>
      <c r="N590" s="21">
        <v>29410.733760000003</v>
      </c>
      <c r="O590" s="21">
        <v>24114.137151999999</v>
      </c>
      <c r="P590" s="21">
        <f>IF((D590*233.456*3%)&gt;7004,7004,(D590*233.456*3%))</f>
        <v>7004</v>
      </c>
      <c r="Q590" s="21">
        <f t="shared" si="29"/>
        <v>592379.3850880001</v>
      </c>
      <c r="R590" s="21">
        <v>332908.25599999999</v>
      </c>
    </row>
    <row r="591" spans="1:18" ht="15.75" thickBot="1" x14ac:dyDescent="0.3">
      <c r="A591" s="21" t="s">
        <v>112</v>
      </c>
      <c r="B591" s="22" t="s">
        <v>90</v>
      </c>
      <c r="C591" s="22" t="s">
        <v>95</v>
      </c>
      <c r="D591" s="22">
        <v>1145</v>
      </c>
      <c r="E591" s="22">
        <v>42</v>
      </c>
      <c r="F591" s="21">
        <f t="shared" si="31"/>
        <v>267307.12</v>
      </c>
      <c r="G591" s="21">
        <f t="shared" si="32"/>
        <v>40096.067999999999</v>
      </c>
      <c r="H591" s="21">
        <v>70000</v>
      </c>
      <c r="I591" s="21">
        <v>15000</v>
      </c>
      <c r="J591" s="21">
        <v>15000</v>
      </c>
      <c r="K591" s="26">
        <v>220000</v>
      </c>
      <c r="L591" s="21">
        <f>SUM(F591:K591)</f>
        <v>627403.18799999997</v>
      </c>
      <c r="M591" s="21">
        <v>44560.096904000005</v>
      </c>
      <c r="N591" s="21">
        <v>24054.66947999999</v>
      </c>
      <c r="O591" s="21">
        <v>22266.683096000001</v>
      </c>
      <c r="P591" s="21">
        <f>IF((D591*233.456*3%)&gt;7004,7004,(D591*233.456*3%))</f>
        <v>7004</v>
      </c>
      <c r="Q591" s="21">
        <f t="shared" si="29"/>
        <v>574077.83542399993</v>
      </c>
      <c r="R591" s="21">
        <v>307403.18799999997</v>
      </c>
    </row>
    <row r="592" spans="1:18" ht="15.75" thickBot="1" x14ac:dyDescent="0.3">
      <c r="A592" s="21" t="s">
        <v>112</v>
      </c>
      <c r="B592" s="22" t="s">
        <v>90</v>
      </c>
      <c r="C592" s="22" t="s">
        <v>95</v>
      </c>
      <c r="D592" s="22">
        <v>1050</v>
      </c>
      <c r="E592" s="22">
        <v>41</v>
      </c>
      <c r="F592" s="21">
        <f t="shared" si="31"/>
        <v>245128.8</v>
      </c>
      <c r="G592" s="21">
        <f t="shared" si="32"/>
        <v>36769.32</v>
      </c>
      <c r="H592" s="21">
        <v>70000</v>
      </c>
      <c r="I592" s="21">
        <v>15000</v>
      </c>
      <c r="J592" s="21">
        <v>15000</v>
      </c>
      <c r="K592" s="26">
        <v>220000</v>
      </c>
      <c r="L592" s="21">
        <f>SUM(F592:K592)</f>
        <v>601898.12</v>
      </c>
      <c r="M592" s="21">
        <v>40862.970959999999</v>
      </c>
      <c r="N592" s="21">
        <v>18698.605199999998</v>
      </c>
      <c r="O592" s="21">
        <v>20419.229039999998</v>
      </c>
      <c r="P592" s="21">
        <f>IF((D592*233.456*3%)&gt;7004,7004,(D592*233.456*3%))</f>
        <v>7004</v>
      </c>
      <c r="Q592" s="21">
        <f t="shared" si="29"/>
        <v>555776.28576</v>
      </c>
      <c r="R592" s="21">
        <v>281898.12</v>
      </c>
    </row>
    <row r="593" spans="1:18" ht="15.75" thickBot="1" x14ac:dyDescent="0.3">
      <c r="A593" s="21" t="s">
        <v>112</v>
      </c>
      <c r="B593" s="22" t="s">
        <v>96</v>
      </c>
      <c r="C593" s="22" t="s">
        <v>97</v>
      </c>
      <c r="D593" s="22">
        <v>1620</v>
      </c>
      <c r="E593" s="22">
        <v>12</v>
      </c>
      <c r="F593" s="21">
        <f t="shared" si="31"/>
        <v>378198.72</v>
      </c>
      <c r="G593" s="21">
        <f t="shared" si="32"/>
        <v>56729.807999999997</v>
      </c>
      <c r="H593" s="21">
        <v>60000</v>
      </c>
      <c r="I593" s="21">
        <v>15000</v>
      </c>
      <c r="J593" s="21">
        <v>15000</v>
      </c>
      <c r="K593" s="26">
        <v>175000</v>
      </c>
      <c r="L593" s="21">
        <f>SUM(F593:K593)</f>
        <v>699928.52799999993</v>
      </c>
      <c r="M593" s="21">
        <v>63045.726624000003</v>
      </c>
      <c r="N593" s="21">
        <v>50834.990879999998</v>
      </c>
      <c r="O593" s="21">
        <v>31503.953375999998</v>
      </c>
      <c r="P593" s="21">
        <f>IF((D593*233.456*3%)&gt;7004,7004,(D593*233.456*3%))</f>
        <v>7004</v>
      </c>
      <c r="Q593" s="21">
        <f t="shared" si="29"/>
        <v>610585.58374399994</v>
      </c>
      <c r="R593" s="21">
        <v>434928.52799999999</v>
      </c>
    </row>
    <row r="594" spans="1:18" ht="15.75" thickBot="1" x14ac:dyDescent="0.3">
      <c r="A594" s="21" t="s">
        <v>112</v>
      </c>
      <c r="B594" s="22" t="s">
        <v>96</v>
      </c>
      <c r="C594" s="22" t="s">
        <v>97</v>
      </c>
      <c r="D594" s="22">
        <v>1480</v>
      </c>
      <c r="E594" s="22">
        <v>11</v>
      </c>
      <c r="F594" s="21">
        <f t="shared" si="31"/>
        <v>345514.88</v>
      </c>
      <c r="G594" s="21">
        <f t="shared" si="32"/>
        <v>51827.231999999996</v>
      </c>
      <c r="H594" s="21">
        <v>60000</v>
      </c>
      <c r="I594" s="21">
        <v>15000</v>
      </c>
      <c r="J594" s="21">
        <v>15000</v>
      </c>
      <c r="K594" s="26">
        <v>175000</v>
      </c>
      <c r="L594" s="21">
        <f>SUM(F594:K594)</f>
        <v>662342.11199999996</v>
      </c>
      <c r="M594" s="21">
        <v>57597.330496000002</v>
      </c>
      <c r="N594" s="21">
        <v>42941.843520000002</v>
      </c>
      <c r="O594" s="21">
        <v>28781.389503999999</v>
      </c>
      <c r="P594" s="21">
        <f>IF((D594*233.456*3%)&gt;7004,7004,(D594*233.456*3%))</f>
        <v>7004</v>
      </c>
      <c r="Q594" s="21">
        <f t="shared" si="29"/>
        <v>583614.87897600001</v>
      </c>
      <c r="R594" s="21">
        <v>397342.11200000002</v>
      </c>
    </row>
    <row r="595" spans="1:18" ht="15.75" thickBot="1" x14ac:dyDescent="0.3">
      <c r="A595" s="21" t="s">
        <v>112</v>
      </c>
      <c r="B595" s="22" t="s">
        <v>96</v>
      </c>
      <c r="C595" s="22" t="s">
        <v>97</v>
      </c>
      <c r="D595" s="22">
        <v>1420</v>
      </c>
      <c r="E595" s="22">
        <v>23</v>
      </c>
      <c r="F595" s="21">
        <f t="shared" si="31"/>
        <v>331507.51999999996</v>
      </c>
      <c r="G595" s="21">
        <f t="shared" si="32"/>
        <v>49726.12799999999</v>
      </c>
      <c r="H595" s="21">
        <v>60000</v>
      </c>
      <c r="I595" s="21">
        <v>15000</v>
      </c>
      <c r="J595" s="21">
        <v>15000</v>
      </c>
      <c r="K595" s="26">
        <v>175000</v>
      </c>
      <c r="L595" s="21">
        <f>SUM(F595:K595)</f>
        <v>646233.64799999993</v>
      </c>
      <c r="M595" s="21">
        <v>55262.303584000001</v>
      </c>
      <c r="N595" s="21">
        <v>39559.066079999982</v>
      </c>
      <c r="O595" s="21">
        <v>27614.576415999996</v>
      </c>
      <c r="P595" s="21">
        <f>IF((D595*233.456*3%)&gt;7004,7004,(D595*233.456*3%))</f>
        <v>7004</v>
      </c>
      <c r="Q595" s="21">
        <f t="shared" si="29"/>
        <v>572056.005504</v>
      </c>
      <c r="R595" s="21">
        <v>381233.64799999993</v>
      </c>
    </row>
    <row r="596" spans="1:18" ht="15.75" thickBot="1" x14ac:dyDescent="0.3">
      <c r="A596" s="21" t="s">
        <v>112</v>
      </c>
      <c r="B596" s="22" t="s">
        <v>96</v>
      </c>
      <c r="C596" s="22" t="s">
        <v>97</v>
      </c>
      <c r="D596" s="22">
        <v>1360</v>
      </c>
      <c r="E596" s="22">
        <v>22</v>
      </c>
      <c r="F596" s="21">
        <f t="shared" si="31"/>
        <v>317500.15999999997</v>
      </c>
      <c r="G596" s="21">
        <f t="shared" si="32"/>
        <v>47625.023999999998</v>
      </c>
      <c r="H596" s="21">
        <v>60000</v>
      </c>
      <c r="I596" s="21">
        <v>15000</v>
      </c>
      <c r="J596" s="21">
        <v>15000</v>
      </c>
      <c r="K596" s="26">
        <v>175000</v>
      </c>
      <c r="L596" s="21">
        <f>SUM(F596:K596)</f>
        <v>630125.18399999989</v>
      </c>
      <c r="M596" s="21">
        <v>52927.276672</v>
      </c>
      <c r="N596" s="21">
        <v>36176.288639999984</v>
      </c>
      <c r="O596" s="21">
        <v>26447.763327999997</v>
      </c>
      <c r="P596" s="21">
        <f>IF((D596*233.456*3%)&gt;7004,7004,(D596*233.456*3%))</f>
        <v>7004</v>
      </c>
      <c r="Q596" s="21">
        <f t="shared" si="29"/>
        <v>560497.13203199988</v>
      </c>
      <c r="R596" s="21">
        <v>365125.18399999995</v>
      </c>
    </row>
    <row r="597" spans="1:18" ht="15.75" thickBot="1" x14ac:dyDescent="0.3">
      <c r="A597" s="21" t="s">
        <v>112</v>
      </c>
      <c r="B597" s="22" t="s">
        <v>96</v>
      </c>
      <c r="C597" s="22" t="s">
        <v>97</v>
      </c>
      <c r="D597" s="22">
        <v>1300</v>
      </c>
      <c r="E597" s="22">
        <v>21</v>
      </c>
      <c r="F597" s="21">
        <f t="shared" si="31"/>
        <v>303492.8</v>
      </c>
      <c r="G597" s="21">
        <f t="shared" si="32"/>
        <v>45523.92</v>
      </c>
      <c r="H597" s="21">
        <v>60000</v>
      </c>
      <c r="I597" s="21">
        <v>15000</v>
      </c>
      <c r="J597" s="21">
        <v>15000</v>
      </c>
      <c r="K597" s="26">
        <v>175000</v>
      </c>
      <c r="L597" s="21">
        <f>SUM(F597:K597)</f>
        <v>614016.72</v>
      </c>
      <c r="M597" s="21">
        <v>50592.249760000006</v>
      </c>
      <c r="N597" s="21">
        <v>32793.511199999994</v>
      </c>
      <c r="O597" s="21">
        <v>25280.950239999998</v>
      </c>
      <c r="P597" s="21">
        <f>IF((D597*233.456*3%)&gt;7004,7004,(D597*233.456*3%))</f>
        <v>7004</v>
      </c>
      <c r="Q597" s="21">
        <f t="shared" si="29"/>
        <v>548938.25855999999</v>
      </c>
      <c r="R597" s="21">
        <v>349016.72</v>
      </c>
    </row>
    <row r="598" spans="1:18" ht="15.75" thickBot="1" x14ac:dyDescent="0.3">
      <c r="A598" s="21" t="s">
        <v>112</v>
      </c>
      <c r="B598" s="22" t="s">
        <v>96</v>
      </c>
      <c r="C598" s="22" t="s">
        <v>97</v>
      </c>
      <c r="D598" s="22">
        <v>1240</v>
      </c>
      <c r="E598" s="22">
        <v>33</v>
      </c>
      <c r="F598" s="21">
        <f t="shared" si="31"/>
        <v>289485.44</v>
      </c>
      <c r="G598" s="21">
        <f t="shared" si="32"/>
        <v>43422.815999999999</v>
      </c>
      <c r="H598" s="21">
        <v>60000</v>
      </c>
      <c r="I598" s="21">
        <v>15000</v>
      </c>
      <c r="J598" s="21">
        <v>15000</v>
      </c>
      <c r="K598" s="26">
        <v>175000</v>
      </c>
      <c r="L598" s="21">
        <f>SUM(F598:K598)</f>
        <v>597908.25600000005</v>
      </c>
      <c r="M598" s="21">
        <v>48257.222848000005</v>
      </c>
      <c r="N598" s="21">
        <v>29410.733760000003</v>
      </c>
      <c r="O598" s="21">
        <v>24114.137151999999</v>
      </c>
      <c r="P598" s="21">
        <f>IF((D598*233.456*3%)&gt;7004,7004,(D598*233.456*3%))</f>
        <v>7004</v>
      </c>
      <c r="Q598" s="21">
        <f t="shared" si="29"/>
        <v>537379.3850880001</v>
      </c>
      <c r="R598" s="21">
        <v>332908.25599999999</v>
      </c>
    </row>
    <row r="599" spans="1:18" ht="15.75" thickBot="1" x14ac:dyDescent="0.3">
      <c r="A599" s="21" t="s">
        <v>112</v>
      </c>
      <c r="B599" s="22" t="s">
        <v>96</v>
      </c>
      <c r="C599" s="22" t="s">
        <v>97</v>
      </c>
      <c r="D599" s="22">
        <v>1180</v>
      </c>
      <c r="E599" s="22">
        <v>32</v>
      </c>
      <c r="F599" s="21">
        <f t="shared" si="31"/>
        <v>275478.07999999996</v>
      </c>
      <c r="G599" s="21">
        <f t="shared" si="32"/>
        <v>41321.711999999992</v>
      </c>
      <c r="H599" s="21">
        <v>60000</v>
      </c>
      <c r="I599" s="21">
        <v>15000</v>
      </c>
      <c r="J599" s="21">
        <v>15000</v>
      </c>
      <c r="K599" s="26">
        <v>175000</v>
      </c>
      <c r="L599" s="21">
        <f>SUM(F599:K599)</f>
        <v>581799.7919999999</v>
      </c>
      <c r="M599" s="21">
        <v>45922.195935999996</v>
      </c>
      <c r="N599" s="21">
        <v>26027.95631999999</v>
      </c>
      <c r="O599" s="21">
        <v>22947.324063999997</v>
      </c>
      <c r="P599" s="21">
        <f>IF((D599*233.456*3%)&gt;7004,7004,(D599*233.456*3%))</f>
        <v>7004</v>
      </c>
      <c r="Q599" s="21">
        <f t="shared" si="29"/>
        <v>525820.51161599997</v>
      </c>
      <c r="R599" s="21">
        <v>316799.79199999996</v>
      </c>
    </row>
    <row r="600" spans="1:18" ht="15.75" thickBot="1" x14ac:dyDescent="0.3">
      <c r="A600" s="21" t="s">
        <v>112</v>
      </c>
      <c r="B600" s="22" t="s">
        <v>96</v>
      </c>
      <c r="C600" s="22" t="s">
        <v>97</v>
      </c>
      <c r="D600" s="22">
        <v>1115</v>
      </c>
      <c r="E600" s="22">
        <v>31</v>
      </c>
      <c r="F600" s="21">
        <f t="shared" si="31"/>
        <v>260303.43999999997</v>
      </c>
      <c r="G600" s="21">
        <f t="shared" si="32"/>
        <v>39045.515999999996</v>
      </c>
      <c r="H600" s="21">
        <v>60000</v>
      </c>
      <c r="I600" s="21">
        <v>15000</v>
      </c>
      <c r="J600" s="21">
        <v>15000</v>
      </c>
      <c r="K600" s="26">
        <v>175000</v>
      </c>
      <c r="L600" s="21">
        <f>SUM(F600:K600)</f>
        <v>564348.95600000001</v>
      </c>
      <c r="M600" s="21">
        <v>43392.583447999998</v>
      </c>
      <c r="N600" s="21">
        <v>22363.280759999987</v>
      </c>
      <c r="O600" s="21">
        <v>21683.276551999996</v>
      </c>
      <c r="P600" s="21">
        <f>IF((D600*233.456*3%)&gt;7004,7004,(D600*233.456*3%))</f>
        <v>7004</v>
      </c>
      <c r="Q600" s="21">
        <f t="shared" si="29"/>
        <v>513298.39868800004</v>
      </c>
      <c r="R600" s="21">
        <v>299348.95599999995</v>
      </c>
    </row>
    <row r="601" spans="1:18" ht="15.75" thickBot="1" x14ac:dyDescent="0.3">
      <c r="A601" s="21" t="s">
        <v>112</v>
      </c>
      <c r="B601" s="22" t="s">
        <v>96</v>
      </c>
      <c r="C601" s="22" t="s">
        <v>97</v>
      </c>
      <c r="D601" s="22">
        <v>1055</v>
      </c>
      <c r="E601" s="22">
        <v>44</v>
      </c>
      <c r="F601" s="21">
        <f t="shared" si="31"/>
        <v>246296.08</v>
      </c>
      <c r="G601" s="21">
        <f t="shared" si="32"/>
        <v>36944.411999999997</v>
      </c>
      <c r="H601" s="21">
        <v>60000</v>
      </c>
      <c r="I601" s="21">
        <v>15000</v>
      </c>
      <c r="J601" s="21">
        <v>15000</v>
      </c>
      <c r="K601" s="26">
        <v>175000</v>
      </c>
      <c r="L601" s="21">
        <f>SUM(F601:K601)</f>
        <v>548240.49199999997</v>
      </c>
      <c r="M601" s="21">
        <v>41057.556536000004</v>
      </c>
      <c r="N601" s="21">
        <v>18980.503319999989</v>
      </c>
      <c r="O601" s="21">
        <v>20516.463464</v>
      </c>
      <c r="P601" s="21">
        <f>IF((D601*233.456*3%)&gt;7004,7004,(D601*233.456*3%))</f>
        <v>7004</v>
      </c>
      <c r="Q601" s="21">
        <f t="shared" si="29"/>
        <v>501739.52521599998</v>
      </c>
      <c r="R601" s="21">
        <v>283240.49199999997</v>
      </c>
    </row>
    <row r="602" spans="1:18" ht="15.75" thickBot="1" x14ac:dyDescent="0.3">
      <c r="A602" s="21" t="s">
        <v>112</v>
      </c>
      <c r="B602" s="22" t="s">
        <v>96</v>
      </c>
      <c r="C602" s="22" t="s">
        <v>97</v>
      </c>
      <c r="D602" s="22">
        <v>995</v>
      </c>
      <c r="E602" s="22">
        <v>43</v>
      </c>
      <c r="F602" s="21">
        <f t="shared" si="31"/>
        <v>232288.72</v>
      </c>
      <c r="G602" s="21">
        <f t="shared" si="32"/>
        <v>34843.307999999997</v>
      </c>
      <c r="H602" s="21">
        <v>60000</v>
      </c>
      <c r="I602" s="21">
        <v>15000</v>
      </c>
      <c r="J602" s="21">
        <v>15000</v>
      </c>
      <c r="K602" s="26">
        <v>175000</v>
      </c>
      <c r="L602" s="21">
        <f>SUM(F602:K602)</f>
        <v>532132.02799999993</v>
      </c>
      <c r="M602" s="21">
        <v>38722.529624000003</v>
      </c>
      <c r="N602" s="21">
        <v>15597.725879999998</v>
      </c>
      <c r="O602" s="21">
        <v>19349.650376000001</v>
      </c>
      <c r="P602" s="21">
        <f>IF((D602*233.456*3%)&gt;7004,7004,(D602*233.456*3%))</f>
        <v>6968.6615999999995</v>
      </c>
      <c r="Q602" s="21">
        <f t="shared" si="29"/>
        <v>490215.99014399992</v>
      </c>
      <c r="R602" s="21">
        <v>267132.02799999999</v>
      </c>
    </row>
    <row r="603" spans="1:18" ht="15.75" thickBot="1" x14ac:dyDescent="0.3">
      <c r="A603" s="21" t="s">
        <v>112</v>
      </c>
      <c r="B603" s="22" t="s">
        <v>96</v>
      </c>
      <c r="C603" s="22" t="s">
        <v>97</v>
      </c>
      <c r="D603" s="22">
        <v>935</v>
      </c>
      <c r="E603" s="22">
        <v>42</v>
      </c>
      <c r="F603" s="21">
        <f t="shared" si="31"/>
        <v>218281.36</v>
      </c>
      <c r="G603" s="21">
        <f t="shared" si="32"/>
        <v>32742.203999999998</v>
      </c>
      <c r="H603" s="21">
        <v>60000</v>
      </c>
      <c r="I603" s="21">
        <v>15000</v>
      </c>
      <c r="J603" s="21">
        <v>15000</v>
      </c>
      <c r="K603" s="26">
        <v>175000</v>
      </c>
      <c r="L603" s="21">
        <f>SUM(F603:K603)</f>
        <v>516023.56400000001</v>
      </c>
      <c r="M603" s="21">
        <v>36387.502712000001</v>
      </c>
      <c r="N603" s="21">
        <v>12214.948439999996</v>
      </c>
      <c r="O603" s="21">
        <v>18182.837287999999</v>
      </c>
      <c r="P603" s="21">
        <f>IF((D603*233.456*3%)&gt;7004,7004,(D603*233.456*3%))</f>
        <v>6548.4407999999994</v>
      </c>
      <c r="Q603" s="21">
        <f t="shared" si="29"/>
        <v>479077.33747200004</v>
      </c>
      <c r="R603" s="21">
        <v>251023.56399999998</v>
      </c>
    </row>
    <row r="604" spans="1:18" ht="15.75" thickBot="1" x14ac:dyDescent="0.3">
      <c r="A604" s="21" t="s">
        <v>112</v>
      </c>
      <c r="B604" s="22" t="s">
        <v>96</v>
      </c>
      <c r="C604" s="22" t="s">
        <v>97</v>
      </c>
      <c r="D604" s="22">
        <v>875</v>
      </c>
      <c r="E604" s="22">
        <v>41</v>
      </c>
      <c r="F604" s="21">
        <f t="shared" si="31"/>
        <v>204274</v>
      </c>
      <c r="G604" s="21">
        <f t="shared" si="32"/>
        <v>30641.1</v>
      </c>
      <c r="H604" s="21">
        <v>60000</v>
      </c>
      <c r="I604" s="21">
        <v>15000</v>
      </c>
      <c r="J604" s="21">
        <v>15000</v>
      </c>
      <c r="K604" s="26">
        <v>175000</v>
      </c>
      <c r="L604" s="21">
        <f>SUM(F604:K604)</f>
        <v>499915.1</v>
      </c>
      <c r="M604" s="21">
        <v>34052.4758</v>
      </c>
      <c r="N604" s="21">
        <v>9086.4160000000011</v>
      </c>
      <c r="O604" s="21">
        <v>17016.0242</v>
      </c>
      <c r="P604" s="21">
        <f>IF((D604*233.456*3%)&gt;7004,7004,(D604*233.456*3%))</f>
        <v>6128.2199999999993</v>
      </c>
      <c r="Q604" s="21">
        <f t="shared" si="29"/>
        <v>467684.43979999999</v>
      </c>
      <c r="R604" s="21">
        <v>234915.1</v>
      </c>
    </row>
    <row r="605" spans="1:18" ht="15.75" thickBot="1" x14ac:dyDescent="0.3">
      <c r="A605" s="21" t="s">
        <v>113</v>
      </c>
      <c r="B605" s="22" t="s">
        <v>90</v>
      </c>
      <c r="C605" s="22" t="s">
        <v>91</v>
      </c>
      <c r="D605" s="22">
        <v>3450</v>
      </c>
      <c r="E605" s="22">
        <v>93</v>
      </c>
      <c r="F605" s="21">
        <f t="shared" si="31"/>
        <v>805423.2</v>
      </c>
      <c r="G605" s="21">
        <f t="shared" si="32"/>
        <v>120813.47999999998</v>
      </c>
      <c r="H605" s="21">
        <v>270000</v>
      </c>
      <c r="I605" s="21">
        <v>250000</v>
      </c>
      <c r="J605" s="21">
        <v>15000</v>
      </c>
      <c r="K605" s="26">
        <v>1626241</v>
      </c>
      <c r="L605" s="21">
        <f>SUM(F605:K605)</f>
        <v>3087477.6799999997</v>
      </c>
      <c r="M605" s="21">
        <v>134264.04743999999</v>
      </c>
      <c r="N605" s="21">
        <v>380094.64319999993</v>
      </c>
      <c r="O605" s="21">
        <v>154311.39074399997</v>
      </c>
      <c r="P605" s="21">
        <f>IF((D605*233.456*3%)&gt;7004,7004,(D605*233.456*3%))</f>
        <v>7004</v>
      </c>
      <c r="Q605" s="21">
        <f t="shared" si="29"/>
        <v>2546067.6460559997</v>
      </c>
      <c r="R605" s="21">
        <v>1852477.68</v>
      </c>
    </row>
    <row r="606" spans="1:18" ht="15.75" thickBot="1" x14ac:dyDescent="0.3">
      <c r="A606" s="21" t="s">
        <v>113</v>
      </c>
      <c r="B606" s="22" t="s">
        <v>90</v>
      </c>
      <c r="C606" s="22" t="s">
        <v>91</v>
      </c>
      <c r="D606" s="22">
        <v>3340</v>
      </c>
      <c r="E606" s="22">
        <v>92</v>
      </c>
      <c r="F606" s="21">
        <f t="shared" si="31"/>
        <v>779743.03999999992</v>
      </c>
      <c r="G606" s="21">
        <f t="shared" si="32"/>
        <v>116961.45599999999</v>
      </c>
      <c r="H606" s="21">
        <v>220000</v>
      </c>
      <c r="I606" s="21">
        <v>200000</v>
      </c>
      <c r="J606" s="21">
        <v>15000</v>
      </c>
      <c r="K606" s="26">
        <v>1337202</v>
      </c>
      <c r="L606" s="21">
        <f>SUM(F606:K606)</f>
        <v>2668906.4959999998</v>
      </c>
      <c r="M606" s="21">
        <v>129983.164768</v>
      </c>
      <c r="N606" s="21">
        <v>333637.55903999996</v>
      </c>
      <c r="O606" s="21">
        <v>138186.91111679998</v>
      </c>
      <c r="P606" s="21">
        <f>IF((D606*233.456*3%)&gt;7004,7004,(D606*233.456*3%))</f>
        <v>7004</v>
      </c>
      <c r="Q606" s="21">
        <f t="shared" si="29"/>
        <v>2190078.0258431998</v>
      </c>
      <c r="R606" s="21">
        <v>1658906.4959999998</v>
      </c>
    </row>
    <row r="607" spans="1:18" ht="15.75" thickBot="1" x14ac:dyDescent="0.3">
      <c r="A607" s="21" t="s">
        <v>113</v>
      </c>
      <c r="B607" s="22" t="s">
        <v>90</v>
      </c>
      <c r="C607" s="22" t="s">
        <v>91</v>
      </c>
      <c r="D607" s="22">
        <v>3165</v>
      </c>
      <c r="E607" s="22">
        <v>91</v>
      </c>
      <c r="F607" s="21">
        <f t="shared" si="31"/>
        <v>738888.24</v>
      </c>
      <c r="G607" s="21">
        <f t="shared" si="32"/>
        <v>110833.23599999999</v>
      </c>
      <c r="H607" s="21">
        <v>195000</v>
      </c>
      <c r="I607" s="21">
        <v>175000</v>
      </c>
      <c r="J607" s="21">
        <v>15000</v>
      </c>
      <c r="K607" s="26">
        <v>1112294</v>
      </c>
      <c r="L607" s="21">
        <f>SUM(F607:K607)</f>
        <v>2347015.4759999998</v>
      </c>
      <c r="M607" s="21">
        <v>123172.66960800001</v>
      </c>
      <c r="N607" s="21">
        <v>292383.71424</v>
      </c>
      <c r="O607" s="21">
        <v>123868.38915080001</v>
      </c>
      <c r="P607" s="21">
        <f>IF((D607*233.456*3%)&gt;7004,7004,(D607*233.456*3%))</f>
        <v>7004</v>
      </c>
      <c r="Q607" s="21">
        <f t="shared" si="29"/>
        <v>1923759.3726091997</v>
      </c>
      <c r="R607" s="21">
        <v>1487015.476</v>
      </c>
    </row>
    <row r="608" spans="1:18" ht="15.75" thickBot="1" x14ac:dyDescent="0.3">
      <c r="A608" s="21" t="s">
        <v>113</v>
      </c>
      <c r="B608" s="22" t="s">
        <v>90</v>
      </c>
      <c r="C608" s="22" t="s">
        <v>91</v>
      </c>
      <c r="D608" s="22">
        <v>2995</v>
      </c>
      <c r="E608" s="22">
        <v>89</v>
      </c>
      <c r="F608" s="21">
        <f t="shared" si="31"/>
        <v>699200.72</v>
      </c>
      <c r="G608" s="21">
        <f t="shared" si="32"/>
        <v>104880.10799999999</v>
      </c>
      <c r="H608" s="21">
        <v>195000</v>
      </c>
      <c r="I608" s="21">
        <v>175000</v>
      </c>
      <c r="J608" s="21">
        <v>15000</v>
      </c>
      <c r="K608" s="26">
        <v>1078063</v>
      </c>
      <c r="L608" s="21">
        <f>SUM(F608:K608)</f>
        <v>2267143.8279999997</v>
      </c>
      <c r="M608" s="21">
        <v>116556.760024</v>
      </c>
      <c r="N608" s="21">
        <v>273214.51871999999</v>
      </c>
      <c r="O608" s="21">
        <v>117215.08087239999</v>
      </c>
      <c r="P608" s="21">
        <f>IF((D608*233.456*3%)&gt;7004,7004,(D608*233.456*3%))</f>
        <v>7004</v>
      </c>
      <c r="Q608" s="21">
        <f t="shared" si="29"/>
        <v>1869710.2284075997</v>
      </c>
      <c r="R608" s="21">
        <v>1407143.828</v>
      </c>
    </row>
    <row r="609" spans="1:18" ht="15.75" thickBot="1" x14ac:dyDescent="0.3">
      <c r="A609" s="21" t="s">
        <v>113</v>
      </c>
      <c r="B609" s="22" t="s">
        <v>90</v>
      </c>
      <c r="C609" s="22" t="s">
        <v>91</v>
      </c>
      <c r="D609" s="22">
        <v>2820</v>
      </c>
      <c r="E609" s="22">
        <v>88</v>
      </c>
      <c r="F609" s="21">
        <f t="shared" si="31"/>
        <v>658345.91999999993</v>
      </c>
      <c r="G609" s="21">
        <f t="shared" si="32"/>
        <v>98751.887999999992</v>
      </c>
      <c r="H609" s="21">
        <v>195000</v>
      </c>
      <c r="I609" s="21">
        <v>175000</v>
      </c>
      <c r="J609" s="21">
        <v>15000</v>
      </c>
      <c r="K609" s="26">
        <v>1042826</v>
      </c>
      <c r="L609" s="21">
        <f>SUM(F609:K609)</f>
        <v>2184923.8080000002</v>
      </c>
      <c r="M609" s="21">
        <v>109746.264864</v>
      </c>
      <c r="N609" s="21">
        <v>253481.71392000001</v>
      </c>
      <c r="O609" s="21">
        <v>110366.15320639999</v>
      </c>
      <c r="P609" s="21">
        <f>IF((D609*233.456*3%)&gt;7004,7004,(D609*233.456*3%))</f>
        <v>7004</v>
      </c>
      <c r="Q609" s="21">
        <f t="shared" si="29"/>
        <v>1814071.9408736001</v>
      </c>
      <c r="R609" s="21">
        <v>1324923.808</v>
      </c>
    </row>
    <row r="610" spans="1:18" ht="15.75" thickBot="1" x14ac:dyDescent="0.3">
      <c r="A610" s="21" t="s">
        <v>113</v>
      </c>
      <c r="B610" s="22" t="s">
        <v>90</v>
      </c>
      <c r="C610" s="22" t="s">
        <v>91</v>
      </c>
      <c r="D610" s="22">
        <v>2820</v>
      </c>
      <c r="E610" s="22">
        <v>87</v>
      </c>
      <c r="F610" s="21">
        <f t="shared" si="31"/>
        <v>658345.91999999993</v>
      </c>
      <c r="G610" s="21">
        <f t="shared" si="32"/>
        <v>98751.887999999992</v>
      </c>
      <c r="H610" s="21">
        <v>195000</v>
      </c>
      <c r="I610" s="21">
        <v>175000</v>
      </c>
      <c r="J610" s="21">
        <v>15000</v>
      </c>
      <c r="K610" s="26">
        <v>1042826</v>
      </c>
      <c r="L610" s="21">
        <f>SUM(F610:K610)</f>
        <v>2184923.8080000002</v>
      </c>
      <c r="M610" s="21">
        <v>109746.264864</v>
      </c>
      <c r="N610" s="21">
        <v>253481.71392000001</v>
      </c>
      <c r="O610" s="21">
        <v>110366.15320639999</v>
      </c>
      <c r="P610" s="21">
        <f>IF((D610*233.456*3%)&gt;7004,7004,(D610*233.456*3%))</f>
        <v>7004</v>
      </c>
      <c r="Q610" s="21">
        <f t="shared" si="29"/>
        <v>1814071.9408736001</v>
      </c>
      <c r="R610" s="21">
        <v>1324923.808</v>
      </c>
    </row>
    <row r="611" spans="1:18" ht="15.75" thickBot="1" x14ac:dyDescent="0.3">
      <c r="A611" s="21" t="s">
        <v>113</v>
      </c>
      <c r="B611" s="22" t="s">
        <v>90</v>
      </c>
      <c r="C611" s="22" t="s">
        <v>91</v>
      </c>
      <c r="D611" s="22">
        <v>2645</v>
      </c>
      <c r="E611" s="22">
        <v>86</v>
      </c>
      <c r="F611" s="21">
        <f t="shared" si="31"/>
        <v>617491.12</v>
      </c>
      <c r="G611" s="21">
        <f t="shared" si="32"/>
        <v>92623.667999999991</v>
      </c>
      <c r="H611" s="21">
        <v>195000</v>
      </c>
      <c r="I611" s="21">
        <v>175000</v>
      </c>
      <c r="J611" s="21">
        <v>15000</v>
      </c>
      <c r="K611" s="26">
        <v>1007588</v>
      </c>
      <c r="L611" s="21">
        <f>SUM(F611:K611)</f>
        <v>2102702.7879999997</v>
      </c>
      <c r="M611" s="21">
        <v>102935.76970400001</v>
      </c>
      <c r="N611" s="21">
        <v>233748.66911999998</v>
      </c>
      <c r="O611" s="21">
        <v>103517.14224039999</v>
      </c>
      <c r="P611" s="21">
        <f>IF((D611*233.456*3%)&gt;7004,7004,(D611*233.456*3%))</f>
        <v>7004</v>
      </c>
      <c r="Q611" s="21">
        <f t="shared" si="29"/>
        <v>1758432.9766395998</v>
      </c>
      <c r="R611" s="21">
        <v>1242702.7879999999</v>
      </c>
    </row>
    <row r="612" spans="1:18" ht="15.75" thickBot="1" x14ac:dyDescent="0.3">
      <c r="A612" s="21" t="s">
        <v>113</v>
      </c>
      <c r="B612" s="22" t="s">
        <v>90</v>
      </c>
      <c r="C612" s="22" t="s">
        <v>91</v>
      </c>
      <c r="D612" s="22">
        <v>2475</v>
      </c>
      <c r="E612" s="22">
        <v>85</v>
      </c>
      <c r="F612" s="21">
        <f t="shared" si="31"/>
        <v>577803.6</v>
      </c>
      <c r="G612" s="21">
        <f t="shared" si="32"/>
        <v>86670.54</v>
      </c>
      <c r="H612" s="21">
        <v>195000</v>
      </c>
      <c r="I612" s="21">
        <v>175000</v>
      </c>
      <c r="J612" s="21">
        <v>15000</v>
      </c>
      <c r="K612" s="26">
        <v>973358</v>
      </c>
      <c r="L612" s="21">
        <f>SUM(F612:K612)</f>
        <v>2022832.1400000001</v>
      </c>
      <c r="M612" s="21">
        <v>96319.860119999998</v>
      </c>
      <c r="N612" s="21">
        <v>214579.71360000002</v>
      </c>
      <c r="O612" s="21">
        <v>96863.917262000003</v>
      </c>
      <c r="P612" s="21">
        <f>IF((D612*233.456*3%)&gt;7004,7004,(D612*233.456*3%))</f>
        <v>7004</v>
      </c>
      <c r="Q612" s="21">
        <f t="shared" si="29"/>
        <v>1704384.5091380002</v>
      </c>
      <c r="R612" s="21">
        <v>1162832.1400000001</v>
      </c>
    </row>
    <row r="613" spans="1:18" ht="15.75" thickBot="1" x14ac:dyDescent="0.3">
      <c r="A613" s="21" t="s">
        <v>113</v>
      </c>
      <c r="B613" s="22" t="s">
        <v>90</v>
      </c>
      <c r="C613" s="22" t="s">
        <v>91</v>
      </c>
      <c r="D613" s="22">
        <v>2475</v>
      </c>
      <c r="E613" s="22">
        <v>84</v>
      </c>
      <c r="F613" s="21">
        <f t="shared" si="31"/>
        <v>577803.6</v>
      </c>
      <c r="G613" s="21">
        <f t="shared" si="32"/>
        <v>86670.54</v>
      </c>
      <c r="H613" s="21">
        <v>170000</v>
      </c>
      <c r="I613" s="21">
        <v>150000</v>
      </c>
      <c r="J613" s="21">
        <v>15000</v>
      </c>
      <c r="K613" s="26">
        <v>798686</v>
      </c>
      <c r="L613" s="21">
        <f>SUM(F613:K613)</f>
        <v>1798160.1400000001</v>
      </c>
      <c r="M613" s="21">
        <v>96319.860119999998</v>
      </c>
      <c r="N613" s="21">
        <v>190658.43360000002</v>
      </c>
      <c r="O613" s="21">
        <v>88561.239661999993</v>
      </c>
      <c r="P613" s="21">
        <f>IF((D613*233.456*3%)&gt;7004,7004,(D613*233.456*3%))</f>
        <v>7004</v>
      </c>
      <c r="Q613" s="21">
        <f t="shared" si="29"/>
        <v>1511936.466738</v>
      </c>
      <c r="R613" s="21">
        <v>1063160.1400000001</v>
      </c>
    </row>
    <row r="614" spans="1:18" ht="15.75" thickBot="1" x14ac:dyDescent="0.3">
      <c r="A614" s="21" t="s">
        <v>113</v>
      </c>
      <c r="B614" s="22" t="s">
        <v>90</v>
      </c>
      <c r="C614" s="22" t="s">
        <v>91</v>
      </c>
      <c r="D614" s="22">
        <v>2305</v>
      </c>
      <c r="E614" s="22">
        <v>83</v>
      </c>
      <c r="F614" s="21">
        <f t="shared" si="31"/>
        <v>538116.07999999996</v>
      </c>
      <c r="G614" s="21">
        <f t="shared" si="32"/>
        <v>80717.411999999997</v>
      </c>
      <c r="H614" s="21">
        <v>170000</v>
      </c>
      <c r="I614" s="21">
        <v>150000</v>
      </c>
      <c r="J614" s="21">
        <v>15000</v>
      </c>
      <c r="K614" s="26">
        <v>771302</v>
      </c>
      <c r="L614" s="21">
        <f>SUM(F614:K614)</f>
        <v>1725135.4920000001</v>
      </c>
      <c r="M614" s="21">
        <v>89703.950536000004</v>
      </c>
      <c r="N614" s="21">
        <v>173132.51808000001</v>
      </c>
      <c r="O614" s="21">
        <v>82478.286483599994</v>
      </c>
      <c r="P614" s="21">
        <f>IF((D614*233.456*3%)&gt;7004,7004,(D614*233.456*3%))</f>
        <v>7004</v>
      </c>
      <c r="Q614" s="21">
        <f t="shared" si="29"/>
        <v>1462520.6874364</v>
      </c>
      <c r="R614" s="21">
        <v>990135.49199999997</v>
      </c>
    </row>
    <row r="615" spans="1:18" ht="15.75" thickBot="1" x14ac:dyDescent="0.3">
      <c r="A615" s="21" t="s">
        <v>113</v>
      </c>
      <c r="B615" s="22" t="s">
        <v>90</v>
      </c>
      <c r="C615" s="22" t="s">
        <v>91</v>
      </c>
      <c r="D615" s="22">
        <v>2130</v>
      </c>
      <c r="E615" s="22">
        <v>82</v>
      </c>
      <c r="F615" s="21">
        <f t="shared" si="31"/>
        <v>497261.27999999997</v>
      </c>
      <c r="G615" s="21">
        <f t="shared" si="32"/>
        <v>74589.191999999995</v>
      </c>
      <c r="H615" s="21">
        <v>170000</v>
      </c>
      <c r="I615" s="21">
        <v>150000</v>
      </c>
      <c r="J615" s="21">
        <v>15000</v>
      </c>
      <c r="K615" s="26">
        <v>743112</v>
      </c>
      <c r="L615" s="21">
        <f>SUM(F615:K615)</f>
        <v>1649962.4720000001</v>
      </c>
      <c r="M615" s="21">
        <v>82893.455375999998</v>
      </c>
      <c r="N615" s="21">
        <v>155090.99328</v>
      </c>
      <c r="O615" s="21">
        <v>76216.373917599994</v>
      </c>
      <c r="P615" s="21">
        <f>IF((D615*233.456*3%)&gt;7004,7004,(D615*233.456*3%))</f>
        <v>7004</v>
      </c>
      <c r="Q615" s="21">
        <f t="shared" si="29"/>
        <v>1411651.1048024001</v>
      </c>
      <c r="R615" s="21">
        <v>914962.47199999995</v>
      </c>
    </row>
    <row r="616" spans="1:18" ht="15.75" thickBot="1" x14ac:dyDescent="0.3">
      <c r="A616" s="21" t="s">
        <v>113</v>
      </c>
      <c r="B616" s="22" t="s">
        <v>90</v>
      </c>
      <c r="C616" s="22" t="s">
        <v>91</v>
      </c>
      <c r="D616" s="22">
        <v>2130</v>
      </c>
      <c r="E616" s="22">
        <v>77</v>
      </c>
      <c r="F616" s="21">
        <f t="shared" si="31"/>
        <v>497261.27999999997</v>
      </c>
      <c r="G616" s="21">
        <f t="shared" si="32"/>
        <v>74589.191999999995</v>
      </c>
      <c r="H616" s="21">
        <v>170000</v>
      </c>
      <c r="I616" s="21">
        <v>150000</v>
      </c>
      <c r="J616" s="21">
        <v>15000</v>
      </c>
      <c r="K616" s="26">
        <v>743112</v>
      </c>
      <c r="L616" s="21">
        <f>SUM(F616:K616)</f>
        <v>1649962.4720000001</v>
      </c>
      <c r="M616" s="21">
        <v>82893.455375999998</v>
      </c>
      <c r="N616" s="21">
        <v>155090.99328</v>
      </c>
      <c r="O616" s="21">
        <v>76216.373917599994</v>
      </c>
      <c r="P616" s="21">
        <f>IF((D616*233.456*3%)&gt;7004,7004,(D616*233.456*3%))</f>
        <v>7004</v>
      </c>
      <c r="Q616" s="21">
        <f t="shared" si="29"/>
        <v>1411651.1048024001</v>
      </c>
      <c r="R616" s="21">
        <v>914962.47199999995</v>
      </c>
    </row>
    <row r="617" spans="1:18" ht="15.75" thickBot="1" x14ac:dyDescent="0.3">
      <c r="A617" s="21" t="s">
        <v>113</v>
      </c>
      <c r="B617" s="22" t="s">
        <v>90</v>
      </c>
      <c r="C617" s="22" t="s">
        <v>91</v>
      </c>
      <c r="D617" s="22">
        <v>1910</v>
      </c>
      <c r="E617" s="22">
        <v>76</v>
      </c>
      <c r="F617" s="21">
        <f t="shared" si="31"/>
        <v>445900.95999999996</v>
      </c>
      <c r="G617" s="21">
        <f t="shared" si="32"/>
        <v>66885.143999999986</v>
      </c>
      <c r="H617" s="21">
        <v>170000</v>
      </c>
      <c r="I617" s="21">
        <v>150000</v>
      </c>
      <c r="J617" s="21">
        <v>15000</v>
      </c>
      <c r="K617" s="26">
        <v>707673</v>
      </c>
      <c r="L617" s="21">
        <f>SUM(F617:K617)</f>
        <v>1555459.1039999998</v>
      </c>
      <c r="M617" s="21">
        <v>74331.690031999999</v>
      </c>
      <c r="N617" s="21">
        <v>132410.18495999998</v>
      </c>
      <c r="O617" s="21">
        <v>68344.243363199988</v>
      </c>
      <c r="P617" s="21">
        <f>IF((D617*233.456*3%)&gt;7004,7004,(D617*233.456*3%))</f>
        <v>7004</v>
      </c>
      <c r="Q617" s="21">
        <f t="shared" si="29"/>
        <v>1347700.6756767998</v>
      </c>
      <c r="R617" s="21">
        <v>820459.10399999993</v>
      </c>
    </row>
    <row r="618" spans="1:18" ht="15.75" thickBot="1" x14ac:dyDescent="0.3">
      <c r="A618" s="21" t="s">
        <v>113</v>
      </c>
      <c r="B618" s="22" t="s">
        <v>90</v>
      </c>
      <c r="C618" s="22" t="s">
        <v>91</v>
      </c>
      <c r="D618" s="22">
        <v>1680</v>
      </c>
      <c r="E618" s="22">
        <v>75</v>
      </c>
      <c r="F618" s="21">
        <f t="shared" si="31"/>
        <v>392206.07999999996</v>
      </c>
      <c r="G618" s="21">
        <f t="shared" si="32"/>
        <v>58830.911999999989</v>
      </c>
      <c r="H618" s="21">
        <v>170000</v>
      </c>
      <c r="I618" s="21">
        <v>150000</v>
      </c>
      <c r="J618" s="21">
        <v>15000</v>
      </c>
      <c r="K618" s="26">
        <v>670623</v>
      </c>
      <c r="L618" s="21">
        <f>SUM(F618:K618)</f>
        <v>1456659.9920000001</v>
      </c>
      <c r="M618" s="21">
        <v>65380.753535999997</v>
      </c>
      <c r="N618" s="21">
        <v>111048.59831999999</v>
      </c>
      <c r="O618" s="21">
        <v>60114.277333599995</v>
      </c>
      <c r="P618" s="21">
        <f>IF((D618*233.456*3%)&gt;7004,7004,(D618*233.456*3%))</f>
        <v>7004</v>
      </c>
      <c r="Q618" s="21">
        <f t="shared" ref="Q618:Q680" si="33">L618-SUM(N618:P618)</f>
        <v>1278493.1163464002</v>
      </c>
      <c r="R618" s="21">
        <v>721659.99199999997</v>
      </c>
    </row>
    <row r="619" spans="1:18" ht="15.75" thickBot="1" x14ac:dyDescent="0.3">
      <c r="A619" s="21" t="s">
        <v>113</v>
      </c>
      <c r="B619" s="22" t="s">
        <v>90</v>
      </c>
      <c r="C619" s="22" t="s">
        <v>91</v>
      </c>
      <c r="D619" s="22">
        <v>1445</v>
      </c>
      <c r="E619" s="22">
        <v>74</v>
      </c>
      <c r="F619" s="21">
        <f t="shared" si="31"/>
        <v>337343.92</v>
      </c>
      <c r="G619" s="21">
        <f t="shared" si="32"/>
        <v>50601.587999999996</v>
      </c>
      <c r="H619" s="21">
        <v>170000</v>
      </c>
      <c r="I619" s="21">
        <v>150000</v>
      </c>
      <c r="J619" s="21">
        <v>15000</v>
      </c>
      <c r="K619" s="26">
        <v>632768</v>
      </c>
      <c r="L619" s="21">
        <f>SUM(F619:K619)</f>
        <v>1355713.5079999999</v>
      </c>
      <c r="M619" s="21">
        <v>56235.231464000004</v>
      </c>
      <c r="N619" s="21">
        <v>89849.836679999979</v>
      </c>
      <c r="O619" s="21">
        <v>51705.435216400001</v>
      </c>
      <c r="P619" s="21">
        <f>IF((D619*233.456*3%)&gt;7004,7004,(D619*233.456*3%))</f>
        <v>7004</v>
      </c>
      <c r="Q619" s="21">
        <f t="shared" si="33"/>
        <v>1207154.2361035999</v>
      </c>
      <c r="R619" s="21">
        <v>620713.50799999991</v>
      </c>
    </row>
    <row r="620" spans="1:18" ht="15.75" thickBot="1" x14ac:dyDescent="0.3">
      <c r="A620" s="21" t="s">
        <v>114</v>
      </c>
      <c r="B620" s="22" t="s">
        <v>90</v>
      </c>
      <c r="C620" s="22" t="s">
        <v>91</v>
      </c>
      <c r="D620" s="22">
        <v>3450</v>
      </c>
      <c r="E620" s="22" t="s">
        <v>115</v>
      </c>
      <c r="F620" s="21">
        <f t="shared" si="31"/>
        <v>805423.2</v>
      </c>
      <c r="G620" s="21">
        <f t="shared" si="32"/>
        <v>120813.47999999998</v>
      </c>
      <c r="H620" s="21">
        <v>270000</v>
      </c>
      <c r="I620" s="21">
        <v>250000</v>
      </c>
      <c r="J620" s="21">
        <v>15000</v>
      </c>
      <c r="K620" s="26">
        <v>1626236.68</v>
      </c>
      <c r="L620" s="21">
        <f>SUM(F620:K620)</f>
        <v>3087473.36</v>
      </c>
      <c r="M620" s="21">
        <v>134264.04743999999</v>
      </c>
      <c r="N620" s="21">
        <v>380093.60639999993</v>
      </c>
      <c r="O620" s="21">
        <v>154311.03088799998</v>
      </c>
      <c r="P620" s="21">
        <f>IF((D620*233.456*3%)&gt;7004,7004,(D620*233.456*3%))</f>
        <v>7004</v>
      </c>
      <c r="Q620" s="21">
        <f t="shared" si="33"/>
        <v>2546064.7227119999</v>
      </c>
      <c r="R620" s="21">
        <v>1852473.3599999999</v>
      </c>
    </row>
    <row r="621" spans="1:18" ht="15.75" thickBot="1" x14ac:dyDescent="0.3">
      <c r="A621" s="21" t="s">
        <v>114</v>
      </c>
      <c r="B621" s="22" t="s">
        <v>90</v>
      </c>
      <c r="C621" s="22" t="s">
        <v>91</v>
      </c>
      <c r="D621" s="22">
        <v>3340</v>
      </c>
      <c r="E621" s="22" t="s">
        <v>116</v>
      </c>
      <c r="F621" s="21">
        <f t="shared" si="31"/>
        <v>779743.03999999992</v>
      </c>
      <c r="G621" s="21">
        <f t="shared" si="32"/>
        <v>116961.45599999999</v>
      </c>
      <c r="H621" s="21">
        <v>270000</v>
      </c>
      <c r="I621" s="21">
        <v>250000</v>
      </c>
      <c r="J621" s="21">
        <v>15000</v>
      </c>
      <c r="K621" s="26">
        <v>1596704.4959999998</v>
      </c>
      <c r="L621" s="21">
        <f>SUM(F621:K621)</f>
        <v>3028408.9919999996</v>
      </c>
      <c r="M621" s="21">
        <v>129983.164768</v>
      </c>
      <c r="N621" s="21">
        <v>365918.15807999996</v>
      </c>
      <c r="O621" s="21">
        <v>149390.96903360001</v>
      </c>
      <c r="P621" s="21">
        <f>IF((D621*233.456*3%)&gt;7004,7004,(D621*233.456*3%))</f>
        <v>7004</v>
      </c>
      <c r="Q621" s="21">
        <f t="shared" si="33"/>
        <v>2506095.8648863998</v>
      </c>
      <c r="R621" s="21">
        <v>1793408.9919999999</v>
      </c>
    </row>
    <row r="622" spans="1:18" ht="15.75" thickBot="1" x14ac:dyDescent="0.3">
      <c r="A622" s="21" t="s">
        <v>114</v>
      </c>
      <c r="B622" s="22" t="s">
        <v>90</v>
      </c>
      <c r="C622" s="22" t="s">
        <v>91</v>
      </c>
      <c r="D622" s="22">
        <v>3165</v>
      </c>
      <c r="E622" s="22" t="s">
        <v>117</v>
      </c>
      <c r="F622" s="21">
        <f t="shared" si="31"/>
        <v>738888.24</v>
      </c>
      <c r="G622" s="21">
        <f t="shared" si="32"/>
        <v>110833.23599999999</v>
      </c>
      <c r="H622" s="21">
        <v>270000</v>
      </c>
      <c r="I622" s="21">
        <v>250000</v>
      </c>
      <c r="J622" s="21">
        <v>15000</v>
      </c>
      <c r="K622" s="26">
        <v>1549721.476</v>
      </c>
      <c r="L622" s="21">
        <f>SUM(F622:K622)</f>
        <v>2934442.952</v>
      </c>
      <c r="M622" s="21">
        <v>123172.66960800001</v>
      </c>
      <c r="N622" s="21">
        <v>343366.30848000001</v>
      </c>
      <c r="O622" s="21">
        <v>141563.59790160001</v>
      </c>
      <c r="P622" s="21">
        <f>IF((D622*233.456*3%)&gt;7004,7004,(D622*233.456*3%))</f>
        <v>7004</v>
      </c>
      <c r="Q622" s="21">
        <f t="shared" si="33"/>
        <v>2442509.0456184</v>
      </c>
      <c r="R622" s="21">
        <v>1699442.952</v>
      </c>
    </row>
    <row r="623" spans="1:18" ht="15.75" thickBot="1" x14ac:dyDescent="0.3">
      <c r="A623" s="21" t="s">
        <v>114</v>
      </c>
      <c r="B623" s="22" t="s">
        <v>90</v>
      </c>
      <c r="C623" s="22" t="s">
        <v>91</v>
      </c>
      <c r="D623" s="22">
        <v>2995</v>
      </c>
      <c r="E623" s="22" t="s">
        <v>118</v>
      </c>
      <c r="F623" s="21">
        <f t="shared" si="31"/>
        <v>699200.72</v>
      </c>
      <c r="G623" s="21">
        <f t="shared" si="32"/>
        <v>104880.10799999999</v>
      </c>
      <c r="H623" s="21">
        <v>220000</v>
      </c>
      <c r="I623" s="21">
        <v>200000</v>
      </c>
      <c r="J623" s="21">
        <v>15000</v>
      </c>
      <c r="K623" s="26">
        <v>1258468.7038</v>
      </c>
      <c r="L623" s="21">
        <f>SUM(F623:K623)</f>
        <v>2497549.5318</v>
      </c>
      <c r="M623" s="21">
        <v>116556.760024</v>
      </c>
      <c r="N623" s="21">
        <v>292511.88763200003</v>
      </c>
      <c r="O623" s="21">
        <v>123912.87599894</v>
      </c>
      <c r="P623" s="21">
        <f>IF((D623*233.456*3%)&gt;7004,7004,(D623*233.456*3%))</f>
        <v>7004</v>
      </c>
      <c r="Q623" s="21">
        <f t="shared" si="33"/>
        <v>2074120.7681690599</v>
      </c>
      <c r="R623" s="21">
        <v>1487549.5318</v>
      </c>
    </row>
    <row r="624" spans="1:18" ht="15.75" thickBot="1" x14ac:dyDescent="0.3">
      <c r="A624" s="21" t="s">
        <v>114</v>
      </c>
      <c r="B624" s="22" t="s">
        <v>90</v>
      </c>
      <c r="C624" s="22" t="s">
        <v>91</v>
      </c>
      <c r="D624" s="22">
        <v>2820</v>
      </c>
      <c r="E624" s="22" t="s">
        <v>119</v>
      </c>
      <c r="F624" s="21">
        <f t="shared" si="31"/>
        <v>658345.91999999993</v>
      </c>
      <c r="G624" s="21">
        <f t="shared" si="32"/>
        <v>98751.887999999992</v>
      </c>
      <c r="H624" s="21">
        <v>220000</v>
      </c>
      <c r="I624" s="21">
        <v>200000</v>
      </c>
      <c r="J624" s="21">
        <v>15000</v>
      </c>
      <c r="K624" s="26">
        <v>1218533.1368</v>
      </c>
      <c r="L624" s="21">
        <f>SUM(F624:K624)</f>
        <v>2410630.9447999997</v>
      </c>
      <c r="M624" s="21">
        <v>109746.264864</v>
      </c>
      <c r="N624" s="21">
        <v>271651.426752</v>
      </c>
      <c r="O624" s="21">
        <v>116672.55770183999</v>
      </c>
      <c r="P624" s="21">
        <f>IF((D624*233.456*3%)&gt;7004,7004,(D624*233.456*3%))</f>
        <v>7004</v>
      </c>
      <c r="Q624" s="21">
        <f t="shared" si="33"/>
        <v>2015302.9603461598</v>
      </c>
      <c r="R624" s="21">
        <v>1400630.9447999999</v>
      </c>
    </row>
    <row r="625" spans="1:18" ht="15.75" thickBot="1" x14ac:dyDescent="0.3">
      <c r="A625" s="21" t="s">
        <v>114</v>
      </c>
      <c r="B625" s="22" t="s">
        <v>90</v>
      </c>
      <c r="C625" s="22" t="s">
        <v>91</v>
      </c>
      <c r="D625" s="22">
        <v>2645</v>
      </c>
      <c r="E625" s="22" t="s">
        <v>120</v>
      </c>
      <c r="F625" s="21">
        <f t="shared" si="31"/>
        <v>617491.12</v>
      </c>
      <c r="G625" s="21">
        <f t="shared" si="32"/>
        <v>92623.667999999991</v>
      </c>
      <c r="H625" s="21">
        <v>220000</v>
      </c>
      <c r="I625" s="21">
        <v>200000</v>
      </c>
      <c r="J625" s="21">
        <v>15000</v>
      </c>
      <c r="K625" s="26">
        <v>1178597.5697999999</v>
      </c>
      <c r="L625" s="21">
        <f>SUM(F625:K625)</f>
        <v>2323712.3577999999</v>
      </c>
      <c r="M625" s="21">
        <v>102935.76970400001</v>
      </c>
      <c r="N625" s="21">
        <v>250790.96587199997</v>
      </c>
      <c r="O625" s="21">
        <v>109432.23940473999</v>
      </c>
      <c r="P625" s="21">
        <f>IF((D625*233.456*3%)&gt;7004,7004,(D625*233.456*3%))</f>
        <v>7004</v>
      </c>
      <c r="Q625" s="21">
        <f t="shared" si="33"/>
        <v>1956485.1525232599</v>
      </c>
      <c r="R625" s="21">
        <v>1313712.3577999999</v>
      </c>
    </row>
    <row r="626" spans="1:18" ht="15.75" thickBot="1" x14ac:dyDescent="0.3">
      <c r="A626" s="21" t="s">
        <v>114</v>
      </c>
      <c r="B626" s="22" t="s">
        <v>90</v>
      </c>
      <c r="C626" s="22" t="s">
        <v>91</v>
      </c>
      <c r="D626" s="22">
        <v>2475</v>
      </c>
      <c r="E626" s="22" t="s">
        <v>121</v>
      </c>
      <c r="F626" s="21">
        <f t="shared" si="31"/>
        <v>577803.6</v>
      </c>
      <c r="G626" s="21">
        <f t="shared" si="32"/>
        <v>86670.54</v>
      </c>
      <c r="H626" s="21">
        <v>195000</v>
      </c>
      <c r="I626" s="21">
        <v>175000</v>
      </c>
      <c r="J626" s="21">
        <v>15000</v>
      </c>
      <c r="K626" s="26">
        <v>973355.60499999998</v>
      </c>
      <c r="L626" s="21">
        <f>SUM(F626:K626)</f>
        <v>2022829.7450000001</v>
      </c>
      <c r="M626" s="21">
        <v>96319.860119999998</v>
      </c>
      <c r="N626" s="21">
        <v>214579.13880000002</v>
      </c>
      <c r="O626" s="21">
        <v>96863.717758499988</v>
      </c>
      <c r="P626" s="21">
        <f>IF((D626*233.456*3%)&gt;7004,7004,(D626*233.456*3%))</f>
        <v>7004</v>
      </c>
      <c r="Q626" s="21">
        <f t="shared" si="33"/>
        <v>1704382.8884415003</v>
      </c>
      <c r="R626" s="21">
        <v>1162829.7450000001</v>
      </c>
    </row>
    <row r="627" spans="1:18" ht="15.75" thickBot="1" x14ac:dyDescent="0.3">
      <c r="A627" s="21" t="s">
        <v>114</v>
      </c>
      <c r="B627" s="22" t="s">
        <v>90</v>
      </c>
      <c r="C627" s="22" t="s">
        <v>91</v>
      </c>
      <c r="D627" s="22">
        <v>2305</v>
      </c>
      <c r="E627" s="22" t="s">
        <v>122</v>
      </c>
      <c r="F627" s="21">
        <f t="shared" si="31"/>
        <v>538116.07999999996</v>
      </c>
      <c r="G627" s="21">
        <f t="shared" si="32"/>
        <v>80717.411999999997</v>
      </c>
      <c r="H627" s="21">
        <v>195000</v>
      </c>
      <c r="I627" s="21">
        <v>175000</v>
      </c>
      <c r="J627" s="21">
        <v>15000</v>
      </c>
      <c r="K627" s="26">
        <v>939125.11899999995</v>
      </c>
      <c r="L627" s="21">
        <f>SUM(F627:K627)</f>
        <v>1942958.611</v>
      </c>
      <c r="M627" s="21">
        <v>89703.950536000004</v>
      </c>
      <c r="N627" s="21">
        <v>195410.06664</v>
      </c>
      <c r="O627" s="21">
        <v>90210.452296299991</v>
      </c>
      <c r="P627" s="21">
        <f>IF((D627*233.456*3%)&gt;7004,7004,(D627*233.456*3%))</f>
        <v>7004</v>
      </c>
      <c r="Q627" s="21">
        <f t="shared" si="33"/>
        <v>1650334.0920637001</v>
      </c>
      <c r="R627" s="21">
        <v>1082958.611</v>
      </c>
    </row>
    <row r="628" spans="1:18" ht="15.75" thickBot="1" x14ac:dyDescent="0.3">
      <c r="A628" s="21" t="s">
        <v>114</v>
      </c>
      <c r="B628" s="22" t="s">
        <v>90</v>
      </c>
      <c r="C628" s="22" t="s">
        <v>91</v>
      </c>
      <c r="D628" s="22">
        <v>2130</v>
      </c>
      <c r="E628" s="22" t="s">
        <v>123</v>
      </c>
      <c r="F628" s="21">
        <f t="shared" si="31"/>
        <v>497261.27999999997</v>
      </c>
      <c r="G628" s="21">
        <f t="shared" si="32"/>
        <v>74589.191999999995</v>
      </c>
      <c r="H628" s="21">
        <v>195000</v>
      </c>
      <c r="I628" s="21">
        <v>175000</v>
      </c>
      <c r="J628" s="21">
        <v>15000</v>
      </c>
      <c r="K628" s="26">
        <v>903887.85399999993</v>
      </c>
      <c r="L628" s="21">
        <f>SUM(F628:K628)</f>
        <v>1860738.3259999999</v>
      </c>
      <c r="M628" s="21">
        <v>82893.455375999998</v>
      </c>
      <c r="N628" s="21">
        <v>175677.19823999997</v>
      </c>
      <c r="O628" s="21">
        <v>83361.502555799991</v>
      </c>
      <c r="P628" s="21">
        <f>IF((D628*233.456*3%)&gt;7004,7004,(D628*233.456*3%))</f>
        <v>7004</v>
      </c>
      <c r="Q628" s="21">
        <f t="shared" si="33"/>
        <v>1594695.6252041999</v>
      </c>
      <c r="R628" s="21">
        <v>1000738.3259999999</v>
      </c>
    </row>
    <row r="629" spans="1:18" ht="15.75" thickBot="1" x14ac:dyDescent="0.3">
      <c r="A629" s="21" t="s">
        <v>114</v>
      </c>
      <c r="B629" s="22" t="s">
        <v>90</v>
      </c>
      <c r="C629" s="22" t="s">
        <v>91</v>
      </c>
      <c r="D629" s="22">
        <v>1910</v>
      </c>
      <c r="E629" s="22" t="s">
        <v>124</v>
      </c>
      <c r="F629" s="21">
        <f>D629*233.456</f>
        <v>445900.95999999996</v>
      </c>
      <c r="G629" s="21">
        <f>F629*15%</f>
        <v>66885.143999999986</v>
      </c>
      <c r="H629" s="21">
        <v>170000</v>
      </c>
      <c r="I629" s="21">
        <v>150000</v>
      </c>
      <c r="J629" s="21">
        <v>15000</v>
      </c>
      <c r="K629" s="26">
        <v>707671.66240000003</v>
      </c>
      <c r="L629" s="21">
        <f>SUM(F629:K629)</f>
        <v>1555457.7664000001</v>
      </c>
      <c r="M629" s="21">
        <v>74331.690031999999</v>
      </c>
      <c r="N629" s="21">
        <v>132409.86393599995</v>
      </c>
      <c r="O629" s="21">
        <v>68344.131941119995</v>
      </c>
      <c r="P629" s="21">
        <f>IF((D629*233.456*3%)&gt;7004,7004,(D629*233.456*3%))</f>
        <v>7004</v>
      </c>
      <c r="Q629" s="21">
        <f t="shared" si="33"/>
        <v>1347699.7705228801</v>
      </c>
      <c r="R629" s="21">
        <v>820457.76639999985</v>
      </c>
    </row>
    <row r="630" spans="1:18" ht="15.75" thickBot="1" x14ac:dyDescent="0.3">
      <c r="A630" s="21" t="s">
        <v>114</v>
      </c>
      <c r="B630" s="22" t="s">
        <v>90</v>
      </c>
      <c r="C630" s="22" t="s">
        <v>91</v>
      </c>
      <c r="D630" s="22">
        <v>1680</v>
      </c>
      <c r="E630" s="22" t="s">
        <v>125</v>
      </c>
      <c r="F630" s="21">
        <f t="shared" si="31"/>
        <v>392206.07999999996</v>
      </c>
      <c r="G630" s="21">
        <f t="shared" si="32"/>
        <v>58830.911999999989</v>
      </c>
      <c r="H630" s="21">
        <v>170000</v>
      </c>
      <c r="I630" s="21">
        <v>150000</v>
      </c>
      <c r="J630" s="21">
        <v>15000</v>
      </c>
      <c r="K630" s="26">
        <v>670622.19519999996</v>
      </c>
      <c r="L630" s="21">
        <f>SUM(F630:K630)</f>
        <v>1456659.1872</v>
      </c>
      <c r="M630" s="21">
        <v>65380.753535999997</v>
      </c>
      <c r="N630" s="21">
        <v>111048.42931199998</v>
      </c>
      <c r="O630" s="21">
        <v>60114.210293759992</v>
      </c>
      <c r="P630" s="21">
        <f>IF((D630*233.456*3%)&gt;7004,7004,(D630*233.456*3%))</f>
        <v>7004</v>
      </c>
      <c r="Q630" s="21">
        <f t="shared" si="33"/>
        <v>1278492.5475942402</v>
      </c>
      <c r="R630" s="21">
        <v>721659.18719999993</v>
      </c>
    </row>
    <row r="631" spans="1:18" ht="15.75" thickBot="1" x14ac:dyDescent="0.3">
      <c r="A631" s="21" t="s">
        <v>114</v>
      </c>
      <c r="B631" s="22" t="s">
        <v>90</v>
      </c>
      <c r="C631" s="22" t="s">
        <v>91</v>
      </c>
      <c r="D631" s="22">
        <v>1445</v>
      </c>
      <c r="E631" s="22" t="s">
        <v>126</v>
      </c>
      <c r="F631" s="21">
        <f t="shared" si="31"/>
        <v>337343.92</v>
      </c>
      <c r="G631" s="21">
        <f t="shared" si="32"/>
        <v>50601.587999999996</v>
      </c>
      <c r="H631" s="21">
        <v>170000</v>
      </c>
      <c r="I631" s="21">
        <v>150000</v>
      </c>
      <c r="J631" s="21">
        <v>15000</v>
      </c>
      <c r="K631" s="26">
        <v>632767.30480000004</v>
      </c>
      <c r="L631" s="21">
        <f>SUM(F631:K631)</f>
        <v>1355712.8128</v>
      </c>
      <c r="M631" s="21">
        <v>56235.231464000004</v>
      </c>
      <c r="N631" s="21">
        <v>89849.690687999988</v>
      </c>
      <c r="O631" s="21">
        <v>51705.37730624</v>
      </c>
      <c r="P631" s="21">
        <f>IF((D631*233.456*3%)&gt;7004,7004,(D631*233.456*3%))</f>
        <v>7004</v>
      </c>
      <c r="Q631" s="21">
        <f t="shared" si="33"/>
        <v>1207153.74480576</v>
      </c>
      <c r="R631" s="21">
        <v>620712.81279999996</v>
      </c>
    </row>
    <row r="632" spans="1:18" ht="15.75" thickBot="1" x14ac:dyDescent="0.3">
      <c r="A632" s="21" t="s">
        <v>127</v>
      </c>
      <c r="B632" s="22" t="s">
        <v>90</v>
      </c>
      <c r="C632" s="22" t="s">
        <v>91</v>
      </c>
      <c r="D632" s="22">
        <v>3450</v>
      </c>
      <c r="E632" s="22" t="s">
        <v>128</v>
      </c>
      <c r="F632" s="21">
        <f t="shared" si="31"/>
        <v>805423.2</v>
      </c>
      <c r="G632" s="21">
        <f t="shared" si="32"/>
        <v>120813.47999999998</v>
      </c>
      <c r="H632" s="21">
        <v>90000</v>
      </c>
      <c r="I632" s="21">
        <v>20000</v>
      </c>
      <c r="J632" s="21">
        <v>15000</v>
      </c>
      <c r="K632" s="26">
        <v>1181898.1199999999</v>
      </c>
      <c r="L632" s="21">
        <f>SUM(F632:K632)</f>
        <v>2233134.7999999998</v>
      </c>
      <c r="M632" s="21">
        <v>134264.04743999999</v>
      </c>
      <c r="N632" s="21">
        <v>230953</v>
      </c>
      <c r="O632" s="21">
        <f>(F632*8.33%)*2</f>
        <v>134183.50511999999</v>
      </c>
      <c r="P632" s="21">
        <f>IF((D632*233.456*3%)&gt;7004,7004,(D632*233.456*3%))</f>
        <v>7004</v>
      </c>
      <c r="Q632" s="21">
        <f t="shared" si="33"/>
        <v>1860994.2948799999</v>
      </c>
      <c r="R632" s="21">
        <v>1208138</v>
      </c>
    </row>
    <row r="633" spans="1:18" ht="15.75" thickBot="1" x14ac:dyDescent="0.3">
      <c r="A633" s="21" t="s">
        <v>127</v>
      </c>
      <c r="B633" s="22" t="s">
        <v>90</v>
      </c>
      <c r="C633" s="22" t="s">
        <v>91</v>
      </c>
      <c r="D633" s="22">
        <v>3340</v>
      </c>
      <c r="E633" s="22" t="s">
        <v>129</v>
      </c>
      <c r="F633" s="21">
        <f t="shared" si="31"/>
        <v>779743.03999999992</v>
      </c>
      <c r="G633" s="21">
        <f t="shared" si="32"/>
        <v>116961.45599999999</v>
      </c>
      <c r="H633" s="21">
        <v>90000</v>
      </c>
      <c r="I633" s="21">
        <v>20000</v>
      </c>
      <c r="J633" s="21">
        <v>15000</v>
      </c>
      <c r="K633" s="26">
        <v>1172910.064</v>
      </c>
      <c r="L633" s="21">
        <f>SUM(F633:K633)</f>
        <v>2194614.56</v>
      </c>
      <c r="M633" s="21">
        <v>129983.164768</v>
      </c>
      <c r="N633" s="21">
        <v>254083</v>
      </c>
      <c r="O633" s="21">
        <f>(F633*8.33%)*2</f>
        <v>129905.19046399998</v>
      </c>
      <c r="P633" s="21">
        <f>IF((D633*233.456*3%)&gt;7004,7004,(D633*233.456*3%))</f>
        <v>7004</v>
      </c>
      <c r="Q633" s="21">
        <f t="shared" si="33"/>
        <v>1803622.3695360001</v>
      </c>
      <c r="R633" s="21">
        <v>1169619</v>
      </c>
    </row>
    <row r="634" spans="1:18" ht="15.75" thickBot="1" x14ac:dyDescent="0.3">
      <c r="A634" s="21" t="s">
        <v>127</v>
      </c>
      <c r="B634" s="22" t="s">
        <v>90</v>
      </c>
      <c r="C634" s="22" t="s">
        <v>91</v>
      </c>
      <c r="D634" s="22">
        <v>3165</v>
      </c>
      <c r="E634" s="22" t="s">
        <v>130</v>
      </c>
      <c r="F634" s="21">
        <f t="shared" si="31"/>
        <v>738888.24</v>
      </c>
      <c r="G634" s="21">
        <f t="shared" si="32"/>
        <v>110833.23599999999</v>
      </c>
      <c r="H634" s="21">
        <v>90000</v>
      </c>
      <c r="I634" s="21">
        <v>20000</v>
      </c>
      <c r="J634" s="21">
        <v>15000</v>
      </c>
      <c r="K634" s="26">
        <v>1158610.8840000001</v>
      </c>
      <c r="L634" s="21">
        <f>SUM(F634:K634)</f>
        <v>2133332.3600000003</v>
      </c>
      <c r="M634" s="21">
        <v>123172.66960800001</v>
      </c>
      <c r="N634" s="21">
        <v>217977</v>
      </c>
      <c r="O634" s="21">
        <f>(F634*8.33%)*2</f>
        <v>123098.780784</v>
      </c>
      <c r="P634" s="21">
        <f>IF((D634*233.456*3%)&gt;7004,7004,(D634*233.456*3%))</f>
        <v>7004</v>
      </c>
      <c r="Q634" s="21">
        <f t="shared" si="33"/>
        <v>1785252.5792160004</v>
      </c>
      <c r="R634" s="21">
        <v>1108337</v>
      </c>
    </row>
    <row r="635" spans="1:18" ht="15.75" thickBot="1" x14ac:dyDescent="0.3">
      <c r="A635" s="21" t="s">
        <v>127</v>
      </c>
      <c r="B635" s="22" t="s">
        <v>90</v>
      </c>
      <c r="C635" s="22" t="s">
        <v>92</v>
      </c>
      <c r="D635" s="22">
        <v>2995</v>
      </c>
      <c r="E635" s="22" t="s">
        <v>128</v>
      </c>
      <c r="F635" s="21">
        <f t="shared" si="31"/>
        <v>699200.72</v>
      </c>
      <c r="G635" s="21">
        <f t="shared" si="32"/>
        <v>104880.10799999999</v>
      </c>
      <c r="H635" s="21">
        <v>90000</v>
      </c>
      <c r="I635" s="21">
        <v>20000</v>
      </c>
      <c r="J635" s="21">
        <v>15000</v>
      </c>
      <c r="K635" s="26">
        <v>400000</v>
      </c>
      <c r="L635" s="21">
        <f>SUM(F635:K635)</f>
        <v>1329080.828</v>
      </c>
      <c r="M635" s="21">
        <v>116556.760024</v>
      </c>
      <c r="N635" s="21">
        <v>128479.39872</v>
      </c>
      <c r="O635" s="21">
        <f>(F635*8.33%)</f>
        <v>58243.419975999997</v>
      </c>
      <c r="P635" s="21">
        <f>IF((D635*233.456*3%)&gt;7004,7004,(D635*233.456*3%))</f>
        <v>7004</v>
      </c>
      <c r="Q635" s="21">
        <f t="shared" si="33"/>
        <v>1135354.0093040001</v>
      </c>
      <c r="R635" s="21">
        <v>804080.82799999998</v>
      </c>
    </row>
    <row r="636" spans="1:18" ht="15.75" thickBot="1" x14ac:dyDescent="0.3">
      <c r="A636" s="21" t="s">
        <v>127</v>
      </c>
      <c r="B636" s="22" t="s">
        <v>90</v>
      </c>
      <c r="C636" s="22" t="s">
        <v>92</v>
      </c>
      <c r="D636" s="22">
        <v>2820</v>
      </c>
      <c r="E636" s="22" t="s">
        <v>129</v>
      </c>
      <c r="F636" s="21">
        <f t="shared" si="31"/>
        <v>658345.91999999993</v>
      </c>
      <c r="G636" s="21">
        <f t="shared" si="32"/>
        <v>98751.887999999992</v>
      </c>
      <c r="H636" s="21">
        <v>90000</v>
      </c>
      <c r="I636" s="21">
        <v>20000</v>
      </c>
      <c r="J636" s="21">
        <v>15000</v>
      </c>
      <c r="K636" s="26">
        <v>400000</v>
      </c>
      <c r="L636" s="21">
        <f>SUM(F636:K636)</f>
        <v>1282097.808</v>
      </c>
      <c r="M636" s="21">
        <v>109746.264864</v>
      </c>
      <c r="N636" s="21">
        <v>118490.53967999999</v>
      </c>
      <c r="O636" s="21">
        <f>(F636*8.33%)</f>
        <v>54840.215135999992</v>
      </c>
      <c r="P636" s="21">
        <f>IF((D636*233.456*3%)&gt;7004,7004,(D636*233.456*3%))</f>
        <v>7004</v>
      </c>
      <c r="Q636" s="21">
        <f t="shared" si="33"/>
        <v>1101763.0531840001</v>
      </c>
      <c r="R636" s="21">
        <v>757097.80799999996</v>
      </c>
    </row>
    <row r="637" spans="1:18" ht="15.75" thickBot="1" x14ac:dyDescent="0.3">
      <c r="A637" s="21" t="s">
        <v>127</v>
      </c>
      <c r="B637" s="22" t="s">
        <v>90</v>
      </c>
      <c r="C637" s="22" t="s">
        <v>92</v>
      </c>
      <c r="D637" s="22">
        <v>2645</v>
      </c>
      <c r="E637" s="22" t="s">
        <v>130</v>
      </c>
      <c r="F637" s="21">
        <f t="shared" si="31"/>
        <v>617491.12</v>
      </c>
      <c r="G637" s="21">
        <f t="shared" si="32"/>
        <v>92623.667999999991</v>
      </c>
      <c r="H637" s="21">
        <v>90000</v>
      </c>
      <c r="I637" s="21">
        <v>20000</v>
      </c>
      <c r="J637" s="21">
        <v>15000</v>
      </c>
      <c r="K637" s="26">
        <v>400000</v>
      </c>
      <c r="L637" s="21">
        <f>SUM(F637:K637)</f>
        <v>1235114.7879999999</v>
      </c>
      <c r="M637" s="21">
        <v>102935.76970400001</v>
      </c>
      <c r="N637" s="21">
        <v>108624.10547999998</v>
      </c>
      <c r="O637" s="21">
        <f>(F637*8.33%)</f>
        <v>51437.010296</v>
      </c>
      <c r="P637" s="21">
        <f>IF((D637*233.456*3%)&gt;7004,7004,(D637*233.456*3%))</f>
        <v>7004</v>
      </c>
      <c r="Q637" s="21">
        <f t="shared" si="33"/>
        <v>1068049.6722239999</v>
      </c>
      <c r="R637" s="21">
        <v>710114.78799999994</v>
      </c>
    </row>
    <row r="638" spans="1:18" ht="15.75" thickBot="1" x14ac:dyDescent="0.3">
      <c r="A638" s="21" t="s">
        <v>127</v>
      </c>
      <c r="B638" s="22" t="s">
        <v>90</v>
      </c>
      <c r="C638" s="22" t="s">
        <v>93</v>
      </c>
      <c r="D638" s="22">
        <v>2475</v>
      </c>
      <c r="E638" s="22" t="s">
        <v>128</v>
      </c>
      <c r="F638" s="21">
        <f t="shared" si="31"/>
        <v>577803.6</v>
      </c>
      <c r="G638" s="21">
        <f t="shared" si="32"/>
        <v>86670.54</v>
      </c>
      <c r="H638" s="21">
        <v>90000</v>
      </c>
      <c r="I638" s="21">
        <v>20000</v>
      </c>
      <c r="J638" s="21">
        <v>15000</v>
      </c>
      <c r="K638" s="26">
        <v>350000</v>
      </c>
      <c r="L638" s="21">
        <f>SUM(F638:K638)</f>
        <v>1139474.1400000001</v>
      </c>
      <c r="M638" s="21">
        <v>96319.860119999998</v>
      </c>
      <c r="N638" s="21">
        <v>99039.569399999993</v>
      </c>
      <c r="O638" s="21">
        <f>(F638*8.33%)</f>
        <v>48131.039879999997</v>
      </c>
      <c r="P638" s="21">
        <f>IF((D638*233.456*3%)&gt;7004,7004,(D638*233.456*3%))</f>
        <v>7004</v>
      </c>
      <c r="Q638" s="21">
        <f t="shared" si="33"/>
        <v>985299.53072000016</v>
      </c>
      <c r="R638" s="21">
        <v>664474.14</v>
      </c>
    </row>
    <row r="639" spans="1:18" ht="15.75" thickBot="1" x14ac:dyDescent="0.3">
      <c r="A639" s="21" t="s">
        <v>127</v>
      </c>
      <c r="B639" s="22" t="s">
        <v>90</v>
      </c>
      <c r="C639" s="22" t="s">
        <v>93</v>
      </c>
      <c r="D639" s="22">
        <v>2305</v>
      </c>
      <c r="E639" s="22" t="s">
        <v>129</v>
      </c>
      <c r="F639" s="21">
        <f t="shared" si="31"/>
        <v>538116.07999999996</v>
      </c>
      <c r="G639" s="21">
        <f t="shared" si="32"/>
        <v>80717.411999999997</v>
      </c>
      <c r="H639" s="21">
        <v>90000</v>
      </c>
      <c r="I639" s="21">
        <v>20000</v>
      </c>
      <c r="J639" s="21">
        <v>15000</v>
      </c>
      <c r="K639" s="26">
        <v>350000</v>
      </c>
      <c r="L639" s="21">
        <f>SUM(F639:K639)</f>
        <v>1093833.4920000001</v>
      </c>
      <c r="M639" s="21">
        <v>89703.950536000004</v>
      </c>
      <c r="N639" s="21">
        <v>89455.033319999988</v>
      </c>
      <c r="O639" s="21">
        <f>(F639*8.33%)</f>
        <v>44825.069463999993</v>
      </c>
      <c r="P639" s="21">
        <f>IF((D639*233.456*3%)&gt;7004,7004,(D639*233.456*3%))</f>
        <v>7004</v>
      </c>
      <c r="Q639" s="21">
        <f t="shared" si="33"/>
        <v>952549.3892160001</v>
      </c>
      <c r="R639" s="21">
        <v>618833.49199999997</v>
      </c>
    </row>
    <row r="640" spans="1:18" ht="15.75" thickBot="1" x14ac:dyDescent="0.3">
      <c r="A640" s="21" t="s">
        <v>127</v>
      </c>
      <c r="B640" s="22" t="s">
        <v>90</v>
      </c>
      <c r="C640" s="22" t="s">
        <v>93</v>
      </c>
      <c r="D640" s="22">
        <v>2130</v>
      </c>
      <c r="E640" s="22" t="s">
        <v>130</v>
      </c>
      <c r="F640" s="21">
        <f t="shared" si="31"/>
        <v>497261.27999999997</v>
      </c>
      <c r="G640" s="21">
        <f t="shared" si="32"/>
        <v>74589.191999999995</v>
      </c>
      <c r="H640" s="21">
        <v>90000</v>
      </c>
      <c r="I640" s="21">
        <v>20000</v>
      </c>
      <c r="J640" s="21">
        <v>15000</v>
      </c>
      <c r="K640" s="26">
        <v>350000</v>
      </c>
      <c r="L640" s="21">
        <f>SUM(F640:K640)</f>
        <v>1046850.472</v>
      </c>
      <c r="M640" s="21">
        <v>82893.455375999998</v>
      </c>
      <c r="N640" s="21">
        <v>79588.599119999984</v>
      </c>
      <c r="O640" s="21">
        <f>(F640*8.33%)</f>
        <v>41421.864623999994</v>
      </c>
      <c r="P640" s="21">
        <f>IF((D640*233.456*3%)&gt;7004,7004,(D640*233.456*3%))</f>
        <v>7004</v>
      </c>
      <c r="Q640" s="21">
        <f t="shared" si="33"/>
        <v>918836.008256</v>
      </c>
      <c r="R640" s="21">
        <v>571850.47199999995</v>
      </c>
    </row>
    <row r="641" spans="1:18" ht="15.75" thickBot="1" x14ac:dyDescent="0.3">
      <c r="A641" s="21" t="s">
        <v>127</v>
      </c>
      <c r="B641" s="22" t="s">
        <v>90</v>
      </c>
      <c r="C641" s="22" t="s">
        <v>94</v>
      </c>
      <c r="D641" s="22">
        <v>1910</v>
      </c>
      <c r="E641" s="22" t="s">
        <v>128</v>
      </c>
      <c r="F641" s="21">
        <f t="shared" si="31"/>
        <v>445900.95999999996</v>
      </c>
      <c r="G641" s="21">
        <f t="shared" si="32"/>
        <v>66885.143999999986</v>
      </c>
      <c r="H641" s="21">
        <v>70000</v>
      </c>
      <c r="I641" s="21">
        <v>20000</v>
      </c>
      <c r="J641" s="21">
        <v>15000</v>
      </c>
      <c r="K641" s="26">
        <v>300000</v>
      </c>
      <c r="L641" s="21">
        <f>SUM(F641:K641)</f>
        <v>917786.10399999993</v>
      </c>
      <c r="M641" s="21">
        <v>74331.690031999999</v>
      </c>
      <c r="N641" s="21">
        <v>67185.081839999984</v>
      </c>
      <c r="O641" s="21">
        <f>(F641*8.33%)</f>
        <v>37143.549967999999</v>
      </c>
      <c r="P641" s="21">
        <f>IF((D641*233.456*3%)&gt;7004,7004,(D641*233.456*3%))</f>
        <v>7004</v>
      </c>
      <c r="Q641" s="21">
        <f t="shared" si="33"/>
        <v>806453.4721919999</v>
      </c>
      <c r="R641" s="21">
        <v>512786.10399999993</v>
      </c>
    </row>
    <row r="642" spans="1:18" ht="15.75" thickBot="1" x14ac:dyDescent="0.3">
      <c r="A642" s="21" t="s">
        <v>127</v>
      </c>
      <c r="B642" s="22" t="s">
        <v>90</v>
      </c>
      <c r="C642" s="22" t="s">
        <v>94</v>
      </c>
      <c r="D642" s="22">
        <v>1680</v>
      </c>
      <c r="E642" s="22" t="s">
        <v>129</v>
      </c>
      <c r="F642" s="21">
        <f t="shared" si="31"/>
        <v>392206.07999999996</v>
      </c>
      <c r="G642" s="21">
        <f t="shared" si="32"/>
        <v>58830.911999999989</v>
      </c>
      <c r="H642" s="21">
        <v>70000</v>
      </c>
      <c r="I642" s="21">
        <v>20000</v>
      </c>
      <c r="J642" s="21">
        <v>15000</v>
      </c>
      <c r="K642" s="26">
        <v>300000</v>
      </c>
      <c r="L642" s="21">
        <f>SUM(F642:K642)</f>
        <v>856036.99199999997</v>
      </c>
      <c r="M642" s="21">
        <v>65380.753535999997</v>
      </c>
      <c r="N642" s="21">
        <v>54217.768319999988</v>
      </c>
      <c r="O642" s="21">
        <f>(F642*8.33%)</f>
        <v>32670.766463999997</v>
      </c>
      <c r="P642" s="21">
        <f>IF((D642*233.456*3%)&gt;7004,7004,(D642*233.456*3%))</f>
        <v>7004</v>
      </c>
      <c r="Q642" s="21">
        <f t="shared" si="33"/>
        <v>762144.45721599995</v>
      </c>
      <c r="R642" s="21">
        <v>451036.99199999997</v>
      </c>
    </row>
    <row r="643" spans="1:18" ht="15.75" thickBot="1" x14ac:dyDescent="0.3">
      <c r="A643" s="21" t="s">
        <v>127</v>
      </c>
      <c r="B643" s="22" t="s">
        <v>90</v>
      </c>
      <c r="C643" s="22" t="s">
        <v>94</v>
      </c>
      <c r="D643" s="22">
        <v>1445</v>
      </c>
      <c r="E643" s="22" t="s">
        <v>130</v>
      </c>
      <c r="F643" s="21">
        <f t="shared" si="31"/>
        <v>337343.92</v>
      </c>
      <c r="G643" s="21">
        <f t="shared" si="32"/>
        <v>50601.587999999996</v>
      </c>
      <c r="H643" s="21">
        <v>70000</v>
      </c>
      <c r="I643" s="21">
        <v>20000</v>
      </c>
      <c r="J643" s="21">
        <v>15000</v>
      </c>
      <c r="K643" s="26">
        <v>300000</v>
      </c>
      <c r="L643" s="21">
        <f>SUM(F643:K643)</f>
        <v>792945.50799999991</v>
      </c>
      <c r="M643" s="21">
        <v>56235.231464000004</v>
      </c>
      <c r="N643" s="21">
        <v>40968.556679999994</v>
      </c>
      <c r="O643" s="21">
        <f>(F643*8.33%)</f>
        <v>28100.748535999999</v>
      </c>
      <c r="P643" s="21">
        <f>IF((D643*233.456*3%)&gt;7004,7004,(D643*233.456*3%))</f>
        <v>7004</v>
      </c>
      <c r="Q643" s="21">
        <f t="shared" si="33"/>
        <v>716872.20278399996</v>
      </c>
      <c r="R643" s="21">
        <v>387945.50799999997</v>
      </c>
    </row>
    <row r="644" spans="1:18" ht="15.75" thickBot="1" x14ac:dyDescent="0.3">
      <c r="A644" s="21" t="s">
        <v>131</v>
      </c>
      <c r="B644" s="22" t="s">
        <v>90</v>
      </c>
      <c r="C644" s="22" t="s">
        <v>91</v>
      </c>
      <c r="D644" s="22">
        <v>2350</v>
      </c>
      <c r="E644" s="22">
        <v>21</v>
      </c>
      <c r="F644" s="21">
        <f>D644*233.456</f>
        <v>548621.6</v>
      </c>
      <c r="G644" s="21">
        <f>F644*15%</f>
        <v>82293.239999999991</v>
      </c>
      <c r="H644" s="21">
        <v>110000</v>
      </c>
      <c r="I644" s="21">
        <v>15000</v>
      </c>
      <c r="J644" s="21">
        <v>15000</v>
      </c>
      <c r="K644" s="26">
        <v>200000</v>
      </c>
      <c r="L644" s="21">
        <f>SUM(F644:K644)</f>
        <v>970914.84</v>
      </c>
      <c r="M644" s="21">
        <v>91455.220719999998</v>
      </c>
      <c r="N644" s="21">
        <v>91992.116399999984</v>
      </c>
      <c r="O644" s="21">
        <v>45700.179279999997</v>
      </c>
      <c r="P644" s="21">
        <f>IF((D644*233.456*3%)&gt;7004,7004,(D644*233.456*3%))</f>
        <v>7004</v>
      </c>
      <c r="Q644" s="21">
        <f>L644-SUM(N644:P644)</f>
        <v>826218.54431999999</v>
      </c>
      <c r="R644" s="21">
        <v>630914.84</v>
      </c>
    </row>
    <row r="645" spans="1:18" ht="15.75" thickBot="1" x14ac:dyDescent="0.3">
      <c r="A645" s="21" t="s">
        <v>131</v>
      </c>
      <c r="B645" s="22" t="s">
        <v>90</v>
      </c>
      <c r="C645" s="22" t="s">
        <v>91</v>
      </c>
      <c r="D645" s="22">
        <v>2295</v>
      </c>
      <c r="E645" s="22">
        <v>33</v>
      </c>
      <c r="F645" s="21">
        <f t="shared" ref="F645:F708" si="34">D645*233.456</f>
        <v>535781.52</v>
      </c>
      <c r="G645" s="21">
        <f t="shared" ref="G645:G708" si="35">F645*15%</f>
        <v>80367.228000000003</v>
      </c>
      <c r="H645" s="21">
        <v>110000</v>
      </c>
      <c r="I645" s="21">
        <v>15000</v>
      </c>
      <c r="J645" s="21">
        <v>15000</v>
      </c>
      <c r="K645" s="26">
        <v>200000</v>
      </c>
      <c r="L645" s="21">
        <f>SUM(F645:K645)</f>
        <v>956148.74800000002</v>
      </c>
      <c r="M645" s="21">
        <v>89314.779384000009</v>
      </c>
      <c r="N645" s="21">
        <v>88891.237080000006</v>
      </c>
      <c r="O645" s="21">
        <v>44630.600616000003</v>
      </c>
      <c r="P645" s="21">
        <f>IF((D645*233.456*3%)&gt;7004,7004,(D645*233.456*3%))</f>
        <v>7004</v>
      </c>
      <c r="Q645" s="21">
        <f t="shared" ref="Q645:Q708" si="36">L645-SUM(N645:P645)</f>
        <v>815622.91030400002</v>
      </c>
      <c r="R645" s="21">
        <v>616148.74800000002</v>
      </c>
    </row>
    <row r="646" spans="1:18" ht="15.75" thickBot="1" x14ac:dyDescent="0.3">
      <c r="A646" s="21" t="s">
        <v>131</v>
      </c>
      <c r="B646" s="22" t="s">
        <v>90</v>
      </c>
      <c r="C646" s="22" t="s">
        <v>91</v>
      </c>
      <c r="D646" s="22">
        <v>2255</v>
      </c>
      <c r="E646" s="22">
        <v>32</v>
      </c>
      <c r="F646" s="21">
        <f t="shared" si="34"/>
        <v>526443.28</v>
      </c>
      <c r="G646" s="21">
        <f t="shared" si="35"/>
        <v>78966.491999999998</v>
      </c>
      <c r="H646" s="21">
        <v>110000</v>
      </c>
      <c r="I646" s="21">
        <v>15000</v>
      </c>
      <c r="J646" s="21">
        <v>15000</v>
      </c>
      <c r="K646" s="26">
        <v>200000</v>
      </c>
      <c r="L646" s="21">
        <f>SUM(F646:K646)</f>
        <v>945409.772</v>
      </c>
      <c r="M646" s="21">
        <v>87758.094776000013</v>
      </c>
      <c r="N646" s="21">
        <v>86636.052119999993</v>
      </c>
      <c r="O646" s="21">
        <v>43852.725224000002</v>
      </c>
      <c r="P646" s="21">
        <f>IF((D646*233.456*3%)&gt;7004,7004,(D646*233.456*3%))</f>
        <v>7004</v>
      </c>
      <c r="Q646" s="21">
        <f t="shared" si="36"/>
        <v>807916.99465600005</v>
      </c>
      <c r="R646" s="21">
        <v>605409.772</v>
      </c>
    </row>
    <row r="647" spans="1:18" ht="15.75" thickBot="1" x14ac:dyDescent="0.3">
      <c r="A647" s="21" t="s">
        <v>131</v>
      </c>
      <c r="B647" s="22" t="s">
        <v>90</v>
      </c>
      <c r="C647" s="22" t="s">
        <v>91</v>
      </c>
      <c r="D647" s="22">
        <v>2170</v>
      </c>
      <c r="E647" s="22">
        <v>31</v>
      </c>
      <c r="F647" s="21">
        <f t="shared" si="34"/>
        <v>506599.51999999996</v>
      </c>
      <c r="G647" s="21">
        <f t="shared" si="35"/>
        <v>75989.927999999985</v>
      </c>
      <c r="H647" s="21">
        <v>110000</v>
      </c>
      <c r="I647" s="21">
        <v>15000</v>
      </c>
      <c r="J647" s="21">
        <v>15000</v>
      </c>
      <c r="K647" s="26">
        <v>200000</v>
      </c>
      <c r="L647" s="21">
        <f>SUM(F647:K647)</f>
        <v>922589.44799999997</v>
      </c>
      <c r="M647" s="21">
        <v>84450.139983999994</v>
      </c>
      <c r="N647" s="21">
        <v>81843.784079999998</v>
      </c>
      <c r="O647" s="21">
        <v>42199.740015999996</v>
      </c>
      <c r="P647" s="21">
        <f>IF((D647*233.456*3%)&gt;7004,7004,(D647*233.456*3%))</f>
        <v>7004</v>
      </c>
      <c r="Q647" s="21">
        <f t="shared" si="36"/>
        <v>791541.92390399997</v>
      </c>
      <c r="R647" s="21">
        <v>582589.44799999997</v>
      </c>
    </row>
    <row r="648" spans="1:18" ht="15.75" thickBot="1" x14ac:dyDescent="0.3">
      <c r="A648" s="21" t="s">
        <v>131</v>
      </c>
      <c r="B648" s="22" t="s">
        <v>90</v>
      </c>
      <c r="C648" s="22" t="s">
        <v>91</v>
      </c>
      <c r="D648" s="22">
        <v>2135</v>
      </c>
      <c r="E648" s="22">
        <v>44</v>
      </c>
      <c r="F648" s="21">
        <f t="shared" si="34"/>
        <v>498428.56</v>
      </c>
      <c r="G648" s="21">
        <f t="shared" si="35"/>
        <v>74764.284</v>
      </c>
      <c r="H648" s="21">
        <v>110000</v>
      </c>
      <c r="I648" s="21">
        <v>15000</v>
      </c>
      <c r="J648" s="21">
        <v>15000</v>
      </c>
      <c r="K648" s="26">
        <v>200000</v>
      </c>
      <c r="L648" s="21">
        <f>SUM(F648:K648)</f>
        <v>913192.84400000004</v>
      </c>
      <c r="M648" s="21">
        <v>83088.04095200001</v>
      </c>
      <c r="N648" s="21">
        <v>79870.497240000012</v>
      </c>
      <c r="O648" s="21">
        <v>41519.099047999996</v>
      </c>
      <c r="P648" s="21">
        <f>IF((D648*233.456*3%)&gt;7004,7004,(D648*233.456*3%))</f>
        <v>7004</v>
      </c>
      <c r="Q648" s="21">
        <f t="shared" si="36"/>
        <v>784799.24771200004</v>
      </c>
      <c r="R648" s="21">
        <v>573192.84400000004</v>
      </c>
    </row>
    <row r="649" spans="1:18" ht="15.75" thickBot="1" x14ac:dyDescent="0.3">
      <c r="A649" s="21" t="s">
        <v>131</v>
      </c>
      <c r="B649" s="22" t="s">
        <v>90</v>
      </c>
      <c r="C649" s="22" t="s">
        <v>91</v>
      </c>
      <c r="D649" s="22">
        <v>2090</v>
      </c>
      <c r="E649" s="22">
        <v>43</v>
      </c>
      <c r="F649" s="21">
        <f t="shared" si="34"/>
        <v>487923.04</v>
      </c>
      <c r="G649" s="21">
        <f t="shared" si="35"/>
        <v>73188.455999999991</v>
      </c>
      <c r="H649" s="21">
        <v>110000</v>
      </c>
      <c r="I649" s="21">
        <v>15000</v>
      </c>
      <c r="J649" s="21">
        <v>15000</v>
      </c>
      <c r="K649" s="26">
        <v>200000</v>
      </c>
      <c r="L649" s="21">
        <f>SUM(F649:K649)</f>
        <v>901111.49599999993</v>
      </c>
      <c r="M649" s="21">
        <v>81336.770768000002</v>
      </c>
      <c r="N649" s="21">
        <v>77333.414159999986</v>
      </c>
      <c r="O649" s="21">
        <v>40643.989232</v>
      </c>
      <c r="P649" s="21">
        <f>IF((D649*233.456*3%)&gt;7004,7004,(D649*233.456*3%))</f>
        <v>7004</v>
      </c>
      <c r="Q649" s="21">
        <f t="shared" si="36"/>
        <v>776130.09260799992</v>
      </c>
      <c r="R649" s="21">
        <v>561111.49599999993</v>
      </c>
    </row>
    <row r="650" spans="1:18" ht="15.75" thickBot="1" x14ac:dyDescent="0.3">
      <c r="A650" s="21" t="s">
        <v>131</v>
      </c>
      <c r="B650" s="22" t="s">
        <v>90</v>
      </c>
      <c r="C650" s="22" t="s">
        <v>91</v>
      </c>
      <c r="D650" s="22">
        <v>2015</v>
      </c>
      <c r="E650" s="22">
        <v>42</v>
      </c>
      <c r="F650" s="21">
        <f t="shared" si="34"/>
        <v>470413.83999999997</v>
      </c>
      <c r="G650" s="21">
        <f t="shared" si="35"/>
        <v>70562.075999999986</v>
      </c>
      <c r="H650" s="21">
        <v>110000</v>
      </c>
      <c r="I650" s="21">
        <v>15000</v>
      </c>
      <c r="J650" s="21">
        <v>15000</v>
      </c>
      <c r="K650" s="26">
        <v>200000</v>
      </c>
      <c r="L650" s="21">
        <f>SUM(F650:K650)</f>
        <v>880975.91599999997</v>
      </c>
      <c r="M650" s="21">
        <v>78417.987128000008</v>
      </c>
      <c r="N650" s="21">
        <v>73104.942359999986</v>
      </c>
      <c r="O650" s="21">
        <v>39185.472871999998</v>
      </c>
      <c r="P650" s="21">
        <f>IF((D650*233.456*3%)&gt;7004,7004,(D650*233.456*3%))</f>
        <v>7004</v>
      </c>
      <c r="Q650" s="21">
        <f t="shared" si="36"/>
        <v>761681.50076800003</v>
      </c>
      <c r="R650" s="21">
        <v>540975.91599999997</v>
      </c>
    </row>
    <row r="651" spans="1:18" ht="15.75" thickBot="1" x14ac:dyDescent="0.3">
      <c r="A651" s="21" t="s">
        <v>131</v>
      </c>
      <c r="B651" s="22" t="s">
        <v>90</v>
      </c>
      <c r="C651" s="22" t="s">
        <v>91</v>
      </c>
      <c r="D651" s="22">
        <v>1960</v>
      </c>
      <c r="E651" s="22">
        <v>41</v>
      </c>
      <c r="F651" s="21">
        <f t="shared" si="34"/>
        <v>457573.75999999995</v>
      </c>
      <c r="G651" s="21">
        <f t="shared" si="35"/>
        <v>68636.063999999984</v>
      </c>
      <c r="H651" s="21">
        <v>110000</v>
      </c>
      <c r="I651" s="21">
        <v>15000</v>
      </c>
      <c r="J651" s="21">
        <v>15000</v>
      </c>
      <c r="K651" s="26">
        <v>200000</v>
      </c>
      <c r="L651" s="21">
        <f>SUM(F651:K651)</f>
        <v>866209.82399999991</v>
      </c>
      <c r="M651" s="21">
        <v>76277.545792000004</v>
      </c>
      <c r="N651" s="21">
        <v>70004.063039999979</v>
      </c>
      <c r="O651" s="21">
        <v>38115.894207999998</v>
      </c>
      <c r="P651" s="21">
        <f>IF((D651*233.456*3%)&gt;7004,7004,(D651*233.456*3%))</f>
        <v>7004</v>
      </c>
      <c r="Q651" s="21">
        <f t="shared" si="36"/>
        <v>751085.86675199994</v>
      </c>
      <c r="R651" s="21">
        <v>526209.82399999991</v>
      </c>
    </row>
    <row r="652" spans="1:18" ht="15.75" thickBot="1" x14ac:dyDescent="0.3">
      <c r="A652" s="21" t="s">
        <v>131</v>
      </c>
      <c r="B652" s="22" t="s">
        <v>90</v>
      </c>
      <c r="C652" s="22" t="s">
        <v>92</v>
      </c>
      <c r="D652" s="22">
        <v>2145</v>
      </c>
      <c r="E652" s="22">
        <v>13</v>
      </c>
      <c r="F652" s="21">
        <f t="shared" si="34"/>
        <v>500763.12</v>
      </c>
      <c r="G652" s="21">
        <f t="shared" si="35"/>
        <v>75114.467999999993</v>
      </c>
      <c r="H652" s="21">
        <v>110000</v>
      </c>
      <c r="I652" s="21">
        <v>15000</v>
      </c>
      <c r="J652" s="21">
        <v>15000</v>
      </c>
      <c r="K652" s="26">
        <v>200000</v>
      </c>
      <c r="L652" s="21">
        <f>SUM(F652:K652)</f>
        <v>915877.58799999999</v>
      </c>
      <c r="M652" s="21">
        <v>83477.212104000006</v>
      </c>
      <c r="N652" s="21">
        <v>80434.293479999993</v>
      </c>
      <c r="O652" s="21">
        <v>41713.567896</v>
      </c>
      <c r="P652" s="21">
        <f>IF((D652*233.456*3%)&gt;7004,7004,(D652*233.456*3%))</f>
        <v>7004</v>
      </c>
      <c r="Q652" s="21">
        <f t="shared" si="36"/>
        <v>786725.726624</v>
      </c>
      <c r="R652" s="21">
        <v>575877.58799999999</v>
      </c>
    </row>
    <row r="653" spans="1:18" ht="15.75" thickBot="1" x14ac:dyDescent="0.3">
      <c r="A653" s="21" t="s">
        <v>131</v>
      </c>
      <c r="B653" s="22" t="s">
        <v>90</v>
      </c>
      <c r="C653" s="22" t="s">
        <v>92</v>
      </c>
      <c r="D653" s="22">
        <v>2130</v>
      </c>
      <c r="E653" s="22">
        <v>12</v>
      </c>
      <c r="F653" s="21">
        <f t="shared" si="34"/>
        <v>497261.27999999997</v>
      </c>
      <c r="G653" s="21">
        <f t="shared" si="35"/>
        <v>74589.191999999995</v>
      </c>
      <c r="H653" s="21">
        <v>110000</v>
      </c>
      <c r="I653" s="21">
        <v>15000</v>
      </c>
      <c r="J653" s="21">
        <v>15000</v>
      </c>
      <c r="K653" s="26">
        <v>200000</v>
      </c>
      <c r="L653" s="21">
        <f>SUM(F653:K653)</f>
        <v>911850.47199999995</v>
      </c>
      <c r="M653" s="21">
        <v>82893.455375999998</v>
      </c>
      <c r="N653" s="21">
        <v>79588.599119999984</v>
      </c>
      <c r="O653" s="21">
        <v>41421.864623999994</v>
      </c>
      <c r="P653" s="21">
        <f>IF((D653*233.456*3%)&gt;7004,7004,(D653*233.456*3%))</f>
        <v>7004</v>
      </c>
      <c r="Q653" s="21">
        <f t="shared" si="36"/>
        <v>783836.008256</v>
      </c>
      <c r="R653" s="21">
        <v>571850.47199999995</v>
      </c>
    </row>
    <row r="654" spans="1:18" ht="15.75" thickBot="1" x14ac:dyDescent="0.3">
      <c r="A654" s="21" t="s">
        <v>131</v>
      </c>
      <c r="B654" s="22" t="s">
        <v>90</v>
      </c>
      <c r="C654" s="22" t="s">
        <v>92</v>
      </c>
      <c r="D654" s="22">
        <v>2055</v>
      </c>
      <c r="E654" s="22">
        <v>11</v>
      </c>
      <c r="F654" s="21">
        <f t="shared" si="34"/>
        <v>479752.07999999996</v>
      </c>
      <c r="G654" s="21">
        <f t="shared" si="35"/>
        <v>71962.811999999991</v>
      </c>
      <c r="H654" s="21">
        <v>110000</v>
      </c>
      <c r="I654" s="21">
        <v>15000</v>
      </c>
      <c r="J654" s="21">
        <v>15000</v>
      </c>
      <c r="K654" s="26">
        <v>200000</v>
      </c>
      <c r="L654" s="21">
        <f>SUM(F654:K654)</f>
        <v>891714.89199999999</v>
      </c>
      <c r="M654" s="21">
        <v>79974.671736000004</v>
      </c>
      <c r="N654" s="21">
        <v>75360.12732</v>
      </c>
      <c r="O654" s="21">
        <v>39963.348263999993</v>
      </c>
      <c r="P654" s="21">
        <f>IF((D654*233.456*3%)&gt;7004,7004,(D654*233.456*3%))</f>
        <v>7004</v>
      </c>
      <c r="Q654" s="21">
        <f t="shared" si="36"/>
        <v>769387.41641599999</v>
      </c>
      <c r="R654" s="21">
        <v>551714.89199999999</v>
      </c>
    </row>
    <row r="655" spans="1:18" ht="15.75" thickBot="1" x14ac:dyDescent="0.3">
      <c r="A655" s="21" t="s">
        <v>131</v>
      </c>
      <c r="B655" s="22" t="s">
        <v>90</v>
      </c>
      <c r="C655" s="22" t="s">
        <v>92</v>
      </c>
      <c r="D655" s="22">
        <v>1980</v>
      </c>
      <c r="E655" s="22">
        <v>23</v>
      </c>
      <c r="F655" s="21">
        <f t="shared" si="34"/>
        <v>462242.88</v>
      </c>
      <c r="G655" s="21">
        <f t="shared" si="35"/>
        <v>69336.432000000001</v>
      </c>
      <c r="H655" s="21">
        <v>110000</v>
      </c>
      <c r="I655" s="21">
        <v>15000</v>
      </c>
      <c r="J655" s="21">
        <v>15000</v>
      </c>
      <c r="K655" s="26">
        <v>200000</v>
      </c>
      <c r="L655" s="21">
        <f>SUM(F655:K655)</f>
        <v>871579.31200000003</v>
      </c>
      <c r="M655" s="21">
        <v>77055.88809600001</v>
      </c>
      <c r="N655" s="21">
        <v>71131.65552</v>
      </c>
      <c r="O655" s="21">
        <v>38504.831903999999</v>
      </c>
      <c r="P655" s="21">
        <f>IF((D655*233.456*3%)&gt;7004,7004,(D655*233.456*3%))</f>
        <v>7004</v>
      </c>
      <c r="Q655" s="21">
        <f t="shared" si="36"/>
        <v>754938.82457599998</v>
      </c>
      <c r="R655" s="21">
        <v>531579.31200000003</v>
      </c>
    </row>
    <row r="656" spans="1:18" ht="15.75" thickBot="1" x14ac:dyDescent="0.3">
      <c r="A656" s="21" t="s">
        <v>131</v>
      </c>
      <c r="B656" s="22" t="s">
        <v>90</v>
      </c>
      <c r="C656" s="22" t="s">
        <v>92</v>
      </c>
      <c r="D656" s="22">
        <v>1955</v>
      </c>
      <c r="E656" s="22">
        <v>22</v>
      </c>
      <c r="F656" s="21">
        <f t="shared" si="34"/>
        <v>456406.48</v>
      </c>
      <c r="G656" s="21">
        <f t="shared" si="35"/>
        <v>68460.971999999994</v>
      </c>
      <c r="H656" s="21">
        <v>110000</v>
      </c>
      <c r="I656" s="21">
        <v>15000</v>
      </c>
      <c r="J656" s="21">
        <v>15000</v>
      </c>
      <c r="K656" s="26">
        <v>200000</v>
      </c>
      <c r="L656" s="21">
        <f>SUM(F656:K656)</f>
        <v>864867.45199999993</v>
      </c>
      <c r="M656" s="21">
        <v>76082.960216000007</v>
      </c>
      <c r="N656" s="21">
        <v>69722.164919999981</v>
      </c>
      <c r="O656" s="21">
        <v>38018.659783999996</v>
      </c>
      <c r="P656" s="21">
        <f>IF((D656*233.456*3%)&gt;7004,7004,(D656*233.456*3%))</f>
        <v>7004</v>
      </c>
      <c r="Q656" s="21">
        <f t="shared" si="36"/>
        <v>750122.62729600002</v>
      </c>
      <c r="R656" s="21">
        <v>524867.45199999993</v>
      </c>
    </row>
    <row r="657" spans="1:18" ht="15.75" thickBot="1" x14ac:dyDescent="0.3">
      <c r="A657" s="21" t="s">
        <v>131</v>
      </c>
      <c r="B657" s="22" t="s">
        <v>90</v>
      </c>
      <c r="C657" s="22" t="s">
        <v>92</v>
      </c>
      <c r="D657" s="22">
        <v>1880</v>
      </c>
      <c r="E657" s="22">
        <v>21</v>
      </c>
      <c r="F657" s="21">
        <f t="shared" si="34"/>
        <v>438897.27999999997</v>
      </c>
      <c r="G657" s="21">
        <f t="shared" si="35"/>
        <v>65834.59199999999</v>
      </c>
      <c r="H657" s="21">
        <v>110000</v>
      </c>
      <c r="I657" s="21">
        <v>15000</v>
      </c>
      <c r="J657" s="21">
        <v>15000</v>
      </c>
      <c r="K657" s="26">
        <v>200000</v>
      </c>
      <c r="L657" s="21">
        <f>SUM(F657:K657)</f>
        <v>844731.87199999997</v>
      </c>
      <c r="M657" s="21">
        <v>73164.176575999998</v>
      </c>
      <c r="N657" s="21">
        <v>65493.693119999982</v>
      </c>
      <c r="O657" s="21">
        <v>36560.143423999994</v>
      </c>
      <c r="P657" s="21">
        <f>IF((D657*233.456*3%)&gt;7004,7004,(D657*233.456*3%))</f>
        <v>7004</v>
      </c>
      <c r="Q657" s="21">
        <f t="shared" si="36"/>
        <v>735674.03545600001</v>
      </c>
      <c r="R657" s="21">
        <v>504731.87199999997</v>
      </c>
    </row>
    <row r="658" spans="1:18" ht="15.75" thickBot="1" x14ac:dyDescent="0.3">
      <c r="A658" s="21" t="s">
        <v>131</v>
      </c>
      <c r="B658" s="22" t="s">
        <v>90</v>
      </c>
      <c r="C658" s="22" t="s">
        <v>92</v>
      </c>
      <c r="D658" s="22">
        <v>1765</v>
      </c>
      <c r="E658" s="22">
        <v>33</v>
      </c>
      <c r="F658" s="21">
        <f t="shared" si="34"/>
        <v>412049.83999999997</v>
      </c>
      <c r="G658" s="21">
        <f t="shared" si="35"/>
        <v>61807.475999999995</v>
      </c>
      <c r="H658" s="21">
        <v>110000</v>
      </c>
      <c r="I658" s="21">
        <v>15000</v>
      </c>
      <c r="J658" s="21">
        <v>15000</v>
      </c>
      <c r="K658" s="26">
        <v>200000</v>
      </c>
      <c r="L658" s="21">
        <f>SUM(F658:K658)</f>
        <v>813857.31599999999</v>
      </c>
      <c r="M658" s="21">
        <v>68688.708328000008</v>
      </c>
      <c r="N658" s="21">
        <v>59010.036359999998</v>
      </c>
      <c r="O658" s="21">
        <v>34323.751671999999</v>
      </c>
      <c r="P658" s="21">
        <f>IF((D658*233.456*3%)&gt;7004,7004,(D658*233.456*3%))</f>
        <v>7004</v>
      </c>
      <c r="Q658" s="21">
        <f t="shared" si="36"/>
        <v>713519.52796800004</v>
      </c>
      <c r="R658" s="21">
        <v>473857.31599999999</v>
      </c>
    </row>
    <row r="659" spans="1:18" ht="15.75" thickBot="1" x14ac:dyDescent="0.3">
      <c r="A659" s="21" t="s">
        <v>131</v>
      </c>
      <c r="B659" s="22" t="s">
        <v>90</v>
      </c>
      <c r="C659" s="22" t="s">
        <v>92</v>
      </c>
      <c r="D659" s="22">
        <v>1655</v>
      </c>
      <c r="E659" s="22">
        <v>32</v>
      </c>
      <c r="F659" s="21">
        <f t="shared" si="34"/>
        <v>386369.68</v>
      </c>
      <c r="G659" s="21">
        <f t="shared" si="35"/>
        <v>57955.451999999997</v>
      </c>
      <c r="H659" s="21">
        <v>110000</v>
      </c>
      <c r="I659" s="21">
        <v>15000</v>
      </c>
      <c r="J659" s="21">
        <v>15000</v>
      </c>
      <c r="K659" s="26">
        <v>200000</v>
      </c>
      <c r="L659" s="21">
        <f>SUM(F659:K659)</f>
        <v>784325.13199999998</v>
      </c>
      <c r="M659" s="21">
        <v>64407.825656000008</v>
      </c>
      <c r="N659" s="21">
        <v>52808.277719999998</v>
      </c>
      <c r="O659" s="21">
        <v>32184.594343999997</v>
      </c>
      <c r="P659" s="21">
        <f>IF((D659*233.456*3%)&gt;7004,7004,(D659*233.456*3%))</f>
        <v>7004</v>
      </c>
      <c r="Q659" s="21">
        <f t="shared" si="36"/>
        <v>692328.25993599999</v>
      </c>
      <c r="R659" s="21">
        <v>444325.13199999998</v>
      </c>
    </row>
    <row r="660" spans="1:18" ht="15.75" thickBot="1" x14ac:dyDescent="0.3">
      <c r="A660" s="21" t="s">
        <v>131</v>
      </c>
      <c r="B660" s="22" t="s">
        <v>90</v>
      </c>
      <c r="C660" s="22" t="s">
        <v>92</v>
      </c>
      <c r="D660" s="22">
        <v>1580</v>
      </c>
      <c r="E660" s="22">
        <v>31</v>
      </c>
      <c r="F660" s="21">
        <f t="shared" si="34"/>
        <v>368860.48</v>
      </c>
      <c r="G660" s="21">
        <f t="shared" si="35"/>
        <v>55329.071999999993</v>
      </c>
      <c r="H660" s="21">
        <v>110000</v>
      </c>
      <c r="I660" s="21">
        <v>15000</v>
      </c>
      <c r="J660" s="21">
        <v>15000</v>
      </c>
      <c r="K660" s="26">
        <v>200000</v>
      </c>
      <c r="L660" s="21">
        <f>SUM(F660:K660)</f>
        <v>764189.55199999991</v>
      </c>
      <c r="M660" s="21">
        <v>61489.042015999999</v>
      </c>
      <c r="N660" s="21">
        <v>48579.805919999992</v>
      </c>
      <c r="O660" s="21">
        <v>30726.077984</v>
      </c>
      <c r="P660" s="21">
        <f>IF((D660*233.456*3%)&gt;7004,7004,(D660*233.456*3%))</f>
        <v>7004</v>
      </c>
      <c r="Q660" s="21">
        <f t="shared" si="36"/>
        <v>677879.66809599986</v>
      </c>
      <c r="R660" s="21">
        <v>424189.55199999997</v>
      </c>
    </row>
    <row r="661" spans="1:18" ht="15.75" thickBot="1" x14ac:dyDescent="0.3">
      <c r="A661" s="21" t="s">
        <v>131</v>
      </c>
      <c r="B661" s="22" t="s">
        <v>90</v>
      </c>
      <c r="C661" s="22" t="s">
        <v>92</v>
      </c>
      <c r="D661" s="22">
        <v>1485</v>
      </c>
      <c r="E661" s="22">
        <v>44</v>
      </c>
      <c r="F661" s="21">
        <f t="shared" si="34"/>
        <v>346682.16</v>
      </c>
      <c r="G661" s="21">
        <f t="shared" si="35"/>
        <v>52002.323999999993</v>
      </c>
      <c r="H661" s="21">
        <v>110000</v>
      </c>
      <c r="I661" s="21">
        <v>15000</v>
      </c>
      <c r="J661" s="21">
        <v>15000</v>
      </c>
      <c r="K661" s="26">
        <v>200000</v>
      </c>
      <c r="L661" s="21">
        <f>SUM(F661:K661)</f>
        <v>738684.48399999994</v>
      </c>
      <c r="M661" s="21">
        <v>57791.916072</v>
      </c>
      <c r="N661" s="21">
        <v>43223.741639999986</v>
      </c>
      <c r="O661" s="21">
        <v>28878.623927999997</v>
      </c>
      <c r="P661" s="21">
        <f>IF((D661*233.456*3%)&gt;7004,7004,(D661*233.456*3%))</f>
        <v>7004</v>
      </c>
      <c r="Q661" s="21">
        <f t="shared" si="36"/>
        <v>659578.11843199993</v>
      </c>
      <c r="R661" s="21">
        <v>398684.48399999994</v>
      </c>
    </row>
    <row r="662" spans="1:18" ht="15.75" thickBot="1" x14ac:dyDescent="0.3">
      <c r="A662" s="21" t="s">
        <v>131</v>
      </c>
      <c r="B662" s="22" t="s">
        <v>90</v>
      </c>
      <c r="C662" s="22" t="s">
        <v>92</v>
      </c>
      <c r="D662" s="22">
        <v>1410</v>
      </c>
      <c r="E662" s="22">
        <v>43</v>
      </c>
      <c r="F662" s="21">
        <f t="shared" si="34"/>
        <v>329172.95999999996</v>
      </c>
      <c r="G662" s="21">
        <f t="shared" si="35"/>
        <v>49375.943999999996</v>
      </c>
      <c r="H662" s="21">
        <v>110000</v>
      </c>
      <c r="I662" s="21">
        <v>15000</v>
      </c>
      <c r="J662" s="21">
        <v>15000</v>
      </c>
      <c r="K662" s="26">
        <v>200000</v>
      </c>
      <c r="L662" s="21">
        <f>SUM(F662:K662)</f>
        <v>718548.90399999998</v>
      </c>
      <c r="M662" s="21">
        <v>54873.132431999999</v>
      </c>
      <c r="N662" s="21">
        <v>38995.269839999994</v>
      </c>
      <c r="O662" s="21">
        <v>27420.107567999996</v>
      </c>
      <c r="P662" s="21">
        <f>IF((D662*233.456*3%)&gt;7004,7004,(D662*233.456*3%))</f>
        <v>7004</v>
      </c>
      <c r="Q662" s="21">
        <f t="shared" si="36"/>
        <v>645129.52659200004</v>
      </c>
      <c r="R662" s="21">
        <v>378548.90399999998</v>
      </c>
    </row>
    <row r="663" spans="1:18" ht="15.75" thickBot="1" x14ac:dyDescent="0.3">
      <c r="A663" s="21" t="s">
        <v>131</v>
      </c>
      <c r="B663" s="22" t="s">
        <v>90</v>
      </c>
      <c r="C663" s="22" t="s">
        <v>92</v>
      </c>
      <c r="D663" s="22">
        <v>1360</v>
      </c>
      <c r="E663" s="22">
        <v>42</v>
      </c>
      <c r="F663" s="21">
        <f t="shared" si="34"/>
        <v>317500.15999999997</v>
      </c>
      <c r="G663" s="21">
        <f t="shared" si="35"/>
        <v>47625.023999999998</v>
      </c>
      <c r="H663" s="21">
        <v>110000</v>
      </c>
      <c r="I663" s="21">
        <v>15000</v>
      </c>
      <c r="J663" s="21">
        <v>15000</v>
      </c>
      <c r="K663" s="26">
        <v>200000</v>
      </c>
      <c r="L663" s="21">
        <f>SUM(F663:K663)</f>
        <v>705125.18399999989</v>
      </c>
      <c r="M663" s="21">
        <v>52927.276672</v>
      </c>
      <c r="N663" s="21">
        <v>36176.288639999984</v>
      </c>
      <c r="O663" s="21">
        <v>26447.763327999997</v>
      </c>
      <c r="P663" s="21">
        <f>IF((D663*233.456*3%)&gt;7004,7004,(D663*233.456*3%))</f>
        <v>7004</v>
      </c>
      <c r="Q663" s="21">
        <f t="shared" si="36"/>
        <v>635497.13203199988</v>
      </c>
      <c r="R663" s="21">
        <v>365125.18399999995</v>
      </c>
    </row>
    <row r="664" spans="1:18" ht="15.75" thickBot="1" x14ac:dyDescent="0.3">
      <c r="A664" s="21" t="s">
        <v>131</v>
      </c>
      <c r="B664" s="22" t="s">
        <v>90</v>
      </c>
      <c r="C664" s="22" t="s">
        <v>92</v>
      </c>
      <c r="D664" s="22">
        <v>1315</v>
      </c>
      <c r="E664" s="22">
        <v>41</v>
      </c>
      <c r="F664" s="21">
        <f t="shared" si="34"/>
        <v>306994.64</v>
      </c>
      <c r="G664" s="21">
        <f t="shared" si="35"/>
        <v>46049.196000000004</v>
      </c>
      <c r="H664" s="21">
        <v>110000</v>
      </c>
      <c r="I664" s="21">
        <v>15000</v>
      </c>
      <c r="J664" s="21">
        <v>15000</v>
      </c>
      <c r="K664" s="26">
        <v>200000</v>
      </c>
      <c r="L664" s="21">
        <f>SUM(F664:K664)</f>
        <v>693043.83600000001</v>
      </c>
      <c r="M664" s="21">
        <v>51176.006488000006</v>
      </c>
      <c r="N664" s="21">
        <v>33639.205560000002</v>
      </c>
      <c r="O664" s="21">
        <v>25572.653512000001</v>
      </c>
      <c r="P664" s="21">
        <f>IF((D664*233.456*3%)&gt;7004,7004,(D664*233.456*3%))</f>
        <v>7004</v>
      </c>
      <c r="Q664" s="21">
        <f t="shared" si="36"/>
        <v>626827.97692799999</v>
      </c>
      <c r="R664" s="21">
        <v>353043.83600000001</v>
      </c>
    </row>
    <row r="665" spans="1:18" ht="15.75" thickBot="1" x14ac:dyDescent="0.3">
      <c r="A665" s="21" t="s">
        <v>131</v>
      </c>
      <c r="B665" s="22" t="s">
        <v>90</v>
      </c>
      <c r="C665" s="22" t="s">
        <v>93</v>
      </c>
      <c r="D665" s="22">
        <v>2115</v>
      </c>
      <c r="E665" s="22">
        <v>13</v>
      </c>
      <c r="F665" s="21">
        <f t="shared" si="34"/>
        <v>493759.44</v>
      </c>
      <c r="G665" s="21">
        <f t="shared" si="35"/>
        <v>74063.915999999997</v>
      </c>
      <c r="H665" s="21">
        <v>110000</v>
      </c>
      <c r="I665" s="21">
        <v>15000</v>
      </c>
      <c r="J665" s="21">
        <v>15000</v>
      </c>
      <c r="K665" s="26">
        <v>200000</v>
      </c>
      <c r="L665" s="21">
        <f>SUM(F665:K665)</f>
        <v>907823.35600000003</v>
      </c>
      <c r="M665" s="21">
        <v>82309.698648000005</v>
      </c>
      <c r="N665" s="21">
        <v>78742.904760000005</v>
      </c>
      <c r="O665" s="21">
        <v>41130.161352000003</v>
      </c>
      <c r="P665" s="21">
        <f>IF((D665*233.456*3%)&gt;7004,7004,(D665*233.456*3%))</f>
        <v>7004</v>
      </c>
      <c r="Q665" s="21">
        <f t="shared" si="36"/>
        <v>780946.289888</v>
      </c>
      <c r="R665" s="21">
        <v>567823.35600000003</v>
      </c>
    </row>
    <row r="666" spans="1:18" ht="15.75" thickBot="1" x14ac:dyDescent="0.3">
      <c r="A666" s="21" t="s">
        <v>131</v>
      </c>
      <c r="B666" s="22" t="s">
        <v>90</v>
      </c>
      <c r="C666" s="22" t="s">
        <v>93</v>
      </c>
      <c r="D666" s="22">
        <v>2105</v>
      </c>
      <c r="E666" s="22">
        <v>12</v>
      </c>
      <c r="F666" s="21">
        <f t="shared" si="34"/>
        <v>491424.88</v>
      </c>
      <c r="G666" s="21">
        <f t="shared" si="35"/>
        <v>73713.732000000004</v>
      </c>
      <c r="H666" s="21">
        <v>110000</v>
      </c>
      <c r="I666" s="21">
        <v>15000</v>
      </c>
      <c r="J666" s="21">
        <v>15000</v>
      </c>
      <c r="K666" s="26">
        <v>200000</v>
      </c>
      <c r="L666" s="21">
        <f>SUM(F666:K666)</f>
        <v>905138.61199999996</v>
      </c>
      <c r="M666" s="21">
        <v>81920.52749600001</v>
      </c>
      <c r="N666" s="21">
        <v>78179.108519999994</v>
      </c>
      <c r="O666" s="21">
        <v>40935.692503999999</v>
      </c>
      <c r="P666" s="21">
        <f>IF((D666*233.456*3%)&gt;7004,7004,(D666*233.456*3%))</f>
        <v>7004</v>
      </c>
      <c r="Q666" s="21">
        <f t="shared" si="36"/>
        <v>779019.81097600004</v>
      </c>
      <c r="R666" s="21">
        <v>565138.61199999996</v>
      </c>
    </row>
    <row r="667" spans="1:18" ht="15.75" thickBot="1" x14ac:dyDescent="0.3">
      <c r="A667" s="21" t="s">
        <v>131</v>
      </c>
      <c r="B667" s="22" t="s">
        <v>90</v>
      </c>
      <c r="C667" s="22" t="s">
        <v>93</v>
      </c>
      <c r="D667" s="22">
        <v>2040</v>
      </c>
      <c r="E667" s="22">
        <v>11</v>
      </c>
      <c r="F667" s="21">
        <f t="shared" si="34"/>
        <v>476250.24</v>
      </c>
      <c r="G667" s="21">
        <f t="shared" si="35"/>
        <v>71437.535999999993</v>
      </c>
      <c r="H667" s="21">
        <v>110000</v>
      </c>
      <c r="I667" s="21">
        <v>15000</v>
      </c>
      <c r="J667" s="21">
        <v>15000</v>
      </c>
      <c r="K667" s="26">
        <v>200000</v>
      </c>
      <c r="L667" s="21">
        <f>SUM(F667:K667)</f>
        <v>887687.77599999995</v>
      </c>
      <c r="M667" s="21">
        <v>79390.915008000011</v>
      </c>
      <c r="N667" s="21">
        <v>74514.432959999991</v>
      </c>
      <c r="O667" s="21">
        <v>39671.644992000001</v>
      </c>
      <c r="P667" s="21">
        <f>IF((D667*233.456*3%)&gt;7004,7004,(D667*233.456*3%))</f>
        <v>7004</v>
      </c>
      <c r="Q667" s="21">
        <f t="shared" si="36"/>
        <v>766497.69804799999</v>
      </c>
      <c r="R667" s="21">
        <v>547687.77599999995</v>
      </c>
    </row>
    <row r="668" spans="1:18" ht="15.75" thickBot="1" x14ac:dyDescent="0.3">
      <c r="A668" s="21" t="s">
        <v>131</v>
      </c>
      <c r="B668" s="22" t="s">
        <v>90</v>
      </c>
      <c r="C668" s="22" t="s">
        <v>93</v>
      </c>
      <c r="D668" s="22">
        <v>1905</v>
      </c>
      <c r="E668" s="22">
        <v>23</v>
      </c>
      <c r="F668" s="21">
        <f t="shared" si="34"/>
        <v>444733.68</v>
      </c>
      <c r="G668" s="21">
        <f t="shared" si="35"/>
        <v>66710.051999999996</v>
      </c>
      <c r="H668" s="21">
        <v>110000</v>
      </c>
      <c r="I668" s="21">
        <v>15000</v>
      </c>
      <c r="J668" s="21">
        <v>15000</v>
      </c>
      <c r="K668" s="26">
        <v>200000</v>
      </c>
      <c r="L668" s="21">
        <f>SUM(F668:K668)</f>
        <v>851443.73199999996</v>
      </c>
      <c r="M668" s="21">
        <v>74137.104456000001</v>
      </c>
      <c r="N668" s="21">
        <v>66903.183719999986</v>
      </c>
      <c r="O668" s="21">
        <v>37046.315543999997</v>
      </c>
      <c r="P668" s="21">
        <f>IF((D668*233.456*3%)&gt;7004,7004,(D668*233.456*3%))</f>
        <v>7004</v>
      </c>
      <c r="Q668" s="21">
        <f t="shared" si="36"/>
        <v>740490.23273599998</v>
      </c>
      <c r="R668" s="21">
        <v>511443.73199999996</v>
      </c>
    </row>
    <row r="669" spans="1:18" ht="15.75" thickBot="1" x14ac:dyDescent="0.3">
      <c r="A669" s="21" t="s">
        <v>131</v>
      </c>
      <c r="B669" s="22" t="s">
        <v>90</v>
      </c>
      <c r="C669" s="22" t="s">
        <v>93</v>
      </c>
      <c r="D669" s="22">
        <v>1810</v>
      </c>
      <c r="E669" s="22">
        <v>22</v>
      </c>
      <c r="F669" s="21">
        <f t="shared" si="34"/>
        <v>422555.36</v>
      </c>
      <c r="G669" s="21">
        <f t="shared" si="35"/>
        <v>63383.303999999996</v>
      </c>
      <c r="H669" s="21">
        <v>110000</v>
      </c>
      <c r="I669" s="21">
        <v>15000</v>
      </c>
      <c r="J669" s="21">
        <v>15000</v>
      </c>
      <c r="K669" s="26">
        <v>200000</v>
      </c>
      <c r="L669" s="21">
        <f>SUM(F669:K669)</f>
        <v>825938.66399999999</v>
      </c>
      <c r="M669" s="21">
        <v>70439.978512000002</v>
      </c>
      <c r="N669" s="21">
        <v>61547.119439999995</v>
      </c>
      <c r="O669" s="21">
        <v>35198.861487999995</v>
      </c>
      <c r="P669" s="21">
        <f>IF((D669*233.456*3%)&gt;7004,7004,(D669*233.456*3%))</f>
        <v>7004</v>
      </c>
      <c r="Q669" s="21">
        <f t="shared" si="36"/>
        <v>722188.68307200004</v>
      </c>
      <c r="R669" s="21">
        <v>485938.66399999999</v>
      </c>
    </row>
    <row r="670" spans="1:18" ht="15.75" thickBot="1" x14ac:dyDescent="0.3">
      <c r="A670" s="21" t="s">
        <v>131</v>
      </c>
      <c r="B670" s="22" t="s">
        <v>90</v>
      </c>
      <c r="C670" s="22" t="s">
        <v>93</v>
      </c>
      <c r="D670" s="22">
        <v>1680</v>
      </c>
      <c r="E670" s="22">
        <v>21</v>
      </c>
      <c r="F670" s="21">
        <f t="shared" si="34"/>
        <v>392206.07999999996</v>
      </c>
      <c r="G670" s="21">
        <f t="shared" si="35"/>
        <v>58830.911999999989</v>
      </c>
      <c r="H670" s="21">
        <v>110000</v>
      </c>
      <c r="I670" s="21">
        <v>15000</v>
      </c>
      <c r="J670" s="21">
        <v>15000</v>
      </c>
      <c r="K670" s="26">
        <v>200000</v>
      </c>
      <c r="L670" s="21">
        <f>SUM(F670:K670)</f>
        <v>791036.99199999997</v>
      </c>
      <c r="M670" s="21">
        <v>65380.753535999997</v>
      </c>
      <c r="N670" s="21">
        <v>54217.768319999988</v>
      </c>
      <c r="O670" s="21">
        <v>32670.766463999997</v>
      </c>
      <c r="P670" s="21">
        <f>IF((D670*233.456*3%)&gt;7004,7004,(D670*233.456*3%))</f>
        <v>7004</v>
      </c>
      <c r="Q670" s="21">
        <f t="shared" si="36"/>
        <v>697144.45721599995</v>
      </c>
      <c r="R670" s="21">
        <v>451036.99199999997</v>
      </c>
    </row>
    <row r="671" spans="1:18" ht="15.75" thickBot="1" x14ac:dyDescent="0.3">
      <c r="A671" s="21" t="s">
        <v>131</v>
      </c>
      <c r="B671" s="22" t="s">
        <v>90</v>
      </c>
      <c r="C671" s="22" t="s">
        <v>93</v>
      </c>
      <c r="D671" s="22">
        <v>1520</v>
      </c>
      <c r="E671" s="22">
        <v>33</v>
      </c>
      <c r="F671" s="21">
        <f t="shared" si="34"/>
        <v>354853.12</v>
      </c>
      <c r="G671" s="21">
        <f t="shared" si="35"/>
        <v>53227.968000000001</v>
      </c>
      <c r="H671" s="21">
        <v>110000</v>
      </c>
      <c r="I671" s="21">
        <v>15000</v>
      </c>
      <c r="J671" s="21">
        <v>15000</v>
      </c>
      <c r="K671" s="26">
        <v>200000</v>
      </c>
      <c r="L671" s="21">
        <f>SUM(F671:K671)</f>
        <v>748081.08799999999</v>
      </c>
      <c r="M671" s="21">
        <v>59154.015104000006</v>
      </c>
      <c r="N671" s="21">
        <v>45197.028479999994</v>
      </c>
      <c r="O671" s="21">
        <v>29559.264896000001</v>
      </c>
      <c r="P671" s="21">
        <f>IF((D671*233.456*3%)&gt;7004,7004,(D671*233.456*3%))</f>
        <v>7004</v>
      </c>
      <c r="Q671" s="21">
        <f t="shared" si="36"/>
        <v>666320.79462399997</v>
      </c>
      <c r="R671" s="21">
        <v>408081.08799999999</v>
      </c>
    </row>
    <row r="672" spans="1:18" ht="15.75" thickBot="1" x14ac:dyDescent="0.3">
      <c r="A672" s="21" t="s">
        <v>131</v>
      </c>
      <c r="B672" s="22" t="s">
        <v>90</v>
      </c>
      <c r="C672" s="22" t="s">
        <v>93</v>
      </c>
      <c r="D672" s="22">
        <v>1390</v>
      </c>
      <c r="E672" s="22">
        <v>32</v>
      </c>
      <c r="F672" s="21">
        <f t="shared" si="34"/>
        <v>324503.83999999997</v>
      </c>
      <c r="G672" s="21">
        <f t="shared" si="35"/>
        <v>48675.575999999994</v>
      </c>
      <c r="H672" s="21">
        <v>110000</v>
      </c>
      <c r="I672" s="21">
        <v>15000</v>
      </c>
      <c r="J672" s="21">
        <v>15000</v>
      </c>
      <c r="K672" s="26">
        <v>200000</v>
      </c>
      <c r="L672" s="21">
        <f>SUM(F672:K672)</f>
        <v>713179.41599999997</v>
      </c>
      <c r="M672" s="21">
        <v>54094.790128000001</v>
      </c>
      <c r="N672" s="21">
        <v>37867.677359999987</v>
      </c>
      <c r="O672" s="21">
        <v>27031.169871999999</v>
      </c>
      <c r="P672" s="21">
        <f>IF((D672*233.456*3%)&gt;7004,7004,(D672*233.456*3%))</f>
        <v>7004</v>
      </c>
      <c r="Q672" s="21">
        <f t="shared" si="36"/>
        <v>641276.568768</v>
      </c>
      <c r="R672" s="21">
        <v>373179.41599999997</v>
      </c>
    </row>
    <row r="673" spans="1:18" ht="15.75" thickBot="1" x14ac:dyDescent="0.3">
      <c r="A673" s="21" t="s">
        <v>131</v>
      </c>
      <c r="B673" s="22" t="s">
        <v>90</v>
      </c>
      <c r="C673" s="22" t="s">
        <v>93</v>
      </c>
      <c r="D673" s="22">
        <v>1295</v>
      </c>
      <c r="E673" s="22">
        <v>31</v>
      </c>
      <c r="F673" s="21">
        <f t="shared" si="34"/>
        <v>302325.51999999996</v>
      </c>
      <c r="G673" s="21">
        <f t="shared" si="35"/>
        <v>45348.827999999994</v>
      </c>
      <c r="H673" s="21">
        <v>110000</v>
      </c>
      <c r="I673" s="21">
        <v>15000</v>
      </c>
      <c r="J673" s="21">
        <v>15000</v>
      </c>
      <c r="K673" s="26">
        <v>200000</v>
      </c>
      <c r="L673" s="21">
        <f>SUM(F673:K673)</f>
        <v>687674.348</v>
      </c>
      <c r="M673" s="21">
        <v>50397.664184000001</v>
      </c>
      <c r="N673" s="21">
        <v>32511.613079999988</v>
      </c>
      <c r="O673" s="21">
        <v>25183.715815999996</v>
      </c>
      <c r="P673" s="21">
        <f>IF((D673*233.456*3%)&gt;7004,7004,(D673*233.456*3%))</f>
        <v>7004</v>
      </c>
      <c r="Q673" s="21">
        <f t="shared" si="36"/>
        <v>622975.01910400006</v>
      </c>
      <c r="R673" s="21">
        <v>347674.34799999994</v>
      </c>
    </row>
    <row r="674" spans="1:18" ht="15.75" thickBot="1" x14ac:dyDescent="0.3">
      <c r="A674" s="21" t="s">
        <v>131</v>
      </c>
      <c r="B674" s="22" t="s">
        <v>90</v>
      </c>
      <c r="C674" s="22" t="s">
        <v>93</v>
      </c>
      <c r="D674" s="22">
        <v>1165</v>
      </c>
      <c r="E674" s="22">
        <v>44</v>
      </c>
      <c r="F674" s="21">
        <f t="shared" si="34"/>
        <v>271976.24</v>
      </c>
      <c r="G674" s="21">
        <f t="shared" si="35"/>
        <v>40796.435999999994</v>
      </c>
      <c r="H674" s="21">
        <v>110000</v>
      </c>
      <c r="I674" s="21">
        <v>15000</v>
      </c>
      <c r="J674" s="21">
        <v>15000</v>
      </c>
      <c r="K674" s="26">
        <v>200000</v>
      </c>
      <c r="L674" s="21">
        <f>SUM(F674:K674)</f>
        <v>652772.67599999998</v>
      </c>
      <c r="M674" s="21">
        <v>45338.439208000003</v>
      </c>
      <c r="N674" s="21">
        <v>25182.261959999996</v>
      </c>
      <c r="O674" s="21">
        <v>22655.620791999998</v>
      </c>
      <c r="P674" s="21">
        <f>IF((D674*233.456*3%)&gt;7004,7004,(D674*233.456*3%))</f>
        <v>7004</v>
      </c>
      <c r="Q674" s="21">
        <f t="shared" si="36"/>
        <v>597930.79324799997</v>
      </c>
      <c r="R674" s="21">
        <v>312772.67599999998</v>
      </c>
    </row>
    <row r="675" spans="1:18" ht="15.75" thickBot="1" x14ac:dyDescent="0.3">
      <c r="A675" s="21" t="s">
        <v>131</v>
      </c>
      <c r="B675" s="22" t="s">
        <v>90</v>
      </c>
      <c r="C675" s="22" t="s">
        <v>93</v>
      </c>
      <c r="D675" s="22">
        <v>1070</v>
      </c>
      <c r="E675" s="22">
        <v>43</v>
      </c>
      <c r="F675" s="21">
        <f t="shared" si="34"/>
        <v>249797.91999999998</v>
      </c>
      <c r="G675" s="21">
        <f t="shared" si="35"/>
        <v>37469.687999999995</v>
      </c>
      <c r="H675" s="21">
        <v>110000</v>
      </c>
      <c r="I675" s="21">
        <v>15000</v>
      </c>
      <c r="J675" s="21">
        <v>15000</v>
      </c>
      <c r="K675" s="26">
        <v>200000</v>
      </c>
      <c r="L675" s="21">
        <f>SUM(F675:K675)</f>
        <v>627267.60800000001</v>
      </c>
      <c r="M675" s="21">
        <v>41641.313264000004</v>
      </c>
      <c r="N675" s="21">
        <v>19826.197679999997</v>
      </c>
      <c r="O675" s="21">
        <v>20808.166735999999</v>
      </c>
      <c r="P675" s="21">
        <f>IF((D675*233.456*3%)&gt;7004,7004,(D675*233.456*3%))</f>
        <v>7004</v>
      </c>
      <c r="Q675" s="21">
        <f t="shared" si="36"/>
        <v>579629.24358400004</v>
      </c>
      <c r="R675" s="21">
        <v>287267.60800000001</v>
      </c>
    </row>
    <row r="676" spans="1:18" ht="15.75" thickBot="1" x14ac:dyDescent="0.3">
      <c r="A676" s="21" t="s">
        <v>131</v>
      </c>
      <c r="B676" s="22" t="s">
        <v>90</v>
      </c>
      <c r="C676" s="22" t="s">
        <v>93</v>
      </c>
      <c r="D676" s="22">
        <v>1005</v>
      </c>
      <c r="E676" s="22">
        <v>42</v>
      </c>
      <c r="F676" s="21">
        <f t="shared" si="34"/>
        <v>234623.28</v>
      </c>
      <c r="G676" s="21">
        <f t="shared" si="35"/>
        <v>35193.491999999998</v>
      </c>
      <c r="H676" s="21">
        <v>110000</v>
      </c>
      <c r="I676" s="21">
        <v>15000</v>
      </c>
      <c r="J676" s="21">
        <v>15000</v>
      </c>
      <c r="K676" s="26">
        <v>200000</v>
      </c>
      <c r="L676" s="21">
        <f>SUM(F676:K676)</f>
        <v>609816.772</v>
      </c>
      <c r="M676" s="21">
        <v>39111.700776000005</v>
      </c>
      <c r="N676" s="21">
        <v>16161.522120000001</v>
      </c>
      <c r="O676" s="21">
        <v>19544.119223999998</v>
      </c>
      <c r="P676" s="21">
        <f>IF((D676*233.456*3%)&gt;7004,7004,(D676*233.456*3%))</f>
        <v>7004</v>
      </c>
      <c r="Q676" s="21">
        <f t="shared" si="36"/>
        <v>567107.13065599999</v>
      </c>
      <c r="R676" s="21">
        <v>269816.772</v>
      </c>
    </row>
    <row r="677" spans="1:18" ht="15.75" thickBot="1" x14ac:dyDescent="0.3">
      <c r="A677" s="21" t="s">
        <v>131</v>
      </c>
      <c r="B677" s="22" t="s">
        <v>90</v>
      </c>
      <c r="C677" s="22" t="s">
        <v>93</v>
      </c>
      <c r="D677" s="22">
        <v>965</v>
      </c>
      <c r="E677" s="22">
        <v>41</v>
      </c>
      <c r="F677" s="21">
        <f t="shared" si="34"/>
        <v>225285.03999999998</v>
      </c>
      <c r="G677" s="21">
        <f t="shared" si="35"/>
        <v>33792.755999999994</v>
      </c>
      <c r="H677" s="21">
        <v>110000</v>
      </c>
      <c r="I677" s="21">
        <v>15000</v>
      </c>
      <c r="J677" s="21">
        <v>15000</v>
      </c>
      <c r="K677" s="26">
        <v>200000</v>
      </c>
      <c r="L677" s="21">
        <f>SUM(F677:K677)</f>
        <v>599077.79599999997</v>
      </c>
      <c r="M677" s="21">
        <v>37555.016168000002</v>
      </c>
      <c r="N677" s="21">
        <v>13906.337159999995</v>
      </c>
      <c r="O677" s="21">
        <v>18766.243831999996</v>
      </c>
      <c r="P677" s="21">
        <f>IF((D677*233.456*3%)&gt;7004,7004,(D677*233.456*3%))</f>
        <v>6758.551199999999</v>
      </c>
      <c r="Q677" s="21">
        <f t="shared" si="36"/>
        <v>559646.66380800004</v>
      </c>
      <c r="R677" s="21">
        <v>259077.79599999997</v>
      </c>
    </row>
    <row r="678" spans="1:18" ht="15.75" thickBot="1" x14ac:dyDescent="0.3">
      <c r="A678" s="21" t="s">
        <v>131</v>
      </c>
      <c r="B678" s="22" t="s">
        <v>90</v>
      </c>
      <c r="C678" s="22" t="s">
        <v>94</v>
      </c>
      <c r="D678" s="22">
        <v>2095</v>
      </c>
      <c r="E678" s="22">
        <v>13</v>
      </c>
      <c r="F678" s="21">
        <f t="shared" si="34"/>
        <v>489090.31999999995</v>
      </c>
      <c r="G678" s="21">
        <f t="shared" si="35"/>
        <v>73363.547999999995</v>
      </c>
      <c r="H678" s="21">
        <v>110000</v>
      </c>
      <c r="I678" s="21">
        <v>15000</v>
      </c>
      <c r="J678" s="21">
        <v>15000</v>
      </c>
      <c r="K678" s="26">
        <v>200000</v>
      </c>
      <c r="L678" s="21">
        <f>SUM(F678:K678)</f>
        <v>902453.8679999999</v>
      </c>
      <c r="M678" s="21">
        <v>81531.356344</v>
      </c>
      <c r="N678" s="21">
        <v>77615.312279999984</v>
      </c>
      <c r="O678" s="21">
        <v>40741.223655999995</v>
      </c>
      <c r="P678" s="21">
        <f>IF((D678*233.456*3%)&gt;7004,7004,(D678*233.456*3%))</f>
        <v>7004</v>
      </c>
      <c r="Q678" s="21">
        <f t="shared" si="36"/>
        <v>777093.33206399996</v>
      </c>
      <c r="R678" s="21">
        <v>562453.8679999999</v>
      </c>
    </row>
    <row r="679" spans="1:18" ht="15.75" thickBot="1" x14ac:dyDescent="0.3">
      <c r="A679" s="21" t="s">
        <v>131</v>
      </c>
      <c r="B679" s="22" t="s">
        <v>90</v>
      </c>
      <c r="C679" s="22" t="s">
        <v>94</v>
      </c>
      <c r="D679" s="22">
        <v>2065</v>
      </c>
      <c r="E679" s="22">
        <v>12</v>
      </c>
      <c r="F679" s="21">
        <f t="shared" si="34"/>
        <v>482086.63999999996</v>
      </c>
      <c r="G679" s="21">
        <f t="shared" si="35"/>
        <v>72312.995999999985</v>
      </c>
      <c r="H679" s="21">
        <v>110000</v>
      </c>
      <c r="I679" s="21">
        <v>15000</v>
      </c>
      <c r="J679" s="21">
        <v>15000</v>
      </c>
      <c r="K679" s="26">
        <v>200000</v>
      </c>
      <c r="L679" s="21">
        <f>SUM(F679:K679)</f>
        <v>894399.63599999994</v>
      </c>
      <c r="M679" s="21">
        <v>80363.842887999999</v>
      </c>
      <c r="N679" s="21">
        <v>75923.923559999981</v>
      </c>
      <c r="O679" s="21">
        <v>40157.817111999997</v>
      </c>
      <c r="P679" s="21">
        <f>IF((D679*233.456*3%)&gt;7004,7004,(D679*233.456*3%))</f>
        <v>7004</v>
      </c>
      <c r="Q679" s="21">
        <f t="shared" si="36"/>
        <v>771313.89532799996</v>
      </c>
      <c r="R679" s="21">
        <v>554399.63599999994</v>
      </c>
    </row>
    <row r="680" spans="1:18" ht="15.75" thickBot="1" x14ac:dyDescent="0.3">
      <c r="A680" s="21" t="s">
        <v>131</v>
      </c>
      <c r="B680" s="22" t="s">
        <v>90</v>
      </c>
      <c r="C680" s="22" t="s">
        <v>94</v>
      </c>
      <c r="D680" s="22">
        <v>2015</v>
      </c>
      <c r="E680" s="22">
        <v>11</v>
      </c>
      <c r="F680" s="21">
        <f t="shared" si="34"/>
        <v>470413.83999999997</v>
      </c>
      <c r="G680" s="21">
        <f t="shared" si="35"/>
        <v>70562.075999999986</v>
      </c>
      <c r="H680" s="21">
        <v>110000</v>
      </c>
      <c r="I680" s="21">
        <v>15000</v>
      </c>
      <c r="J680" s="21">
        <v>15000</v>
      </c>
      <c r="K680" s="26">
        <v>200000</v>
      </c>
      <c r="L680" s="21">
        <f>SUM(F680:K680)</f>
        <v>880975.91599999997</v>
      </c>
      <c r="M680" s="21">
        <v>78417.987128000008</v>
      </c>
      <c r="N680" s="21">
        <v>73104.942359999986</v>
      </c>
      <c r="O680" s="21">
        <v>39185.472871999998</v>
      </c>
      <c r="P680" s="21">
        <f>IF((D680*233.456*3%)&gt;7004,7004,(D680*233.456*3%))</f>
        <v>7004</v>
      </c>
      <c r="Q680" s="21">
        <f t="shared" si="36"/>
        <v>761681.50076800003</v>
      </c>
      <c r="R680" s="21">
        <v>540975.91599999997</v>
      </c>
    </row>
    <row r="681" spans="1:18" ht="15.75" thickBot="1" x14ac:dyDescent="0.3">
      <c r="A681" s="21" t="s">
        <v>131</v>
      </c>
      <c r="B681" s="22" t="s">
        <v>90</v>
      </c>
      <c r="C681" s="22" t="s">
        <v>94</v>
      </c>
      <c r="D681" s="22">
        <v>1890</v>
      </c>
      <c r="E681" s="22">
        <v>23</v>
      </c>
      <c r="F681" s="21">
        <f t="shared" si="34"/>
        <v>441231.83999999997</v>
      </c>
      <c r="G681" s="21">
        <f t="shared" si="35"/>
        <v>66184.775999999998</v>
      </c>
      <c r="H681" s="21">
        <v>110000</v>
      </c>
      <c r="I681" s="21">
        <v>15000</v>
      </c>
      <c r="J681" s="21">
        <v>15000</v>
      </c>
      <c r="K681" s="26">
        <v>200000</v>
      </c>
      <c r="L681" s="21">
        <f>SUM(F681:K681)</f>
        <v>847416.61599999992</v>
      </c>
      <c r="M681" s="21">
        <v>73553.347728000008</v>
      </c>
      <c r="N681" s="21">
        <v>66057.489359999992</v>
      </c>
      <c r="O681" s="21">
        <v>36754.612271999998</v>
      </c>
      <c r="P681" s="21">
        <f>IF((D681*233.456*3%)&gt;7004,7004,(D681*233.456*3%))</f>
        <v>7004</v>
      </c>
      <c r="Q681" s="21">
        <f t="shared" si="36"/>
        <v>737600.51436799997</v>
      </c>
      <c r="R681" s="21">
        <v>507416.61599999998</v>
      </c>
    </row>
    <row r="682" spans="1:18" ht="15.75" thickBot="1" x14ac:dyDescent="0.3">
      <c r="A682" s="21" t="s">
        <v>131</v>
      </c>
      <c r="B682" s="22" t="s">
        <v>90</v>
      </c>
      <c r="C682" s="22" t="s">
        <v>94</v>
      </c>
      <c r="D682" s="22">
        <v>1735</v>
      </c>
      <c r="E682" s="22">
        <v>22</v>
      </c>
      <c r="F682" s="21">
        <f t="shared" si="34"/>
        <v>405046.16</v>
      </c>
      <c r="G682" s="21">
        <f t="shared" si="35"/>
        <v>60756.923999999992</v>
      </c>
      <c r="H682" s="21">
        <v>110000</v>
      </c>
      <c r="I682" s="21">
        <v>15000</v>
      </c>
      <c r="J682" s="21">
        <v>15000</v>
      </c>
      <c r="K682" s="26">
        <v>200000</v>
      </c>
      <c r="L682" s="21">
        <f>SUM(F682:K682)</f>
        <v>805803.08400000003</v>
      </c>
      <c r="M682" s="21">
        <v>67521.194872000007</v>
      </c>
      <c r="N682" s="21">
        <v>57318.647639999996</v>
      </c>
      <c r="O682" s="21">
        <v>33740.345128000001</v>
      </c>
      <c r="P682" s="21">
        <f>IF((D682*233.456*3%)&gt;7004,7004,(D682*233.456*3%))</f>
        <v>7004</v>
      </c>
      <c r="Q682" s="21">
        <f t="shared" si="36"/>
        <v>707740.09123200004</v>
      </c>
      <c r="R682" s="21">
        <v>465803.08399999997</v>
      </c>
    </row>
    <row r="683" spans="1:18" ht="15.75" thickBot="1" x14ac:dyDescent="0.3">
      <c r="A683" s="21" t="s">
        <v>131</v>
      </c>
      <c r="B683" s="22" t="s">
        <v>90</v>
      </c>
      <c r="C683" s="22" t="s">
        <v>94</v>
      </c>
      <c r="D683" s="22">
        <v>1605</v>
      </c>
      <c r="E683" s="22">
        <v>21</v>
      </c>
      <c r="F683" s="21">
        <f t="shared" si="34"/>
        <v>374696.88</v>
      </c>
      <c r="G683" s="21">
        <f t="shared" si="35"/>
        <v>56204.531999999999</v>
      </c>
      <c r="H683" s="21">
        <v>110000</v>
      </c>
      <c r="I683" s="21">
        <v>15000</v>
      </c>
      <c r="J683" s="21">
        <v>15000</v>
      </c>
      <c r="K683" s="26">
        <v>200000</v>
      </c>
      <c r="L683" s="21">
        <f>SUM(F683:K683)</f>
        <v>770901.41200000001</v>
      </c>
      <c r="M683" s="21">
        <v>62461.96989600001</v>
      </c>
      <c r="N683" s="21">
        <v>49989.296520000004</v>
      </c>
      <c r="O683" s="21">
        <v>31212.250103999999</v>
      </c>
      <c r="P683" s="21">
        <f>IF((D683*233.456*3%)&gt;7004,7004,(D683*233.456*3%))</f>
        <v>7004</v>
      </c>
      <c r="Q683" s="21">
        <f t="shared" si="36"/>
        <v>682695.86537600006</v>
      </c>
      <c r="R683" s="21">
        <v>430901.41200000001</v>
      </c>
    </row>
    <row r="684" spans="1:18" ht="15.75" thickBot="1" x14ac:dyDescent="0.3">
      <c r="A684" s="21" t="s">
        <v>131</v>
      </c>
      <c r="B684" s="22" t="s">
        <v>90</v>
      </c>
      <c r="C684" s="22" t="s">
        <v>94</v>
      </c>
      <c r="D684" s="22">
        <v>1440</v>
      </c>
      <c r="E684" s="22">
        <v>33</v>
      </c>
      <c r="F684" s="21">
        <f t="shared" si="34"/>
        <v>336176.63999999996</v>
      </c>
      <c r="G684" s="21">
        <f t="shared" si="35"/>
        <v>50426.495999999992</v>
      </c>
      <c r="H684" s="21">
        <v>110000</v>
      </c>
      <c r="I684" s="21">
        <v>15000</v>
      </c>
      <c r="J684" s="21">
        <v>15000</v>
      </c>
      <c r="K684" s="26">
        <v>200000</v>
      </c>
      <c r="L684" s="21">
        <f>SUM(F684:K684)</f>
        <v>726603.13599999994</v>
      </c>
      <c r="M684" s="21">
        <v>56040.645887999999</v>
      </c>
      <c r="N684" s="21">
        <v>40686.658559999982</v>
      </c>
      <c r="O684" s="21">
        <v>28003.514111999997</v>
      </c>
      <c r="P684" s="21">
        <f>IF((D684*233.456*3%)&gt;7004,7004,(D684*233.456*3%))</f>
        <v>7004</v>
      </c>
      <c r="Q684" s="21">
        <f t="shared" si="36"/>
        <v>650908.96332799993</v>
      </c>
      <c r="R684" s="21">
        <v>386603.13599999994</v>
      </c>
    </row>
    <row r="685" spans="1:18" ht="15.75" thickBot="1" x14ac:dyDescent="0.3">
      <c r="A685" s="21" t="s">
        <v>131</v>
      </c>
      <c r="B685" s="22" t="s">
        <v>90</v>
      </c>
      <c r="C685" s="22" t="s">
        <v>94</v>
      </c>
      <c r="D685" s="22">
        <v>1315</v>
      </c>
      <c r="E685" s="22">
        <v>32</v>
      </c>
      <c r="F685" s="21">
        <f t="shared" si="34"/>
        <v>306994.64</v>
      </c>
      <c r="G685" s="21">
        <f t="shared" si="35"/>
        <v>46049.196000000004</v>
      </c>
      <c r="H685" s="21">
        <v>110000</v>
      </c>
      <c r="I685" s="21">
        <v>15000</v>
      </c>
      <c r="J685" s="21">
        <v>15000</v>
      </c>
      <c r="K685" s="26">
        <v>200000</v>
      </c>
      <c r="L685" s="21">
        <f>SUM(F685:K685)</f>
        <v>693043.83600000001</v>
      </c>
      <c r="M685" s="21">
        <v>51176.006488000006</v>
      </c>
      <c r="N685" s="21">
        <v>33639.205560000002</v>
      </c>
      <c r="O685" s="21">
        <v>25572.653512000001</v>
      </c>
      <c r="P685" s="21">
        <f>IF((D685*233.456*3%)&gt;7004,7004,(D685*233.456*3%))</f>
        <v>7004</v>
      </c>
      <c r="Q685" s="21">
        <f t="shared" si="36"/>
        <v>626827.97692799999</v>
      </c>
      <c r="R685" s="21">
        <v>353043.83600000001</v>
      </c>
    </row>
    <row r="686" spans="1:18" ht="15.75" thickBot="1" x14ac:dyDescent="0.3">
      <c r="A686" s="21" t="s">
        <v>131</v>
      </c>
      <c r="B686" s="22" t="s">
        <v>90</v>
      </c>
      <c r="C686" s="22" t="s">
        <v>94</v>
      </c>
      <c r="D686" s="22">
        <v>1220</v>
      </c>
      <c r="E686" s="22">
        <v>31</v>
      </c>
      <c r="F686" s="21">
        <f t="shared" si="34"/>
        <v>284816.32</v>
      </c>
      <c r="G686" s="21">
        <f t="shared" si="35"/>
        <v>42722.447999999997</v>
      </c>
      <c r="H686" s="21">
        <v>110000</v>
      </c>
      <c r="I686" s="21">
        <v>15000</v>
      </c>
      <c r="J686" s="21">
        <v>15000</v>
      </c>
      <c r="K686" s="26">
        <v>200000</v>
      </c>
      <c r="L686" s="21">
        <f>SUM(F686:K686)</f>
        <v>667538.76799999992</v>
      </c>
      <c r="M686" s="21">
        <v>47478.880544000007</v>
      </c>
      <c r="N686" s="21">
        <v>28283.141279999996</v>
      </c>
      <c r="O686" s="21">
        <v>23725.199456000002</v>
      </c>
      <c r="P686" s="21">
        <f>IF((D686*233.456*3%)&gt;7004,7004,(D686*233.456*3%))</f>
        <v>7004</v>
      </c>
      <c r="Q686" s="21">
        <f t="shared" si="36"/>
        <v>608526.42726399994</v>
      </c>
      <c r="R686" s="21">
        <v>327538.76799999998</v>
      </c>
    </row>
    <row r="687" spans="1:18" ht="15.75" thickBot="1" x14ac:dyDescent="0.3">
      <c r="A687" s="21" t="s">
        <v>131</v>
      </c>
      <c r="B687" s="22" t="s">
        <v>90</v>
      </c>
      <c r="C687" s="22" t="s">
        <v>94</v>
      </c>
      <c r="D687" s="22">
        <v>1100</v>
      </c>
      <c r="E687" s="22">
        <v>44</v>
      </c>
      <c r="F687" s="21">
        <f t="shared" si="34"/>
        <v>256801.59999999998</v>
      </c>
      <c r="G687" s="21">
        <f t="shared" si="35"/>
        <v>38520.239999999998</v>
      </c>
      <c r="H687" s="21">
        <v>110000</v>
      </c>
      <c r="I687" s="21">
        <v>15000</v>
      </c>
      <c r="J687" s="21">
        <v>15000</v>
      </c>
      <c r="K687" s="26">
        <v>200000</v>
      </c>
      <c r="L687" s="21">
        <f>SUM(F687:K687)</f>
        <v>635321.84</v>
      </c>
      <c r="M687" s="21">
        <v>42808.826719999997</v>
      </c>
      <c r="N687" s="21">
        <v>21517.586399999993</v>
      </c>
      <c r="O687" s="21">
        <v>21391.573279999997</v>
      </c>
      <c r="P687" s="21">
        <f>IF((D687*233.456*3%)&gt;7004,7004,(D687*233.456*3%))</f>
        <v>7004</v>
      </c>
      <c r="Q687" s="21">
        <f t="shared" si="36"/>
        <v>585408.68031999993</v>
      </c>
      <c r="R687" s="21">
        <v>295321.84000000003</v>
      </c>
    </row>
    <row r="688" spans="1:18" ht="15.75" thickBot="1" x14ac:dyDescent="0.3">
      <c r="A688" s="21" t="s">
        <v>131</v>
      </c>
      <c r="B688" s="22" t="s">
        <v>90</v>
      </c>
      <c r="C688" s="22" t="s">
        <v>94</v>
      </c>
      <c r="D688" s="22">
        <v>1000</v>
      </c>
      <c r="E688" s="22">
        <v>43</v>
      </c>
      <c r="F688" s="21">
        <f t="shared" si="34"/>
        <v>233456</v>
      </c>
      <c r="G688" s="21">
        <f t="shared" si="35"/>
        <v>35018.400000000001</v>
      </c>
      <c r="H688" s="21">
        <v>110000</v>
      </c>
      <c r="I688" s="21">
        <v>15000</v>
      </c>
      <c r="J688" s="21">
        <v>15000</v>
      </c>
      <c r="K688" s="26">
        <v>200000</v>
      </c>
      <c r="L688" s="21">
        <f>SUM(F688:K688)</f>
        <v>608474.4</v>
      </c>
      <c r="M688" s="21">
        <v>38917.1152</v>
      </c>
      <c r="N688" s="21">
        <v>15879.624000000003</v>
      </c>
      <c r="O688" s="21">
        <v>19446.8848</v>
      </c>
      <c r="P688" s="21">
        <f>IF((D688*233.456*3%)&gt;7004,7004,(D688*233.456*3%))</f>
        <v>7003.6799999999994</v>
      </c>
      <c r="Q688" s="21">
        <f t="shared" si="36"/>
        <v>566144.21120000002</v>
      </c>
      <c r="R688" s="21">
        <v>268474.40000000002</v>
      </c>
    </row>
    <row r="689" spans="1:18" ht="15.75" thickBot="1" x14ac:dyDescent="0.3">
      <c r="A689" s="21" t="s">
        <v>131</v>
      </c>
      <c r="B689" s="22" t="s">
        <v>90</v>
      </c>
      <c r="C689" s="22" t="s">
        <v>94</v>
      </c>
      <c r="D689" s="22">
        <v>940</v>
      </c>
      <c r="E689" s="22">
        <v>42</v>
      </c>
      <c r="F689" s="21">
        <f t="shared" si="34"/>
        <v>219448.63999999998</v>
      </c>
      <c r="G689" s="21">
        <f t="shared" si="35"/>
        <v>32917.295999999995</v>
      </c>
      <c r="H689" s="21">
        <v>110000</v>
      </c>
      <c r="I689" s="21">
        <v>15000</v>
      </c>
      <c r="J689" s="21">
        <v>15000</v>
      </c>
      <c r="K689" s="26">
        <v>200000</v>
      </c>
      <c r="L689" s="21">
        <f>SUM(F689:K689)</f>
        <v>592365.93599999999</v>
      </c>
      <c r="M689" s="21">
        <v>36582.088287999999</v>
      </c>
      <c r="N689" s="21">
        <v>12496.846559999998</v>
      </c>
      <c r="O689" s="21">
        <v>18280.071711999997</v>
      </c>
      <c r="P689" s="21">
        <f>IF((D689*233.456*3%)&gt;7004,7004,(D689*233.456*3%))</f>
        <v>6583.4591999999993</v>
      </c>
      <c r="Q689" s="21">
        <f t="shared" si="36"/>
        <v>555005.55852800002</v>
      </c>
      <c r="R689" s="21">
        <v>252365.93599999999</v>
      </c>
    </row>
    <row r="690" spans="1:18" ht="15.75" thickBot="1" x14ac:dyDescent="0.3">
      <c r="A690" s="21" t="s">
        <v>131</v>
      </c>
      <c r="B690" s="22" t="s">
        <v>90</v>
      </c>
      <c r="C690" s="22" t="s">
        <v>94</v>
      </c>
      <c r="D690" s="22">
        <v>895</v>
      </c>
      <c r="E690" s="22">
        <v>41</v>
      </c>
      <c r="F690" s="21">
        <f t="shared" si="34"/>
        <v>208943.12</v>
      </c>
      <c r="G690" s="21">
        <f t="shared" si="35"/>
        <v>31341.467999999997</v>
      </c>
      <c r="H690" s="21">
        <v>110000</v>
      </c>
      <c r="I690" s="21">
        <v>15000</v>
      </c>
      <c r="J690" s="21">
        <v>15000</v>
      </c>
      <c r="K690" s="26">
        <v>200000</v>
      </c>
      <c r="L690" s="21">
        <f>SUM(F690:K690)</f>
        <v>580284.58799999999</v>
      </c>
      <c r="M690" s="21">
        <v>34830.818104000005</v>
      </c>
      <c r="N690" s="21">
        <v>9959.7634799999978</v>
      </c>
      <c r="O690" s="21">
        <v>17404.961896000001</v>
      </c>
      <c r="P690" s="21">
        <f>IF((D690*233.456*3%)&gt;7004,7004,(D690*233.456*3%))</f>
        <v>6268.2936</v>
      </c>
      <c r="Q690" s="21">
        <f t="shared" si="36"/>
        <v>546651.56902399997</v>
      </c>
      <c r="R690" s="21">
        <v>240284.58799999999</v>
      </c>
    </row>
    <row r="691" spans="1:18" ht="15.75" thickBot="1" x14ac:dyDescent="0.3">
      <c r="A691" s="21" t="s">
        <v>131</v>
      </c>
      <c r="B691" s="22" t="s">
        <v>90</v>
      </c>
      <c r="C691" s="22" t="s">
        <v>95</v>
      </c>
      <c r="D691" s="22">
        <v>1790</v>
      </c>
      <c r="E691" s="22">
        <v>13</v>
      </c>
      <c r="F691" s="21">
        <f t="shared" si="34"/>
        <v>417886.24</v>
      </c>
      <c r="G691" s="21">
        <f t="shared" si="35"/>
        <v>62682.935999999994</v>
      </c>
      <c r="H691" s="21">
        <v>90000</v>
      </c>
      <c r="I691" s="21">
        <v>15000</v>
      </c>
      <c r="J691" s="21">
        <v>15000</v>
      </c>
      <c r="K691" s="26">
        <v>160000</v>
      </c>
      <c r="L691" s="21">
        <f>SUM(F691:K691)</f>
        <v>760569.17599999998</v>
      </c>
      <c r="M691" s="21">
        <v>69661.636208000011</v>
      </c>
      <c r="N691" s="21">
        <v>60419.526959999988</v>
      </c>
      <c r="O691" s="21">
        <v>34809.923792000001</v>
      </c>
      <c r="P691" s="21">
        <f>IF((D691*233.456*3%)&gt;7004,7004,(D691*233.456*3%))</f>
        <v>7004</v>
      </c>
      <c r="Q691" s="21">
        <f t="shared" si="36"/>
        <v>658335.725248</v>
      </c>
      <c r="R691" s="21">
        <v>480569.17599999998</v>
      </c>
    </row>
    <row r="692" spans="1:18" ht="15.75" thickBot="1" x14ac:dyDescent="0.3">
      <c r="A692" s="21" t="s">
        <v>131</v>
      </c>
      <c r="B692" s="22" t="s">
        <v>90</v>
      </c>
      <c r="C692" s="22" t="s">
        <v>95</v>
      </c>
      <c r="D692" s="22">
        <v>1760</v>
      </c>
      <c r="E692" s="22">
        <v>12</v>
      </c>
      <c r="F692" s="21">
        <f t="shared" si="34"/>
        <v>410882.56</v>
      </c>
      <c r="G692" s="21">
        <f t="shared" si="35"/>
        <v>61632.383999999998</v>
      </c>
      <c r="H692" s="21">
        <v>90000</v>
      </c>
      <c r="I692" s="21">
        <v>15000</v>
      </c>
      <c r="J692" s="21">
        <v>15000</v>
      </c>
      <c r="K692" s="26">
        <v>160000</v>
      </c>
      <c r="L692" s="21">
        <f>SUM(F692:K692)</f>
        <v>752514.94400000002</v>
      </c>
      <c r="M692" s="21">
        <v>68494.12275200001</v>
      </c>
      <c r="N692" s="21">
        <v>58728.13824</v>
      </c>
      <c r="O692" s="21">
        <v>34226.517247999996</v>
      </c>
      <c r="P692" s="21">
        <f>IF((D692*233.456*3%)&gt;7004,7004,(D692*233.456*3%))</f>
        <v>7004</v>
      </c>
      <c r="Q692" s="21">
        <f t="shared" si="36"/>
        <v>652556.288512</v>
      </c>
      <c r="R692" s="21">
        <v>472514.94400000002</v>
      </c>
    </row>
    <row r="693" spans="1:18" ht="15.75" thickBot="1" x14ac:dyDescent="0.3">
      <c r="A693" s="21" t="s">
        <v>131</v>
      </c>
      <c r="B693" s="22" t="s">
        <v>90</v>
      </c>
      <c r="C693" s="22" t="s">
        <v>95</v>
      </c>
      <c r="D693" s="22">
        <v>1735</v>
      </c>
      <c r="E693" s="22">
        <v>11</v>
      </c>
      <c r="F693" s="21">
        <f t="shared" si="34"/>
        <v>405046.16</v>
      </c>
      <c r="G693" s="21">
        <f t="shared" si="35"/>
        <v>60756.923999999992</v>
      </c>
      <c r="H693" s="21">
        <v>90000</v>
      </c>
      <c r="I693" s="21">
        <v>15000</v>
      </c>
      <c r="J693" s="21">
        <v>15000</v>
      </c>
      <c r="K693" s="26">
        <v>160000</v>
      </c>
      <c r="L693" s="21">
        <f>SUM(F693:K693)</f>
        <v>745803.08400000003</v>
      </c>
      <c r="M693" s="21">
        <v>67521.194872000007</v>
      </c>
      <c r="N693" s="21">
        <v>57318.647639999996</v>
      </c>
      <c r="O693" s="21">
        <v>33740.345128000001</v>
      </c>
      <c r="P693" s="21">
        <f>IF((D693*233.456*3%)&gt;7004,7004,(D693*233.456*3%))</f>
        <v>7004</v>
      </c>
      <c r="Q693" s="21">
        <f t="shared" si="36"/>
        <v>647740.09123200004</v>
      </c>
      <c r="R693" s="21">
        <v>465803.08399999997</v>
      </c>
    </row>
    <row r="694" spans="1:18" ht="15.75" thickBot="1" x14ac:dyDescent="0.3">
      <c r="A694" s="21" t="s">
        <v>131</v>
      </c>
      <c r="B694" s="22" t="s">
        <v>90</v>
      </c>
      <c r="C694" s="22" t="s">
        <v>95</v>
      </c>
      <c r="D694" s="22">
        <v>1575</v>
      </c>
      <c r="E694" s="22">
        <v>23</v>
      </c>
      <c r="F694" s="21">
        <f t="shared" si="34"/>
        <v>367693.19999999995</v>
      </c>
      <c r="G694" s="21">
        <f t="shared" si="35"/>
        <v>55153.979999999989</v>
      </c>
      <c r="H694" s="21">
        <v>90000</v>
      </c>
      <c r="I694" s="21">
        <v>15000</v>
      </c>
      <c r="J694" s="21">
        <v>15000</v>
      </c>
      <c r="K694" s="26">
        <v>160000</v>
      </c>
      <c r="L694" s="21">
        <f>SUM(F694:K694)</f>
        <v>702847.17999999993</v>
      </c>
      <c r="M694" s="21">
        <v>61294.456439999994</v>
      </c>
      <c r="N694" s="21">
        <v>48297.907799999986</v>
      </c>
      <c r="O694" s="21">
        <v>30628.843559999998</v>
      </c>
      <c r="P694" s="21">
        <f>IF((D694*233.456*3%)&gt;7004,7004,(D694*233.456*3%))</f>
        <v>7004</v>
      </c>
      <c r="Q694" s="21">
        <f t="shared" si="36"/>
        <v>616916.42863999994</v>
      </c>
      <c r="R694" s="21">
        <v>422847.17999999993</v>
      </c>
    </row>
    <row r="695" spans="1:18" ht="15.75" thickBot="1" x14ac:dyDescent="0.3">
      <c r="A695" s="21" t="s">
        <v>131</v>
      </c>
      <c r="B695" s="22" t="s">
        <v>90</v>
      </c>
      <c r="C695" s="22" t="s">
        <v>95</v>
      </c>
      <c r="D695" s="22">
        <v>1380</v>
      </c>
      <c r="E695" s="22">
        <v>22</v>
      </c>
      <c r="F695" s="21">
        <f t="shared" si="34"/>
        <v>322169.27999999997</v>
      </c>
      <c r="G695" s="21">
        <f t="shared" si="35"/>
        <v>48325.391999999993</v>
      </c>
      <c r="H695" s="21">
        <v>90000</v>
      </c>
      <c r="I695" s="21">
        <v>15000</v>
      </c>
      <c r="J695" s="21">
        <v>15000</v>
      </c>
      <c r="K695" s="26">
        <v>160000</v>
      </c>
      <c r="L695" s="21">
        <f>SUM(F695:K695)</f>
        <v>650494.67200000002</v>
      </c>
      <c r="M695" s="21">
        <v>53705.618975999998</v>
      </c>
      <c r="N695" s="21">
        <v>37303.881119999991</v>
      </c>
      <c r="O695" s="21">
        <v>26836.701023999998</v>
      </c>
      <c r="P695" s="21">
        <f>IF((D695*233.456*3%)&gt;7004,7004,(D695*233.456*3%))</f>
        <v>7004</v>
      </c>
      <c r="Q695" s="21">
        <f t="shared" si="36"/>
        <v>579350.08985600004</v>
      </c>
      <c r="R695" s="21">
        <v>370494.67199999996</v>
      </c>
    </row>
    <row r="696" spans="1:18" ht="15.75" thickBot="1" x14ac:dyDescent="0.3">
      <c r="A696" s="21" t="s">
        <v>131</v>
      </c>
      <c r="B696" s="22" t="s">
        <v>90</v>
      </c>
      <c r="C696" s="22" t="s">
        <v>95</v>
      </c>
      <c r="D696" s="22">
        <v>1315</v>
      </c>
      <c r="E696" s="22">
        <v>21</v>
      </c>
      <c r="F696" s="21">
        <f t="shared" si="34"/>
        <v>306994.64</v>
      </c>
      <c r="G696" s="21">
        <f t="shared" si="35"/>
        <v>46049.196000000004</v>
      </c>
      <c r="H696" s="21">
        <v>90000</v>
      </c>
      <c r="I696" s="21">
        <v>15000</v>
      </c>
      <c r="J696" s="21">
        <v>15000</v>
      </c>
      <c r="K696" s="26">
        <v>160000</v>
      </c>
      <c r="L696" s="21">
        <f>SUM(F696:K696)</f>
        <v>633043.83600000001</v>
      </c>
      <c r="M696" s="21">
        <v>51176.006488000006</v>
      </c>
      <c r="N696" s="21">
        <v>33639.205560000002</v>
      </c>
      <c r="O696" s="21">
        <v>25572.653512000001</v>
      </c>
      <c r="P696" s="21">
        <f>IF((D696*233.456*3%)&gt;7004,7004,(D696*233.456*3%))</f>
        <v>7004</v>
      </c>
      <c r="Q696" s="21">
        <f t="shared" si="36"/>
        <v>566827.97692799999</v>
      </c>
      <c r="R696" s="21">
        <v>353043.83600000001</v>
      </c>
    </row>
    <row r="697" spans="1:18" ht="15.75" thickBot="1" x14ac:dyDescent="0.3">
      <c r="A697" s="21" t="s">
        <v>131</v>
      </c>
      <c r="B697" s="22" t="s">
        <v>90</v>
      </c>
      <c r="C697" s="22" t="s">
        <v>95</v>
      </c>
      <c r="D697" s="22">
        <v>1255</v>
      </c>
      <c r="E697" s="22">
        <v>33</v>
      </c>
      <c r="F697" s="21">
        <f t="shared" si="34"/>
        <v>292987.27999999997</v>
      </c>
      <c r="G697" s="21">
        <f t="shared" si="35"/>
        <v>43948.091999999997</v>
      </c>
      <c r="H697" s="21">
        <v>90000</v>
      </c>
      <c r="I697" s="21">
        <v>15000</v>
      </c>
      <c r="J697" s="21">
        <v>15000</v>
      </c>
      <c r="K697" s="26">
        <v>160000</v>
      </c>
      <c r="L697" s="21">
        <f>SUM(F697:K697)</f>
        <v>616935.37199999997</v>
      </c>
      <c r="M697" s="21">
        <v>48840.979575999998</v>
      </c>
      <c r="N697" s="21">
        <v>30256.428119999997</v>
      </c>
      <c r="O697" s="21">
        <v>24405.840423999998</v>
      </c>
      <c r="P697" s="21">
        <f>IF((D697*233.456*3%)&gt;7004,7004,(D697*233.456*3%))</f>
        <v>7004</v>
      </c>
      <c r="Q697" s="21">
        <f t="shared" si="36"/>
        <v>555269.10345599998</v>
      </c>
      <c r="R697" s="21">
        <v>336935.37199999997</v>
      </c>
    </row>
    <row r="698" spans="1:18" ht="15.75" thickBot="1" x14ac:dyDescent="0.3">
      <c r="A698" s="21" t="s">
        <v>131</v>
      </c>
      <c r="B698" s="22" t="s">
        <v>90</v>
      </c>
      <c r="C698" s="22" t="s">
        <v>95</v>
      </c>
      <c r="D698" s="22">
        <v>1190</v>
      </c>
      <c r="E698" s="22">
        <v>32</v>
      </c>
      <c r="F698" s="21">
        <f t="shared" si="34"/>
        <v>277812.64</v>
      </c>
      <c r="G698" s="21">
        <f t="shared" si="35"/>
        <v>41671.896000000001</v>
      </c>
      <c r="H698" s="21">
        <v>90000</v>
      </c>
      <c r="I698" s="21">
        <v>15000</v>
      </c>
      <c r="J698" s="21">
        <v>15000</v>
      </c>
      <c r="K698" s="26">
        <v>160000</v>
      </c>
      <c r="L698" s="21">
        <f>SUM(F698:K698)</f>
        <v>599484.53600000008</v>
      </c>
      <c r="M698" s="21">
        <v>46311.367088000006</v>
      </c>
      <c r="N698" s="21">
        <v>26591.752560000008</v>
      </c>
      <c r="O698" s="21">
        <v>23141.792912000001</v>
      </c>
      <c r="P698" s="21">
        <f>IF((D698*233.456*3%)&gt;7004,7004,(D698*233.456*3%))</f>
        <v>7004</v>
      </c>
      <c r="Q698" s="21">
        <f t="shared" si="36"/>
        <v>542746.99052800005</v>
      </c>
      <c r="R698" s="21">
        <v>319484.53600000002</v>
      </c>
    </row>
    <row r="699" spans="1:18" ht="15.75" thickBot="1" x14ac:dyDescent="0.3">
      <c r="A699" s="21" t="s">
        <v>131</v>
      </c>
      <c r="B699" s="22" t="s">
        <v>90</v>
      </c>
      <c r="C699" s="22" t="s">
        <v>95</v>
      </c>
      <c r="D699" s="22">
        <v>1100</v>
      </c>
      <c r="E699" s="22">
        <v>31</v>
      </c>
      <c r="F699" s="21">
        <f t="shared" si="34"/>
        <v>256801.59999999998</v>
      </c>
      <c r="G699" s="21">
        <f t="shared" si="35"/>
        <v>38520.239999999998</v>
      </c>
      <c r="H699" s="21">
        <v>90000</v>
      </c>
      <c r="I699" s="21">
        <v>15000</v>
      </c>
      <c r="J699" s="21">
        <v>15000</v>
      </c>
      <c r="K699" s="26">
        <v>160000</v>
      </c>
      <c r="L699" s="21">
        <f>SUM(F699:K699)</f>
        <v>575321.84</v>
      </c>
      <c r="M699" s="21">
        <v>42808.826719999997</v>
      </c>
      <c r="N699" s="21">
        <v>21517.586399999993</v>
      </c>
      <c r="O699" s="21">
        <v>21391.573279999997</v>
      </c>
      <c r="P699" s="21">
        <f>IF((D699*233.456*3%)&gt;7004,7004,(D699*233.456*3%))</f>
        <v>7004</v>
      </c>
      <c r="Q699" s="21">
        <f t="shared" si="36"/>
        <v>525408.68031999993</v>
      </c>
      <c r="R699" s="21">
        <v>295321.83999999997</v>
      </c>
    </row>
    <row r="700" spans="1:18" ht="15.75" thickBot="1" x14ac:dyDescent="0.3">
      <c r="A700" s="21" t="s">
        <v>131</v>
      </c>
      <c r="B700" s="22" t="s">
        <v>90</v>
      </c>
      <c r="C700" s="22" t="s">
        <v>95</v>
      </c>
      <c r="D700" s="22">
        <v>990</v>
      </c>
      <c r="E700" s="22">
        <v>44</v>
      </c>
      <c r="F700" s="21">
        <f t="shared" si="34"/>
        <v>231121.44</v>
      </c>
      <c r="G700" s="21">
        <f t="shared" si="35"/>
        <v>34668.216</v>
      </c>
      <c r="H700" s="21">
        <v>90000</v>
      </c>
      <c r="I700" s="21">
        <v>15000</v>
      </c>
      <c r="J700" s="21">
        <v>15000</v>
      </c>
      <c r="K700" s="26">
        <v>160000</v>
      </c>
      <c r="L700" s="21">
        <f>SUM(F700:K700)</f>
        <v>545789.65599999996</v>
      </c>
      <c r="M700" s="21">
        <v>38527.944048000005</v>
      </c>
      <c r="N700" s="21">
        <v>15315.827760000004</v>
      </c>
      <c r="O700" s="21">
        <v>19252.415951999999</v>
      </c>
      <c r="P700" s="21">
        <f>IF((D700*233.456*3%)&gt;7004,7004,(D700*233.456*3%))</f>
        <v>6933.6431999999995</v>
      </c>
      <c r="Q700" s="21">
        <f t="shared" si="36"/>
        <v>504287.76908799994</v>
      </c>
      <c r="R700" s="21">
        <v>265789.65600000002</v>
      </c>
    </row>
    <row r="701" spans="1:18" ht="15.75" thickBot="1" x14ac:dyDescent="0.3">
      <c r="A701" s="21" t="s">
        <v>131</v>
      </c>
      <c r="B701" s="22" t="s">
        <v>90</v>
      </c>
      <c r="C701" s="22" t="s">
        <v>95</v>
      </c>
      <c r="D701" s="22">
        <v>915</v>
      </c>
      <c r="E701" s="22">
        <v>43</v>
      </c>
      <c r="F701" s="21">
        <f t="shared" si="34"/>
        <v>213612.24</v>
      </c>
      <c r="G701" s="21">
        <f t="shared" si="35"/>
        <v>32041.835999999996</v>
      </c>
      <c r="H701" s="21">
        <v>90000</v>
      </c>
      <c r="I701" s="21">
        <v>15000</v>
      </c>
      <c r="J701" s="21">
        <v>15000</v>
      </c>
      <c r="K701" s="26">
        <v>160000</v>
      </c>
      <c r="L701" s="21">
        <f>SUM(F701:K701)</f>
        <v>525654.076</v>
      </c>
      <c r="M701" s="21">
        <v>35609.160408000003</v>
      </c>
      <c r="N701" s="21">
        <v>11087.355960000001</v>
      </c>
      <c r="O701" s="21">
        <v>17793.899591999998</v>
      </c>
      <c r="P701" s="21">
        <f>IF((D701*233.456*3%)&gt;7004,7004,(D701*233.456*3%))</f>
        <v>6408.3671999999997</v>
      </c>
      <c r="Q701" s="21">
        <f t="shared" si="36"/>
        <v>490364.45324800001</v>
      </c>
      <c r="R701" s="21">
        <v>245654.076</v>
      </c>
    </row>
    <row r="702" spans="1:18" ht="15.75" thickBot="1" x14ac:dyDescent="0.3">
      <c r="A702" s="21" t="s">
        <v>131</v>
      </c>
      <c r="B702" s="22" t="s">
        <v>90</v>
      </c>
      <c r="C702" s="22" t="s">
        <v>95</v>
      </c>
      <c r="D702" s="22">
        <v>870</v>
      </c>
      <c r="E702" s="22">
        <v>42</v>
      </c>
      <c r="F702" s="21">
        <f t="shared" si="34"/>
        <v>203106.72</v>
      </c>
      <c r="G702" s="21">
        <f t="shared" si="35"/>
        <v>30466.007999999998</v>
      </c>
      <c r="H702" s="21">
        <v>90000</v>
      </c>
      <c r="I702" s="21">
        <v>15000</v>
      </c>
      <c r="J702" s="21">
        <v>15000</v>
      </c>
      <c r="K702" s="26">
        <v>160000</v>
      </c>
      <c r="L702" s="21">
        <f>SUM(F702:K702)</f>
        <v>513572.728</v>
      </c>
      <c r="M702" s="21">
        <v>33857.890224000002</v>
      </c>
      <c r="N702" s="21">
        <v>8871.636480000001</v>
      </c>
      <c r="O702" s="21">
        <v>16918.789776000001</v>
      </c>
      <c r="P702" s="21">
        <f>IF((D702*233.456*3%)&gt;7004,7004,(D702*233.456*3%))</f>
        <v>6093.2015999999994</v>
      </c>
      <c r="Q702" s="21">
        <f t="shared" si="36"/>
        <v>481689.10014400003</v>
      </c>
      <c r="R702" s="21">
        <v>233572.728</v>
      </c>
    </row>
    <row r="703" spans="1:18" ht="15.75" thickBot="1" x14ac:dyDescent="0.3">
      <c r="A703" s="21" t="s">
        <v>131</v>
      </c>
      <c r="B703" s="22" t="s">
        <v>90</v>
      </c>
      <c r="C703" s="22" t="s">
        <v>95</v>
      </c>
      <c r="D703" s="22">
        <v>830</v>
      </c>
      <c r="E703" s="22">
        <v>41</v>
      </c>
      <c r="F703" s="21">
        <f t="shared" si="34"/>
        <v>193768.47999999998</v>
      </c>
      <c r="G703" s="21">
        <f t="shared" si="35"/>
        <v>29065.271999999997</v>
      </c>
      <c r="H703" s="21">
        <v>90000</v>
      </c>
      <c r="I703" s="21">
        <v>15000</v>
      </c>
      <c r="J703" s="21">
        <v>15000</v>
      </c>
      <c r="K703" s="26">
        <v>160000</v>
      </c>
      <c r="L703" s="21">
        <f>SUM(F703:K703)</f>
        <v>502833.75199999998</v>
      </c>
      <c r="M703" s="21">
        <v>32301.205615999999</v>
      </c>
      <c r="N703" s="21">
        <v>7153.400319999997</v>
      </c>
      <c r="O703" s="21">
        <v>16140.914383999998</v>
      </c>
      <c r="P703" s="21">
        <f>IF((D703*233.456*3%)&gt;7004,7004,(D703*233.456*3%))</f>
        <v>5813.0543999999991</v>
      </c>
      <c r="Q703" s="21">
        <f t="shared" si="36"/>
        <v>473726.382896</v>
      </c>
      <c r="R703" s="21">
        <v>222833.75199999998</v>
      </c>
    </row>
    <row r="704" spans="1:18" ht="15.75" thickBot="1" x14ac:dyDescent="0.3">
      <c r="A704" s="21" t="s">
        <v>131</v>
      </c>
      <c r="B704" s="22" t="s">
        <v>96</v>
      </c>
      <c r="C704" s="22" t="s">
        <v>97</v>
      </c>
      <c r="D704" s="22">
        <v>1325</v>
      </c>
      <c r="E704" s="22">
        <v>13</v>
      </c>
      <c r="F704" s="21">
        <f t="shared" si="34"/>
        <v>309329.2</v>
      </c>
      <c r="G704" s="21">
        <f t="shared" si="35"/>
        <v>46399.38</v>
      </c>
      <c r="H704" s="21">
        <v>80000</v>
      </c>
      <c r="I704" s="21">
        <v>15000</v>
      </c>
      <c r="J704" s="21">
        <v>15000</v>
      </c>
      <c r="K704" s="26">
        <v>140000</v>
      </c>
      <c r="L704" s="21">
        <f>SUM(F704:K704)</f>
        <v>605728.58000000007</v>
      </c>
      <c r="M704" s="21">
        <v>51565.177640000009</v>
      </c>
      <c r="N704" s="21">
        <v>34203.001799999998</v>
      </c>
      <c r="O704" s="21">
        <v>25767.122360000001</v>
      </c>
      <c r="P704" s="21">
        <f>IF((D704*233.456*3%)&gt;7004,7004,(D704*233.456*3%))</f>
        <v>7004</v>
      </c>
      <c r="Q704" s="21">
        <f t="shared" si="36"/>
        <v>538754.45584000007</v>
      </c>
      <c r="R704" s="21">
        <v>355728.58</v>
      </c>
    </row>
    <row r="705" spans="1:18" ht="15.75" thickBot="1" x14ac:dyDescent="0.3">
      <c r="A705" s="21" t="s">
        <v>131</v>
      </c>
      <c r="B705" s="22" t="s">
        <v>96</v>
      </c>
      <c r="C705" s="22" t="s">
        <v>97</v>
      </c>
      <c r="D705" s="22">
        <v>1300</v>
      </c>
      <c r="E705" s="22">
        <v>12</v>
      </c>
      <c r="F705" s="21">
        <f t="shared" si="34"/>
        <v>303492.8</v>
      </c>
      <c r="G705" s="21">
        <f t="shared" si="35"/>
        <v>45523.92</v>
      </c>
      <c r="H705" s="21">
        <v>80000</v>
      </c>
      <c r="I705" s="21">
        <v>15000</v>
      </c>
      <c r="J705" s="21">
        <v>15000</v>
      </c>
      <c r="K705" s="26">
        <v>140000</v>
      </c>
      <c r="L705" s="21">
        <f>SUM(F705:K705)</f>
        <v>599016.72</v>
      </c>
      <c r="M705" s="21">
        <v>50592.249760000006</v>
      </c>
      <c r="N705" s="21">
        <v>32793.511199999994</v>
      </c>
      <c r="O705" s="21">
        <v>25280.950239999998</v>
      </c>
      <c r="P705" s="21">
        <f>IF((D705*233.456*3%)&gt;7004,7004,(D705*233.456*3%))</f>
        <v>7004</v>
      </c>
      <c r="Q705" s="21">
        <f t="shared" si="36"/>
        <v>533938.25855999999</v>
      </c>
      <c r="R705" s="21">
        <v>349016.72</v>
      </c>
    </row>
    <row r="706" spans="1:18" ht="15.75" thickBot="1" x14ac:dyDescent="0.3">
      <c r="A706" s="21" t="s">
        <v>131</v>
      </c>
      <c r="B706" s="22" t="s">
        <v>96</v>
      </c>
      <c r="C706" s="22" t="s">
        <v>97</v>
      </c>
      <c r="D706" s="22">
        <v>1270</v>
      </c>
      <c r="E706" s="22">
        <v>11</v>
      </c>
      <c r="F706" s="21">
        <f t="shared" si="34"/>
        <v>296489.12</v>
      </c>
      <c r="G706" s="21">
        <f t="shared" si="35"/>
        <v>44473.367999999995</v>
      </c>
      <c r="H706" s="21">
        <v>80000</v>
      </c>
      <c r="I706" s="21">
        <v>15000</v>
      </c>
      <c r="J706" s="21">
        <v>15000</v>
      </c>
      <c r="K706" s="26">
        <v>140000</v>
      </c>
      <c r="L706" s="21">
        <f>SUM(F706:K706)</f>
        <v>590962.48800000001</v>
      </c>
      <c r="M706" s="21">
        <v>49424.736304000005</v>
      </c>
      <c r="N706" s="21">
        <v>31102.122480000005</v>
      </c>
      <c r="O706" s="21">
        <v>24697.543696000001</v>
      </c>
      <c r="P706" s="21">
        <f>IF((D706*233.456*3%)&gt;7004,7004,(D706*233.456*3%))</f>
        <v>7004</v>
      </c>
      <c r="Q706" s="21">
        <f t="shared" si="36"/>
        <v>528158.82182399998</v>
      </c>
      <c r="R706" s="21">
        <v>340962.48800000001</v>
      </c>
    </row>
    <row r="707" spans="1:18" ht="15.75" thickBot="1" x14ac:dyDescent="0.3">
      <c r="A707" s="21" t="s">
        <v>131</v>
      </c>
      <c r="B707" s="22" t="s">
        <v>96</v>
      </c>
      <c r="C707" s="22" t="s">
        <v>97</v>
      </c>
      <c r="D707" s="22">
        <v>1185</v>
      </c>
      <c r="E707" s="22">
        <v>23</v>
      </c>
      <c r="F707" s="21">
        <f t="shared" si="34"/>
        <v>276645.36</v>
      </c>
      <c r="G707" s="21">
        <f t="shared" si="35"/>
        <v>41496.803999999996</v>
      </c>
      <c r="H707" s="21">
        <v>80000</v>
      </c>
      <c r="I707" s="21">
        <v>15000</v>
      </c>
      <c r="J707" s="21">
        <v>15000</v>
      </c>
      <c r="K707" s="26">
        <v>140000</v>
      </c>
      <c r="L707" s="21">
        <f>SUM(F707:K707)</f>
        <v>568142.16399999999</v>
      </c>
      <c r="M707" s="21">
        <v>46116.781512000001</v>
      </c>
      <c r="N707" s="21">
        <v>26309.854439999996</v>
      </c>
      <c r="O707" s="21">
        <v>23044.558487999999</v>
      </c>
      <c r="P707" s="21">
        <f>IF((D707*233.456*3%)&gt;7004,7004,(D707*233.456*3%))</f>
        <v>7004</v>
      </c>
      <c r="Q707" s="21">
        <f t="shared" si="36"/>
        <v>511783.75107200001</v>
      </c>
      <c r="R707" s="21">
        <v>318142.16399999999</v>
      </c>
    </row>
    <row r="708" spans="1:18" ht="15.75" thickBot="1" x14ac:dyDescent="0.3">
      <c r="A708" s="21" t="s">
        <v>131</v>
      </c>
      <c r="B708" s="22" t="s">
        <v>96</v>
      </c>
      <c r="C708" s="22" t="s">
        <v>97</v>
      </c>
      <c r="D708" s="22">
        <v>1135</v>
      </c>
      <c r="E708" s="22">
        <v>22</v>
      </c>
      <c r="F708" s="21">
        <f t="shared" si="34"/>
        <v>264972.56</v>
      </c>
      <c r="G708" s="21">
        <f t="shared" si="35"/>
        <v>39745.883999999998</v>
      </c>
      <c r="H708" s="21">
        <v>80000</v>
      </c>
      <c r="I708" s="21">
        <v>15000</v>
      </c>
      <c r="J708" s="21">
        <v>15000</v>
      </c>
      <c r="K708" s="26">
        <v>140000</v>
      </c>
      <c r="L708" s="21">
        <f>SUM(F708:K708)</f>
        <v>554718.44400000002</v>
      </c>
      <c r="M708" s="21">
        <v>44170.925752000003</v>
      </c>
      <c r="N708" s="21">
        <v>23490.873240000001</v>
      </c>
      <c r="O708" s="21">
        <v>22072.214248</v>
      </c>
      <c r="P708" s="21">
        <f>IF((D708*233.456*3%)&gt;7004,7004,(D708*233.456*3%))</f>
        <v>7004</v>
      </c>
      <c r="Q708" s="21">
        <f t="shared" si="36"/>
        <v>502151.35651200003</v>
      </c>
      <c r="R708" s="21">
        <v>304718.44400000002</v>
      </c>
    </row>
    <row r="709" spans="1:18" ht="15.75" thickBot="1" x14ac:dyDescent="0.3">
      <c r="A709" s="21" t="s">
        <v>131</v>
      </c>
      <c r="B709" s="22" t="s">
        <v>96</v>
      </c>
      <c r="C709" s="22" t="s">
        <v>97</v>
      </c>
      <c r="D709" s="22">
        <v>1085</v>
      </c>
      <c r="E709" s="22">
        <v>21</v>
      </c>
      <c r="F709" s="21">
        <f t="shared" ref="F709:F755" si="37">D709*233.456</f>
        <v>253299.75999999998</v>
      </c>
      <c r="G709" s="21">
        <f t="shared" ref="G709:G755" si="38">F709*15%</f>
        <v>37994.963999999993</v>
      </c>
      <c r="H709" s="21">
        <v>80000</v>
      </c>
      <c r="I709" s="21">
        <v>15000</v>
      </c>
      <c r="J709" s="21">
        <v>15000</v>
      </c>
      <c r="K709" s="26">
        <v>140000</v>
      </c>
      <c r="L709" s="21">
        <f>SUM(F709:K709)</f>
        <v>541294.72399999993</v>
      </c>
      <c r="M709" s="21">
        <v>42225.069991999997</v>
      </c>
      <c r="N709" s="21">
        <v>20671.892039999999</v>
      </c>
      <c r="O709" s="21">
        <v>21099.870007999998</v>
      </c>
      <c r="P709" s="21">
        <f>IF((D709*233.456*3%)&gt;7004,7004,(D709*233.456*3%))</f>
        <v>7004</v>
      </c>
      <c r="Q709" s="21">
        <f t="shared" ref="Q709:Q755" si="39">L709-SUM(N709:P709)</f>
        <v>492518.96195199993</v>
      </c>
      <c r="R709" s="21">
        <v>291294.72399999999</v>
      </c>
    </row>
    <row r="710" spans="1:18" ht="15.75" thickBot="1" x14ac:dyDescent="0.3">
      <c r="A710" s="21" t="s">
        <v>131</v>
      </c>
      <c r="B710" s="22" t="s">
        <v>96</v>
      </c>
      <c r="C710" s="22" t="s">
        <v>97</v>
      </c>
      <c r="D710" s="22">
        <v>1000</v>
      </c>
      <c r="E710" s="22">
        <v>33</v>
      </c>
      <c r="F710" s="21">
        <f t="shared" si="37"/>
        <v>233456</v>
      </c>
      <c r="G710" s="21">
        <f t="shared" si="38"/>
        <v>35018.400000000001</v>
      </c>
      <c r="H710" s="21">
        <v>80000</v>
      </c>
      <c r="I710" s="21">
        <v>15000</v>
      </c>
      <c r="J710" s="21">
        <v>15000</v>
      </c>
      <c r="K710" s="26">
        <v>140000</v>
      </c>
      <c r="L710" s="21">
        <f>SUM(F710:K710)</f>
        <v>518474.4</v>
      </c>
      <c r="M710" s="21">
        <v>38917.1152</v>
      </c>
      <c r="N710" s="21">
        <v>15879.624000000003</v>
      </c>
      <c r="O710" s="21">
        <v>19446.8848</v>
      </c>
      <c r="P710" s="21">
        <f>IF((D710*233.456*3%)&gt;7004,7004,(D710*233.456*3%))</f>
        <v>7003.6799999999994</v>
      </c>
      <c r="Q710" s="21">
        <f t="shared" si="39"/>
        <v>476144.21120000002</v>
      </c>
      <c r="R710" s="21">
        <v>268474.40000000002</v>
      </c>
    </row>
    <row r="711" spans="1:18" ht="15.75" thickBot="1" x14ac:dyDescent="0.3">
      <c r="A711" s="21" t="s">
        <v>131</v>
      </c>
      <c r="B711" s="22" t="s">
        <v>96</v>
      </c>
      <c r="C711" s="22" t="s">
        <v>97</v>
      </c>
      <c r="D711" s="22">
        <v>950</v>
      </c>
      <c r="E711" s="22">
        <v>32</v>
      </c>
      <c r="F711" s="21">
        <f t="shared" si="37"/>
        <v>221783.19999999998</v>
      </c>
      <c r="G711" s="21">
        <f t="shared" si="38"/>
        <v>33267.479999999996</v>
      </c>
      <c r="H711" s="21">
        <v>80000</v>
      </c>
      <c r="I711" s="21">
        <v>15000</v>
      </c>
      <c r="J711" s="21">
        <v>15000</v>
      </c>
      <c r="K711" s="26">
        <v>140000</v>
      </c>
      <c r="L711" s="21">
        <f>SUM(F711:K711)</f>
        <v>505050.68</v>
      </c>
      <c r="M711" s="21">
        <v>36971.259440000002</v>
      </c>
      <c r="N711" s="21">
        <v>13060.642799999998</v>
      </c>
      <c r="O711" s="21">
        <v>18474.540559999998</v>
      </c>
      <c r="P711" s="21">
        <f>IF((D711*233.456*3%)&gt;7004,7004,(D711*233.456*3%))</f>
        <v>6653.4959999999992</v>
      </c>
      <c r="Q711" s="21">
        <f t="shared" si="39"/>
        <v>466862.00063999998</v>
      </c>
      <c r="R711" s="21">
        <v>255050.68</v>
      </c>
    </row>
    <row r="712" spans="1:18" ht="15.75" thickBot="1" x14ac:dyDescent="0.3">
      <c r="A712" s="21" t="s">
        <v>131</v>
      </c>
      <c r="B712" s="22" t="s">
        <v>96</v>
      </c>
      <c r="C712" s="22" t="s">
        <v>97</v>
      </c>
      <c r="D712" s="22">
        <v>890</v>
      </c>
      <c r="E712" s="22">
        <v>31</v>
      </c>
      <c r="F712" s="21">
        <f t="shared" si="37"/>
        <v>207775.84</v>
      </c>
      <c r="G712" s="21">
        <f t="shared" si="38"/>
        <v>31166.375999999997</v>
      </c>
      <c r="H712" s="21">
        <v>80000</v>
      </c>
      <c r="I712" s="21">
        <v>15000</v>
      </c>
      <c r="J712" s="21">
        <v>15000</v>
      </c>
      <c r="K712" s="26">
        <v>140000</v>
      </c>
      <c r="L712" s="21">
        <f>SUM(F712:K712)</f>
        <v>488942.21600000001</v>
      </c>
      <c r="M712" s="21">
        <v>34636.232528</v>
      </c>
      <c r="N712" s="21">
        <v>9730.7545599999976</v>
      </c>
      <c r="O712" s="21">
        <v>17307.727471999999</v>
      </c>
      <c r="P712" s="21">
        <f>IF((D712*233.456*3%)&gt;7004,7004,(D712*233.456*3%))</f>
        <v>6233.2752</v>
      </c>
      <c r="Q712" s="21">
        <f t="shared" si="39"/>
        <v>455670.45876800001</v>
      </c>
      <c r="R712" s="21">
        <v>238942.21599999999</v>
      </c>
    </row>
    <row r="713" spans="1:18" ht="15.75" thickBot="1" x14ac:dyDescent="0.3">
      <c r="A713" s="21" t="s">
        <v>131</v>
      </c>
      <c r="B713" s="22" t="s">
        <v>96</v>
      </c>
      <c r="C713" s="22" t="s">
        <v>97</v>
      </c>
      <c r="D713" s="22">
        <v>840</v>
      </c>
      <c r="E713" s="22">
        <v>44</v>
      </c>
      <c r="F713" s="21">
        <f t="shared" si="37"/>
        <v>196103.03999999998</v>
      </c>
      <c r="G713" s="21">
        <f t="shared" si="38"/>
        <v>29415.455999999995</v>
      </c>
      <c r="H713" s="21">
        <v>80000</v>
      </c>
      <c r="I713" s="21">
        <v>15000</v>
      </c>
      <c r="J713" s="21">
        <v>15000</v>
      </c>
      <c r="K713" s="26">
        <v>140000</v>
      </c>
      <c r="L713" s="21">
        <f>SUM(F713:K713)</f>
        <v>475518.49599999998</v>
      </c>
      <c r="M713" s="21">
        <v>32690.376767999998</v>
      </c>
      <c r="N713" s="21">
        <v>7582.9593599999971</v>
      </c>
      <c r="O713" s="21">
        <v>16335.383231999998</v>
      </c>
      <c r="P713" s="21">
        <f>IF((D713*233.456*3%)&gt;7004,7004,(D713*233.456*3%))</f>
        <v>5883.0911999999989</v>
      </c>
      <c r="Q713" s="21">
        <f t="shared" si="39"/>
        <v>445717.06220799999</v>
      </c>
      <c r="R713" s="21">
        <v>225518.49599999998</v>
      </c>
    </row>
    <row r="714" spans="1:18" ht="15.75" thickBot="1" x14ac:dyDescent="0.3">
      <c r="A714" s="21" t="s">
        <v>131</v>
      </c>
      <c r="B714" s="22" t="s">
        <v>96</v>
      </c>
      <c r="C714" s="22" t="s">
        <v>97</v>
      </c>
      <c r="D714" s="22">
        <v>785</v>
      </c>
      <c r="E714" s="22">
        <v>43</v>
      </c>
      <c r="F714" s="21">
        <f t="shared" si="37"/>
        <v>183262.96</v>
      </c>
      <c r="G714" s="21">
        <f t="shared" si="38"/>
        <v>27489.444</v>
      </c>
      <c r="H714" s="21">
        <v>80000</v>
      </c>
      <c r="I714" s="21">
        <v>15000</v>
      </c>
      <c r="J714" s="21">
        <v>15000</v>
      </c>
      <c r="K714" s="26">
        <v>140000</v>
      </c>
      <c r="L714" s="21">
        <f>SUM(F714:K714)</f>
        <v>460752.40399999998</v>
      </c>
      <c r="M714" s="21">
        <v>30549.935432000002</v>
      </c>
      <c r="N714" s="21">
        <v>5220.3846399999966</v>
      </c>
      <c r="O714" s="21">
        <v>15265.804568</v>
      </c>
      <c r="P714" s="21">
        <f>IF((D714*233.456*3%)&gt;7004,7004,(D714*233.456*3%))</f>
        <v>5497.8887999999997</v>
      </c>
      <c r="Q714" s="21">
        <f t="shared" si="39"/>
        <v>434768.325992</v>
      </c>
      <c r="R714" s="21">
        <v>210752.40399999998</v>
      </c>
    </row>
    <row r="715" spans="1:18" ht="15.75" thickBot="1" x14ac:dyDescent="0.3">
      <c r="A715" s="21" t="s">
        <v>131</v>
      </c>
      <c r="B715" s="22" t="s">
        <v>96</v>
      </c>
      <c r="C715" s="22" t="s">
        <v>97</v>
      </c>
      <c r="D715" s="22">
        <v>730</v>
      </c>
      <c r="E715" s="22">
        <v>42</v>
      </c>
      <c r="F715" s="21">
        <f t="shared" si="37"/>
        <v>170422.88</v>
      </c>
      <c r="G715" s="21">
        <f t="shared" si="38"/>
        <v>25563.432000000001</v>
      </c>
      <c r="H715" s="21">
        <v>80000</v>
      </c>
      <c r="I715" s="21">
        <v>15000</v>
      </c>
      <c r="J715" s="21">
        <v>15000</v>
      </c>
      <c r="K715" s="26">
        <v>140000</v>
      </c>
      <c r="L715" s="21">
        <f>SUM(F715:K715)</f>
        <v>445986.31200000003</v>
      </c>
      <c r="M715" s="21">
        <v>28409.494096000002</v>
      </c>
      <c r="N715" s="21">
        <v>2857.8099199999997</v>
      </c>
      <c r="O715" s="21">
        <v>14196.225904000001</v>
      </c>
      <c r="P715" s="21">
        <f t="shared" ref="P715:P761" si="40">IF((D715*233.456*3%)&gt;7004,7004,(D715*233.456*3%))</f>
        <v>5112.6863999999996</v>
      </c>
      <c r="Q715" s="21">
        <f t="shared" si="39"/>
        <v>423819.58977600001</v>
      </c>
      <c r="R715" s="21">
        <v>195986.31200000001</v>
      </c>
    </row>
    <row r="716" spans="1:18" ht="15.75" thickBot="1" x14ac:dyDescent="0.3">
      <c r="A716" s="21" t="s">
        <v>131</v>
      </c>
      <c r="B716" s="22" t="s">
        <v>96</v>
      </c>
      <c r="C716" s="22" t="s">
        <v>97</v>
      </c>
      <c r="D716" s="22">
        <v>680</v>
      </c>
      <c r="E716" s="22">
        <v>41</v>
      </c>
      <c r="F716" s="21">
        <f t="shared" si="37"/>
        <v>158750.07999999999</v>
      </c>
      <c r="G716" s="21">
        <f t="shared" si="38"/>
        <v>23812.511999999999</v>
      </c>
      <c r="H716" s="21">
        <v>80000</v>
      </c>
      <c r="I716" s="21">
        <v>15000</v>
      </c>
      <c r="J716" s="21">
        <v>15000</v>
      </c>
      <c r="K716" s="26">
        <v>140000</v>
      </c>
      <c r="L716" s="21">
        <f>SUM(F716:K716)</f>
        <v>432562.59199999995</v>
      </c>
      <c r="M716" s="21">
        <v>26463.638336</v>
      </c>
      <c r="N716" s="21">
        <v>710.01471999999558</v>
      </c>
      <c r="O716" s="21">
        <v>13223.881663999999</v>
      </c>
      <c r="P716" s="21">
        <f t="shared" si="40"/>
        <v>4762.5023999999994</v>
      </c>
      <c r="Q716" s="21">
        <f t="shared" si="39"/>
        <v>413866.19321599993</v>
      </c>
      <c r="R716" s="21">
        <v>182562.59199999998</v>
      </c>
    </row>
    <row r="717" spans="1:18" ht="15.75" thickBot="1" x14ac:dyDescent="0.3">
      <c r="A717" s="21" t="s">
        <v>131</v>
      </c>
      <c r="B717" s="22" t="s">
        <v>99</v>
      </c>
      <c r="C717" s="22" t="s">
        <v>100</v>
      </c>
      <c r="D717" s="22">
        <v>805</v>
      </c>
      <c r="E717" s="22">
        <v>13</v>
      </c>
      <c r="F717" s="21">
        <f t="shared" si="37"/>
        <v>187932.08</v>
      </c>
      <c r="G717" s="21">
        <f t="shared" si="38"/>
        <v>28189.811999999998</v>
      </c>
      <c r="H717" s="21">
        <v>70000</v>
      </c>
      <c r="I717" s="21">
        <v>15000</v>
      </c>
      <c r="J717" s="21">
        <v>15000</v>
      </c>
      <c r="K717" s="26">
        <v>120000</v>
      </c>
      <c r="L717" s="21">
        <f>SUM(F717:K717)</f>
        <v>436121.89199999999</v>
      </c>
      <c r="M717" s="21">
        <v>31328.277736</v>
      </c>
      <c r="N717" s="21">
        <v>6079.5027200000004</v>
      </c>
      <c r="O717" s="21">
        <v>15654.742263999999</v>
      </c>
      <c r="P717" s="21">
        <f t="shared" si="40"/>
        <v>5637.9623999999994</v>
      </c>
      <c r="Q717" s="21">
        <f t="shared" si="39"/>
        <v>408749.68461599998</v>
      </c>
      <c r="R717" s="21">
        <v>216121.89199999999</v>
      </c>
    </row>
    <row r="718" spans="1:18" ht="15.75" thickBot="1" x14ac:dyDescent="0.3">
      <c r="A718" s="21" t="s">
        <v>131</v>
      </c>
      <c r="B718" s="22" t="s">
        <v>99</v>
      </c>
      <c r="C718" s="22" t="s">
        <v>100</v>
      </c>
      <c r="D718" s="22">
        <v>790</v>
      </c>
      <c r="E718" s="22">
        <v>12</v>
      </c>
      <c r="F718" s="21">
        <f t="shared" si="37"/>
        <v>184430.24</v>
      </c>
      <c r="G718" s="21">
        <f t="shared" si="38"/>
        <v>27664.535999999996</v>
      </c>
      <c r="H718" s="21">
        <v>70000</v>
      </c>
      <c r="I718" s="21">
        <v>15000</v>
      </c>
      <c r="J718" s="21">
        <v>15000</v>
      </c>
      <c r="K718" s="26">
        <v>120000</v>
      </c>
      <c r="L718" s="21">
        <f>SUM(F718:K718)</f>
        <v>432094.77599999995</v>
      </c>
      <c r="M718" s="21">
        <v>30744.521008</v>
      </c>
      <c r="N718" s="21">
        <v>5435.1641599999966</v>
      </c>
      <c r="O718" s="21">
        <v>15363.038992</v>
      </c>
      <c r="P718" s="21">
        <f t="shared" si="40"/>
        <v>5532.9071999999996</v>
      </c>
      <c r="Q718" s="21">
        <f t="shared" si="39"/>
        <v>405763.66564799997</v>
      </c>
      <c r="R718" s="21">
        <v>212094.77599999998</v>
      </c>
    </row>
    <row r="719" spans="1:18" ht="15.75" thickBot="1" x14ac:dyDescent="0.3">
      <c r="A719" s="21" t="s">
        <v>131</v>
      </c>
      <c r="B719" s="22" t="s">
        <v>99</v>
      </c>
      <c r="C719" s="22" t="s">
        <v>100</v>
      </c>
      <c r="D719" s="22">
        <v>775</v>
      </c>
      <c r="E719" s="22">
        <v>11</v>
      </c>
      <c r="F719" s="21">
        <f t="shared" si="37"/>
        <v>180928.4</v>
      </c>
      <c r="G719" s="21">
        <f t="shared" si="38"/>
        <v>27139.26</v>
      </c>
      <c r="H719" s="21">
        <v>70000</v>
      </c>
      <c r="I719" s="21">
        <v>15000</v>
      </c>
      <c r="J719" s="21">
        <v>15000</v>
      </c>
      <c r="K719" s="26">
        <v>120000</v>
      </c>
      <c r="L719" s="21">
        <f>SUM(F719:K719)</f>
        <v>428067.66000000003</v>
      </c>
      <c r="M719" s="21">
        <v>30160.764280000003</v>
      </c>
      <c r="N719" s="21">
        <v>4790.8256000000001</v>
      </c>
      <c r="O719" s="21">
        <v>15071.335719999999</v>
      </c>
      <c r="P719" s="21">
        <f t="shared" si="40"/>
        <v>5427.8519999999999</v>
      </c>
      <c r="Q719" s="21">
        <f t="shared" si="39"/>
        <v>402777.64668000001</v>
      </c>
      <c r="R719" s="21">
        <v>208067.66</v>
      </c>
    </row>
    <row r="720" spans="1:18" ht="15.75" thickBot="1" x14ac:dyDescent="0.3">
      <c r="A720" s="21" t="s">
        <v>131</v>
      </c>
      <c r="B720" s="22" t="s">
        <v>99</v>
      </c>
      <c r="C720" s="22" t="s">
        <v>100</v>
      </c>
      <c r="D720" s="22">
        <v>755</v>
      </c>
      <c r="E720" s="22">
        <v>23</v>
      </c>
      <c r="F720" s="21">
        <f t="shared" si="37"/>
        <v>176259.28</v>
      </c>
      <c r="G720" s="21">
        <f t="shared" si="38"/>
        <v>26438.892</v>
      </c>
      <c r="H720" s="21">
        <v>70000</v>
      </c>
      <c r="I720" s="21">
        <v>15000</v>
      </c>
      <c r="J720" s="21">
        <v>15000</v>
      </c>
      <c r="K720" s="26">
        <v>120000</v>
      </c>
      <c r="L720" s="21">
        <f>SUM(F720:K720)</f>
        <v>422698.17200000002</v>
      </c>
      <c r="M720" s="21">
        <v>29382.421976000001</v>
      </c>
      <c r="N720" s="21">
        <v>3931.7075199999999</v>
      </c>
      <c r="O720" s="21">
        <v>14682.398024</v>
      </c>
      <c r="P720" s="21">
        <f t="shared" si="40"/>
        <v>5287.7784000000001</v>
      </c>
      <c r="Q720" s="21">
        <f t="shared" si="39"/>
        <v>398796.28805600002</v>
      </c>
      <c r="R720" s="21">
        <v>202698.17199999999</v>
      </c>
    </row>
    <row r="721" spans="1:18" ht="15.75" thickBot="1" x14ac:dyDescent="0.3">
      <c r="A721" s="21" t="s">
        <v>131</v>
      </c>
      <c r="B721" s="22" t="s">
        <v>99</v>
      </c>
      <c r="C721" s="22" t="s">
        <v>100</v>
      </c>
      <c r="D721" s="22">
        <v>725</v>
      </c>
      <c r="E721" s="22">
        <v>22</v>
      </c>
      <c r="F721" s="21">
        <f t="shared" si="37"/>
        <v>169255.6</v>
      </c>
      <c r="G721" s="21">
        <f t="shared" si="38"/>
        <v>25388.34</v>
      </c>
      <c r="H721" s="21">
        <v>70000</v>
      </c>
      <c r="I721" s="21">
        <v>15000</v>
      </c>
      <c r="J721" s="21">
        <v>15000</v>
      </c>
      <c r="K721" s="26">
        <v>120000</v>
      </c>
      <c r="L721" s="21">
        <f>SUM(F721:K721)</f>
        <v>414643.94</v>
      </c>
      <c r="M721" s="21">
        <v>28214.908520000005</v>
      </c>
      <c r="N721" s="21">
        <v>2643.0303999999996</v>
      </c>
      <c r="O721" s="21">
        <v>14098.991480000001</v>
      </c>
      <c r="P721" s="21">
        <f t="shared" si="40"/>
        <v>5077.6679999999997</v>
      </c>
      <c r="Q721" s="21">
        <f t="shared" si="39"/>
        <v>392824.25011999998</v>
      </c>
      <c r="R721" s="21">
        <v>194643.94</v>
      </c>
    </row>
    <row r="722" spans="1:18" ht="15.75" thickBot="1" x14ac:dyDescent="0.3">
      <c r="A722" s="21" t="s">
        <v>131</v>
      </c>
      <c r="B722" s="22" t="s">
        <v>99</v>
      </c>
      <c r="C722" s="22" t="s">
        <v>100</v>
      </c>
      <c r="D722" s="22">
        <v>705</v>
      </c>
      <c r="E722" s="22">
        <v>21</v>
      </c>
      <c r="F722" s="21">
        <f t="shared" si="37"/>
        <v>164586.47999999998</v>
      </c>
      <c r="G722" s="21">
        <f t="shared" si="38"/>
        <v>24687.971999999998</v>
      </c>
      <c r="H722" s="21">
        <v>70000</v>
      </c>
      <c r="I722" s="21">
        <v>15000</v>
      </c>
      <c r="J722" s="21">
        <v>15000</v>
      </c>
      <c r="K722" s="26">
        <v>120000</v>
      </c>
      <c r="L722" s="21">
        <f>SUM(F722:K722)</f>
        <v>409274.45199999999</v>
      </c>
      <c r="M722" s="21">
        <v>27436.566215999999</v>
      </c>
      <c r="N722" s="21">
        <v>1783.9123199999995</v>
      </c>
      <c r="O722" s="21">
        <v>13710.053783999998</v>
      </c>
      <c r="P722" s="21">
        <f t="shared" si="40"/>
        <v>4937.594399999999</v>
      </c>
      <c r="Q722" s="21">
        <f t="shared" si="39"/>
        <v>388842.891496</v>
      </c>
      <c r="R722" s="21">
        <v>189274.45199999999</v>
      </c>
    </row>
    <row r="723" spans="1:18" ht="15.75" thickBot="1" x14ac:dyDescent="0.3">
      <c r="A723" s="21" t="s">
        <v>131</v>
      </c>
      <c r="B723" s="22" t="s">
        <v>99</v>
      </c>
      <c r="C723" s="22" t="s">
        <v>100</v>
      </c>
      <c r="D723" s="22">
        <v>650</v>
      </c>
      <c r="E723" s="22">
        <v>33</v>
      </c>
      <c r="F723" s="21">
        <f t="shared" si="37"/>
        <v>151746.4</v>
      </c>
      <c r="G723" s="21">
        <f t="shared" si="38"/>
        <v>22761.96</v>
      </c>
      <c r="H723" s="21">
        <v>70000</v>
      </c>
      <c r="I723" s="21">
        <v>15000</v>
      </c>
      <c r="J723" s="21">
        <v>15000</v>
      </c>
      <c r="K723" s="26">
        <v>120000</v>
      </c>
      <c r="L723" s="21">
        <f>SUM(F723:K723)</f>
        <v>394508.36</v>
      </c>
      <c r="M723" s="21">
        <v>25296.124880000003</v>
      </c>
      <c r="N723" s="21">
        <v>0</v>
      </c>
      <c r="O723" s="21">
        <v>12640.475119999999</v>
      </c>
      <c r="P723" s="21">
        <f t="shared" si="40"/>
        <v>4552.3919999999998</v>
      </c>
      <c r="Q723" s="21">
        <f t="shared" si="39"/>
        <v>377315.49287999998</v>
      </c>
      <c r="R723" s="21">
        <v>174508.36</v>
      </c>
    </row>
    <row r="724" spans="1:18" ht="15.75" thickBot="1" x14ac:dyDescent="0.3">
      <c r="A724" s="21" t="s">
        <v>131</v>
      </c>
      <c r="B724" s="22" t="s">
        <v>99</v>
      </c>
      <c r="C724" s="22" t="s">
        <v>100</v>
      </c>
      <c r="D724" s="22">
        <v>630</v>
      </c>
      <c r="E724" s="22">
        <v>32</v>
      </c>
      <c r="F724" s="21">
        <f t="shared" si="37"/>
        <v>147077.28</v>
      </c>
      <c r="G724" s="21">
        <f t="shared" si="38"/>
        <v>22061.592000000001</v>
      </c>
      <c r="H724" s="21">
        <v>70000</v>
      </c>
      <c r="I724" s="21">
        <v>15000</v>
      </c>
      <c r="J724" s="21">
        <v>15000</v>
      </c>
      <c r="K724" s="26">
        <v>120000</v>
      </c>
      <c r="L724" s="21">
        <f>SUM(F724:K724)</f>
        <v>389138.87199999997</v>
      </c>
      <c r="M724" s="21">
        <v>24517.782576000001</v>
      </c>
      <c r="N724" s="21">
        <v>0</v>
      </c>
      <c r="O724" s="21">
        <v>12251.537424</v>
      </c>
      <c r="P724" s="21">
        <f t="shared" si="40"/>
        <v>4412.3184000000001</v>
      </c>
      <c r="Q724" s="21">
        <f t="shared" si="39"/>
        <v>372475.016176</v>
      </c>
      <c r="R724" s="21">
        <v>169138.872</v>
      </c>
    </row>
    <row r="725" spans="1:18" ht="15.75" thickBot="1" x14ac:dyDescent="0.3">
      <c r="A725" s="21" t="s">
        <v>131</v>
      </c>
      <c r="B725" s="22" t="s">
        <v>99</v>
      </c>
      <c r="C725" s="22" t="s">
        <v>100</v>
      </c>
      <c r="D725" s="22">
        <v>605</v>
      </c>
      <c r="E725" s="22">
        <v>31</v>
      </c>
      <c r="F725" s="21">
        <f t="shared" si="37"/>
        <v>141240.88</v>
      </c>
      <c r="G725" s="21">
        <f t="shared" si="38"/>
        <v>21186.132000000001</v>
      </c>
      <c r="H725" s="21">
        <v>70000</v>
      </c>
      <c r="I725" s="21">
        <v>15000</v>
      </c>
      <c r="J725" s="21">
        <v>15000</v>
      </c>
      <c r="K725" s="26">
        <v>120000</v>
      </c>
      <c r="L725" s="21">
        <f>SUM(F725:K725)</f>
        <v>382427.01199999999</v>
      </c>
      <c r="M725" s="21">
        <v>23544.854696000002</v>
      </c>
      <c r="N725" s="21">
        <v>0</v>
      </c>
      <c r="O725" s="21">
        <v>11765.365304000001</v>
      </c>
      <c r="P725" s="21">
        <f t="shared" si="40"/>
        <v>4237.2263999999996</v>
      </c>
      <c r="Q725" s="21">
        <f t="shared" si="39"/>
        <v>366424.42029599997</v>
      </c>
      <c r="R725" s="21">
        <v>162427.01200000002</v>
      </c>
    </row>
    <row r="726" spans="1:18" ht="15.75" thickBot="1" x14ac:dyDescent="0.3">
      <c r="A726" s="21" t="s">
        <v>131</v>
      </c>
      <c r="B726" s="22" t="s">
        <v>99</v>
      </c>
      <c r="C726" s="22" t="s">
        <v>100</v>
      </c>
      <c r="D726" s="22">
        <v>560</v>
      </c>
      <c r="E726" s="22">
        <v>44</v>
      </c>
      <c r="F726" s="21">
        <f t="shared" si="37"/>
        <v>130735.36</v>
      </c>
      <c r="G726" s="21">
        <f t="shared" si="38"/>
        <v>19610.304</v>
      </c>
      <c r="H726" s="21">
        <v>70000</v>
      </c>
      <c r="I726" s="21">
        <v>15000</v>
      </c>
      <c r="J726" s="21">
        <v>15000</v>
      </c>
      <c r="K726" s="26">
        <v>120000</v>
      </c>
      <c r="L726" s="21">
        <f>SUM(F726:K726)</f>
        <v>370345.66399999999</v>
      </c>
      <c r="M726" s="21">
        <v>21793.584512000001</v>
      </c>
      <c r="N726" s="21">
        <v>0</v>
      </c>
      <c r="O726" s="21">
        <v>10890.255488000001</v>
      </c>
      <c r="P726" s="21">
        <f t="shared" si="40"/>
        <v>3922.0607999999997</v>
      </c>
      <c r="Q726" s="21">
        <f t="shared" si="39"/>
        <v>355533.34771200002</v>
      </c>
      <c r="R726" s="21">
        <v>150345.66399999999</v>
      </c>
    </row>
    <row r="727" spans="1:18" ht="15.75" thickBot="1" x14ac:dyDescent="0.3">
      <c r="A727" s="21" t="s">
        <v>131</v>
      </c>
      <c r="B727" s="22" t="s">
        <v>99</v>
      </c>
      <c r="C727" s="22" t="s">
        <v>100</v>
      </c>
      <c r="D727" s="22">
        <v>535</v>
      </c>
      <c r="E727" s="22">
        <v>43</v>
      </c>
      <c r="F727" s="21">
        <f t="shared" si="37"/>
        <v>124898.95999999999</v>
      </c>
      <c r="G727" s="21">
        <f t="shared" si="38"/>
        <v>18734.843999999997</v>
      </c>
      <c r="H727" s="21">
        <v>70000</v>
      </c>
      <c r="I727" s="21">
        <v>15000</v>
      </c>
      <c r="J727" s="21">
        <v>15000</v>
      </c>
      <c r="K727" s="26">
        <v>120000</v>
      </c>
      <c r="L727" s="21">
        <f>SUM(F727:K727)</f>
        <v>363633.804</v>
      </c>
      <c r="M727" s="21">
        <v>20820.656632000002</v>
      </c>
      <c r="N727" s="21">
        <v>0</v>
      </c>
      <c r="O727" s="21">
        <v>10404.083368</v>
      </c>
      <c r="P727" s="21">
        <f t="shared" si="40"/>
        <v>3746.9687999999996</v>
      </c>
      <c r="Q727" s="21">
        <f t="shared" si="39"/>
        <v>349482.75183199998</v>
      </c>
      <c r="R727" s="21">
        <v>143633.804</v>
      </c>
    </row>
    <row r="728" spans="1:18" ht="15.75" thickBot="1" x14ac:dyDescent="0.3">
      <c r="A728" s="21" t="s">
        <v>131</v>
      </c>
      <c r="B728" s="22" t="s">
        <v>99</v>
      </c>
      <c r="C728" s="22" t="s">
        <v>100</v>
      </c>
      <c r="D728" s="22">
        <v>510</v>
      </c>
      <c r="E728" s="22">
        <v>42</v>
      </c>
      <c r="F728" s="21">
        <f t="shared" si="37"/>
        <v>119062.56</v>
      </c>
      <c r="G728" s="21">
        <f t="shared" si="38"/>
        <v>17859.383999999998</v>
      </c>
      <c r="H728" s="21">
        <v>70000</v>
      </c>
      <c r="I728" s="21">
        <v>15000</v>
      </c>
      <c r="J728" s="21">
        <v>15000</v>
      </c>
      <c r="K728" s="26">
        <v>120000</v>
      </c>
      <c r="L728" s="21">
        <f>SUM(F728:K728)</f>
        <v>356921.94400000002</v>
      </c>
      <c r="M728" s="21">
        <v>19847.728752000003</v>
      </c>
      <c r="N728" s="21">
        <v>0</v>
      </c>
      <c r="O728" s="21">
        <v>9917.9112480000003</v>
      </c>
      <c r="P728" s="21">
        <f t="shared" si="40"/>
        <v>3571.8768</v>
      </c>
      <c r="Q728" s="21">
        <f t="shared" si="39"/>
        <v>343432.155952</v>
      </c>
      <c r="R728" s="21">
        <v>136921.94399999999</v>
      </c>
    </row>
    <row r="729" spans="1:18" ht="15.75" thickBot="1" x14ac:dyDescent="0.3">
      <c r="A729" s="21" t="s">
        <v>131</v>
      </c>
      <c r="B729" s="22" t="s">
        <v>99</v>
      </c>
      <c r="C729" s="22" t="s">
        <v>100</v>
      </c>
      <c r="D729" s="22">
        <v>485</v>
      </c>
      <c r="E729" s="22">
        <v>41</v>
      </c>
      <c r="F729" s="21">
        <f t="shared" si="37"/>
        <v>113226.15999999999</v>
      </c>
      <c r="G729" s="21">
        <f t="shared" si="38"/>
        <v>16983.923999999999</v>
      </c>
      <c r="H729" s="21">
        <v>70000</v>
      </c>
      <c r="I729" s="21">
        <v>15000</v>
      </c>
      <c r="J729" s="21">
        <v>15000</v>
      </c>
      <c r="K729" s="26">
        <v>120000</v>
      </c>
      <c r="L729" s="21">
        <f>SUM(F729:K729)</f>
        <v>350210.08399999997</v>
      </c>
      <c r="M729" s="21">
        <v>18874.800872</v>
      </c>
      <c r="N729" s="21">
        <v>0</v>
      </c>
      <c r="O729" s="21">
        <v>9431.7391279999993</v>
      </c>
      <c r="P729" s="21">
        <f t="shared" si="40"/>
        <v>3396.7847999999994</v>
      </c>
      <c r="Q729" s="21">
        <f t="shared" si="39"/>
        <v>337381.56007199996</v>
      </c>
      <c r="R729" s="21">
        <v>130210.08399999999</v>
      </c>
    </row>
    <row r="730" spans="1:18" ht="15.75" thickBot="1" x14ac:dyDescent="0.3">
      <c r="A730" s="21" t="s">
        <v>131</v>
      </c>
      <c r="B730" s="22" t="s">
        <v>99</v>
      </c>
      <c r="C730" s="22" t="s">
        <v>101</v>
      </c>
      <c r="D730" s="22">
        <v>695</v>
      </c>
      <c r="E730" s="22">
        <v>13</v>
      </c>
      <c r="F730" s="21">
        <f t="shared" si="37"/>
        <v>162251.91999999998</v>
      </c>
      <c r="G730" s="21">
        <f t="shared" si="38"/>
        <v>24337.787999999997</v>
      </c>
      <c r="H730" s="21">
        <v>70000</v>
      </c>
      <c r="I730" s="21">
        <v>15000</v>
      </c>
      <c r="J730" s="21">
        <v>15000</v>
      </c>
      <c r="K730" s="26">
        <v>120000</v>
      </c>
      <c r="L730" s="21">
        <f>SUM(F730:K730)</f>
        <v>406589.70799999998</v>
      </c>
      <c r="M730" s="21">
        <v>27047.395064</v>
      </c>
      <c r="N730" s="21">
        <v>1354.3532799999994</v>
      </c>
      <c r="O730" s="21">
        <v>13515.584935999999</v>
      </c>
      <c r="P730" s="21">
        <f t="shared" si="40"/>
        <v>4867.5575999999992</v>
      </c>
      <c r="Q730" s="21">
        <f t="shared" si="39"/>
        <v>386852.212184</v>
      </c>
      <c r="R730" s="21">
        <v>186589.70799999998</v>
      </c>
    </row>
    <row r="731" spans="1:18" ht="15.75" thickBot="1" x14ac:dyDescent="0.3">
      <c r="A731" s="21" t="s">
        <v>131</v>
      </c>
      <c r="B731" s="22" t="s">
        <v>99</v>
      </c>
      <c r="C731" s="22" t="s">
        <v>101</v>
      </c>
      <c r="D731" s="22">
        <v>680</v>
      </c>
      <c r="E731" s="22">
        <v>12</v>
      </c>
      <c r="F731" s="21">
        <f t="shared" si="37"/>
        <v>158750.07999999999</v>
      </c>
      <c r="G731" s="21">
        <f t="shared" si="38"/>
        <v>23812.511999999999</v>
      </c>
      <c r="H731" s="21">
        <v>70000</v>
      </c>
      <c r="I731" s="21">
        <v>15000</v>
      </c>
      <c r="J731" s="21">
        <v>15000</v>
      </c>
      <c r="K731" s="26">
        <v>120000</v>
      </c>
      <c r="L731" s="21">
        <f>SUM(F731:K731)</f>
        <v>402562.59199999995</v>
      </c>
      <c r="M731" s="21">
        <v>26463.638336</v>
      </c>
      <c r="N731" s="21">
        <v>710.01471999999558</v>
      </c>
      <c r="O731" s="21">
        <v>13223.881663999999</v>
      </c>
      <c r="P731" s="21">
        <f t="shared" si="40"/>
        <v>4762.5023999999994</v>
      </c>
      <c r="Q731" s="21">
        <f t="shared" si="39"/>
        <v>383866.19321599993</v>
      </c>
      <c r="R731" s="21">
        <v>182562.59199999998</v>
      </c>
    </row>
    <row r="732" spans="1:18" ht="15.75" thickBot="1" x14ac:dyDescent="0.3">
      <c r="A732" s="21" t="s">
        <v>131</v>
      </c>
      <c r="B732" s="22" t="s">
        <v>99</v>
      </c>
      <c r="C732" s="22" t="s">
        <v>101</v>
      </c>
      <c r="D732" s="22">
        <v>665</v>
      </c>
      <c r="E732" s="22">
        <v>11</v>
      </c>
      <c r="F732" s="21">
        <f t="shared" si="37"/>
        <v>155248.24</v>
      </c>
      <c r="G732" s="21">
        <f t="shared" si="38"/>
        <v>23287.235999999997</v>
      </c>
      <c r="H732" s="21">
        <v>70000</v>
      </c>
      <c r="I732" s="21">
        <v>15000</v>
      </c>
      <c r="J732" s="21">
        <v>15000</v>
      </c>
      <c r="K732" s="26">
        <v>120000</v>
      </c>
      <c r="L732" s="21">
        <f>SUM(F732:K732)</f>
        <v>398535.47600000002</v>
      </c>
      <c r="M732" s="21">
        <v>25879.881608</v>
      </c>
      <c r="N732" s="21">
        <v>65.676159999999072</v>
      </c>
      <c r="O732" s="21">
        <v>12932.178392</v>
      </c>
      <c r="P732" s="21">
        <f t="shared" si="40"/>
        <v>4657.4471999999996</v>
      </c>
      <c r="Q732" s="21">
        <f t="shared" si="39"/>
        <v>380880.17424800002</v>
      </c>
      <c r="R732" s="21">
        <v>178535.476</v>
      </c>
    </row>
    <row r="733" spans="1:18" ht="15.75" thickBot="1" x14ac:dyDescent="0.3">
      <c r="A733" s="21" t="s">
        <v>131</v>
      </c>
      <c r="B733" s="22" t="s">
        <v>99</v>
      </c>
      <c r="C733" s="22" t="s">
        <v>101</v>
      </c>
      <c r="D733" s="22">
        <v>650</v>
      </c>
      <c r="E733" s="22">
        <v>23</v>
      </c>
      <c r="F733" s="21">
        <f t="shared" si="37"/>
        <v>151746.4</v>
      </c>
      <c r="G733" s="21">
        <f t="shared" si="38"/>
        <v>22761.96</v>
      </c>
      <c r="H733" s="21">
        <v>70000</v>
      </c>
      <c r="I733" s="21">
        <v>15000</v>
      </c>
      <c r="J733" s="21">
        <v>15000</v>
      </c>
      <c r="K733" s="26">
        <v>120000</v>
      </c>
      <c r="L733" s="21">
        <f>SUM(F733:K733)</f>
        <v>394508.36</v>
      </c>
      <c r="M733" s="21">
        <v>25296.124880000003</v>
      </c>
      <c r="N733" s="21">
        <v>0</v>
      </c>
      <c r="O733" s="21">
        <v>12640.475119999999</v>
      </c>
      <c r="P733" s="21">
        <f t="shared" si="40"/>
        <v>4552.3919999999998</v>
      </c>
      <c r="Q733" s="21">
        <f t="shared" si="39"/>
        <v>377315.49287999998</v>
      </c>
      <c r="R733" s="21">
        <v>174508.36</v>
      </c>
    </row>
    <row r="734" spans="1:18" ht="15.75" thickBot="1" x14ac:dyDescent="0.3">
      <c r="A734" s="21" t="s">
        <v>131</v>
      </c>
      <c r="B734" s="22" t="s">
        <v>99</v>
      </c>
      <c r="C734" s="22" t="s">
        <v>101</v>
      </c>
      <c r="D734" s="22">
        <v>640</v>
      </c>
      <c r="E734" s="22">
        <v>22</v>
      </c>
      <c r="F734" s="21">
        <f t="shared" si="37"/>
        <v>149411.84</v>
      </c>
      <c r="G734" s="21">
        <f t="shared" si="38"/>
        <v>22411.775999999998</v>
      </c>
      <c r="H734" s="21">
        <v>70000</v>
      </c>
      <c r="I734" s="21">
        <v>15000</v>
      </c>
      <c r="J734" s="21">
        <v>15000</v>
      </c>
      <c r="K734" s="26">
        <v>120000</v>
      </c>
      <c r="L734" s="21">
        <f>SUM(F734:K734)</f>
        <v>391823.61599999998</v>
      </c>
      <c r="M734" s="21">
        <v>24906.953728</v>
      </c>
      <c r="N734" s="21">
        <v>0</v>
      </c>
      <c r="O734" s="21">
        <v>12446.006271999999</v>
      </c>
      <c r="P734" s="21">
        <f t="shared" si="40"/>
        <v>4482.3552</v>
      </c>
      <c r="Q734" s="21">
        <f t="shared" si="39"/>
        <v>374895.25452799996</v>
      </c>
      <c r="R734" s="21">
        <v>171823.61599999998</v>
      </c>
    </row>
    <row r="735" spans="1:18" ht="15.75" thickBot="1" x14ac:dyDescent="0.3">
      <c r="A735" s="21" t="s">
        <v>131</v>
      </c>
      <c r="B735" s="22" t="s">
        <v>99</v>
      </c>
      <c r="C735" s="22" t="s">
        <v>101</v>
      </c>
      <c r="D735" s="22">
        <v>625</v>
      </c>
      <c r="E735" s="22">
        <v>21</v>
      </c>
      <c r="F735" s="21">
        <f t="shared" si="37"/>
        <v>145910</v>
      </c>
      <c r="G735" s="21">
        <f t="shared" si="38"/>
        <v>21886.5</v>
      </c>
      <c r="H735" s="21">
        <v>70000</v>
      </c>
      <c r="I735" s="21">
        <v>15000</v>
      </c>
      <c r="J735" s="21">
        <v>15000</v>
      </c>
      <c r="K735" s="26">
        <v>120000</v>
      </c>
      <c r="L735" s="21">
        <f>SUM(F735:K735)</f>
        <v>387796.5</v>
      </c>
      <c r="M735" s="21">
        <v>24323.197000000004</v>
      </c>
      <c r="N735" s="21">
        <v>0</v>
      </c>
      <c r="O735" s="21">
        <v>12154.303</v>
      </c>
      <c r="P735" s="21">
        <f t="shared" si="40"/>
        <v>4377.3</v>
      </c>
      <c r="Q735" s="21">
        <f t="shared" si="39"/>
        <v>371264.897</v>
      </c>
      <c r="R735" s="21">
        <v>167796.5</v>
      </c>
    </row>
    <row r="736" spans="1:18" ht="15.75" thickBot="1" x14ac:dyDescent="0.3">
      <c r="A736" s="21" t="s">
        <v>131</v>
      </c>
      <c r="B736" s="22" t="s">
        <v>99</v>
      </c>
      <c r="C736" s="22" t="s">
        <v>101</v>
      </c>
      <c r="D736" s="22">
        <v>580</v>
      </c>
      <c r="E736" s="22">
        <v>33</v>
      </c>
      <c r="F736" s="21">
        <f t="shared" si="37"/>
        <v>135404.47999999998</v>
      </c>
      <c r="G736" s="21">
        <f t="shared" si="38"/>
        <v>20310.671999999995</v>
      </c>
      <c r="H736" s="21">
        <v>70000</v>
      </c>
      <c r="I736" s="21">
        <v>15000</v>
      </c>
      <c r="J736" s="21">
        <v>15000</v>
      </c>
      <c r="K736" s="26">
        <v>120000</v>
      </c>
      <c r="L736" s="21">
        <f>SUM(F736:K736)</f>
        <v>375715.152</v>
      </c>
      <c r="M736" s="21">
        <v>22571.926815999999</v>
      </c>
      <c r="N736" s="21">
        <v>0</v>
      </c>
      <c r="O736" s="21">
        <v>11279.193183999998</v>
      </c>
      <c r="P736" s="21">
        <f t="shared" si="40"/>
        <v>4062.1343999999995</v>
      </c>
      <c r="Q736" s="21">
        <f t="shared" si="39"/>
        <v>360373.82441599999</v>
      </c>
      <c r="R736" s="21">
        <v>155715.15199999997</v>
      </c>
    </row>
    <row r="737" spans="1:18" ht="15.75" thickBot="1" x14ac:dyDescent="0.3">
      <c r="A737" s="21" t="s">
        <v>131</v>
      </c>
      <c r="B737" s="22" t="s">
        <v>99</v>
      </c>
      <c r="C737" s="22" t="s">
        <v>101</v>
      </c>
      <c r="D737" s="22">
        <v>570</v>
      </c>
      <c r="E737" s="22">
        <v>32</v>
      </c>
      <c r="F737" s="21">
        <f t="shared" si="37"/>
        <v>133069.91999999998</v>
      </c>
      <c r="G737" s="21">
        <f t="shared" si="38"/>
        <v>19960.487999999998</v>
      </c>
      <c r="H737" s="21">
        <v>70000</v>
      </c>
      <c r="I737" s="21">
        <v>15000</v>
      </c>
      <c r="J737" s="21">
        <v>15000</v>
      </c>
      <c r="K737" s="26">
        <v>120000</v>
      </c>
      <c r="L737" s="21">
        <f>SUM(F737:K737)</f>
        <v>373030.408</v>
      </c>
      <c r="M737" s="21">
        <v>22182.755664</v>
      </c>
      <c r="N737" s="21">
        <v>0</v>
      </c>
      <c r="O737" s="21">
        <v>11084.724335999999</v>
      </c>
      <c r="P737" s="21">
        <f t="shared" si="40"/>
        <v>3992.0975999999991</v>
      </c>
      <c r="Q737" s="21">
        <f t="shared" si="39"/>
        <v>357953.58606399997</v>
      </c>
      <c r="R737" s="21">
        <v>153030.408</v>
      </c>
    </row>
    <row r="738" spans="1:18" ht="15.75" thickBot="1" x14ac:dyDescent="0.3">
      <c r="A738" s="21" t="s">
        <v>131</v>
      </c>
      <c r="B738" s="22" t="s">
        <v>99</v>
      </c>
      <c r="C738" s="22" t="s">
        <v>101</v>
      </c>
      <c r="D738" s="22">
        <v>550</v>
      </c>
      <c r="E738" s="22">
        <v>31</v>
      </c>
      <c r="F738" s="21">
        <f t="shared" si="37"/>
        <v>128400.79999999999</v>
      </c>
      <c r="G738" s="21">
        <f t="shared" si="38"/>
        <v>19260.12</v>
      </c>
      <c r="H738" s="21">
        <v>70000</v>
      </c>
      <c r="I738" s="21">
        <v>15000</v>
      </c>
      <c r="J738" s="21">
        <v>15000</v>
      </c>
      <c r="K738" s="26">
        <v>120000</v>
      </c>
      <c r="L738" s="21">
        <f>SUM(F738:K738)</f>
        <v>367660.92</v>
      </c>
      <c r="M738" s="21">
        <v>21404.413359999999</v>
      </c>
      <c r="N738" s="21">
        <v>0</v>
      </c>
      <c r="O738" s="21">
        <v>10695.786639999998</v>
      </c>
      <c r="P738" s="21">
        <f t="shared" si="40"/>
        <v>3852.0239999999994</v>
      </c>
      <c r="Q738" s="21">
        <f t="shared" si="39"/>
        <v>353113.10936</v>
      </c>
      <c r="R738" s="21">
        <v>147660.91999999998</v>
      </c>
    </row>
    <row r="739" spans="1:18" ht="15.75" thickBot="1" x14ac:dyDescent="0.3">
      <c r="A739" s="21" t="s">
        <v>131</v>
      </c>
      <c r="B739" s="22" t="s">
        <v>99</v>
      </c>
      <c r="C739" s="22" t="s">
        <v>101</v>
      </c>
      <c r="D739" s="22">
        <v>515</v>
      </c>
      <c r="E739" s="22">
        <v>44</v>
      </c>
      <c r="F739" s="21">
        <f t="shared" si="37"/>
        <v>120229.84</v>
      </c>
      <c r="G739" s="21">
        <f t="shared" si="38"/>
        <v>18034.475999999999</v>
      </c>
      <c r="H739" s="21">
        <v>70000</v>
      </c>
      <c r="I739" s="21">
        <v>15000</v>
      </c>
      <c r="J739" s="21">
        <v>15000</v>
      </c>
      <c r="K739" s="26">
        <v>120000</v>
      </c>
      <c r="L739" s="21">
        <f>SUM(F739:K739)</f>
        <v>358264.31599999999</v>
      </c>
      <c r="M739" s="21">
        <v>20042.314328</v>
      </c>
      <c r="N739" s="21">
        <v>0</v>
      </c>
      <c r="O739" s="21">
        <v>10015.145671999999</v>
      </c>
      <c r="P739" s="21">
        <f t="shared" si="40"/>
        <v>3606.8951999999999</v>
      </c>
      <c r="Q739" s="21">
        <f t="shared" si="39"/>
        <v>344642.27512800001</v>
      </c>
      <c r="R739" s="21">
        <v>138264.31599999999</v>
      </c>
    </row>
    <row r="740" spans="1:18" ht="15.75" thickBot="1" x14ac:dyDescent="0.3">
      <c r="A740" s="21" t="s">
        <v>131</v>
      </c>
      <c r="B740" s="22" t="s">
        <v>99</v>
      </c>
      <c r="C740" s="22" t="s">
        <v>101</v>
      </c>
      <c r="D740" s="22">
        <v>495</v>
      </c>
      <c r="E740" s="22">
        <v>43</v>
      </c>
      <c r="F740" s="21">
        <f t="shared" si="37"/>
        <v>115560.72</v>
      </c>
      <c r="G740" s="21">
        <f t="shared" si="38"/>
        <v>17334.108</v>
      </c>
      <c r="H740" s="21">
        <v>70000</v>
      </c>
      <c r="I740" s="21">
        <v>15000</v>
      </c>
      <c r="J740" s="21">
        <v>15000</v>
      </c>
      <c r="K740" s="26">
        <v>120000</v>
      </c>
      <c r="L740" s="21">
        <f>SUM(F740:K740)</f>
        <v>352894.82799999998</v>
      </c>
      <c r="M740" s="21">
        <v>19263.972024000002</v>
      </c>
      <c r="N740" s="21">
        <v>0</v>
      </c>
      <c r="O740" s="21">
        <v>9626.2079759999997</v>
      </c>
      <c r="P740" s="21">
        <f t="shared" si="40"/>
        <v>3466.8215999999998</v>
      </c>
      <c r="Q740" s="21">
        <f t="shared" si="39"/>
        <v>339801.79842399998</v>
      </c>
      <c r="R740" s="21">
        <v>132894.82800000001</v>
      </c>
    </row>
    <row r="741" spans="1:18" ht="15.75" thickBot="1" x14ac:dyDescent="0.3">
      <c r="A741" s="21" t="s">
        <v>131</v>
      </c>
      <c r="B741" s="22" t="s">
        <v>99</v>
      </c>
      <c r="C741" s="22" t="s">
        <v>101</v>
      </c>
      <c r="D741" s="22">
        <v>485</v>
      </c>
      <c r="E741" s="22">
        <v>42</v>
      </c>
      <c r="F741" s="21">
        <f t="shared" si="37"/>
        <v>113226.15999999999</v>
      </c>
      <c r="G741" s="21">
        <f t="shared" si="38"/>
        <v>16983.923999999999</v>
      </c>
      <c r="H741" s="21">
        <v>70000</v>
      </c>
      <c r="I741" s="21">
        <v>15000</v>
      </c>
      <c r="J741" s="21">
        <v>15000</v>
      </c>
      <c r="K741" s="26">
        <v>120000</v>
      </c>
      <c r="L741" s="21">
        <f>SUM(F741:K741)</f>
        <v>350210.08399999997</v>
      </c>
      <c r="M741" s="21">
        <v>18874.800872</v>
      </c>
      <c r="N741" s="21">
        <v>0</v>
      </c>
      <c r="O741" s="21">
        <v>9431.7391279999993</v>
      </c>
      <c r="P741" s="21">
        <f t="shared" si="40"/>
        <v>3396.7847999999994</v>
      </c>
      <c r="Q741" s="21">
        <f t="shared" si="39"/>
        <v>337381.56007199996</v>
      </c>
      <c r="R741" s="21">
        <v>130210.08399999999</v>
      </c>
    </row>
    <row r="742" spans="1:18" ht="15.75" thickBot="1" x14ac:dyDescent="0.3">
      <c r="A742" s="21" t="s">
        <v>131</v>
      </c>
      <c r="B742" s="22" t="s">
        <v>99</v>
      </c>
      <c r="C742" s="22" t="s">
        <v>101</v>
      </c>
      <c r="D742" s="22">
        <v>475</v>
      </c>
      <c r="E742" s="22">
        <v>41</v>
      </c>
      <c r="F742" s="21">
        <f t="shared" si="37"/>
        <v>110891.59999999999</v>
      </c>
      <c r="G742" s="21">
        <f t="shared" si="38"/>
        <v>16633.739999999998</v>
      </c>
      <c r="H742" s="21">
        <v>70000</v>
      </c>
      <c r="I742" s="21">
        <v>15000</v>
      </c>
      <c r="J742" s="21">
        <v>15000</v>
      </c>
      <c r="K742" s="26">
        <v>120000</v>
      </c>
      <c r="L742" s="21">
        <f>SUM(F742:K742)</f>
        <v>347525.33999999997</v>
      </c>
      <c r="M742" s="21">
        <v>18485.629720000001</v>
      </c>
      <c r="N742" s="21">
        <v>0</v>
      </c>
      <c r="O742" s="21">
        <v>9237.2702799999988</v>
      </c>
      <c r="P742" s="21">
        <f t="shared" si="40"/>
        <v>3326.7479999999996</v>
      </c>
      <c r="Q742" s="21">
        <f t="shared" si="39"/>
        <v>334961.32171999995</v>
      </c>
      <c r="R742" s="21">
        <v>127525.34</v>
      </c>
    </row>
    <row r="743" spans="1:18" ht="15.75" thickBot="1" x14ac:dyDescent="0.3">
      <c r="A743" s="21" t="s">
        <v>131</v>
      </c>
      <c r="B743" s="22" t="s">
        <v>99</v>
      </c>
      <c r="C743" s="22" t="s">
        <v>102</v>
      </c>
      <c r="D743" s="22">
        <v>640</v>
      </c>
      <c r="E743" s="22">
        <v>13</v>
      </c>
      <c r="F743" s="21">
        <f t="shared" si="37"/>
        <v>149411.84</v>
      </c>
      <c r="G743" s="21">
        <f t="shared" si="38"/>
        <v>22411.775999999998</v>
      </c>
      <c r="H743" s="21">
        <v>70000</v>
      </c>
      <c r="I743" s="21">
        <v>15000</v>
      </c>
      <c r="J743" s="21">
        <v>15000</v>
      </c>
      <c r="K743" s="26">
        <v>120000</v>
      </c>
      <c r="L743" s="21">
        <f>SUM(F743:K743)</f>
        <v>391823.61599999998</v>
      </c>
      <c r="M743" s="21">
        <v>24906.953728</v>
      </c>
      <c r="N743" s="21">
        <v>0</v>
      </c>
      <c r="O743" s="21">
        <v>12446.006271999999</v>
      </c>
      <c r="P743" s="21">
        <f t="shared" si="40"/>
        <v>4482.3552</v>
      </c>
      <c r="Q743" s="21">
        <f t="shared" si="39"/>
        <v>374895.25452799996</v>
      </c>
      <c r="R743" s="21">
        <v>171823.61599999998</v>
      </c>
    </row>
    <row r="744" spans="1:18" ht="15.75" thickBot="1" x14ac:dyDescent="0.3">
      <c r="A744" s="21" t="s">
        <v>131</v>
      </c>
      <c r="B744" s="22" t="s">
        <v>99</v>
      </c>
      <c r="C744" s="22" t="s">
        <v>102</v>
      </c>
      <c r="D744" s="22">
        <v>625</v>
      </c>
      <c r="E744" s="22">
        <v>12</v>
      </c>
      <c r="F744" s="21">
        <f t="shared" si="37"/>
        <v>145910</v>
      </c>
      <c r="G744" s="21">
        <f t="shared" si="38"/>
        <v>21886.5</v>
      </c>
      <c r="H744" s="21">
        <v>70000</v>
      </c>
      <c r="I744" s="21">
        <v>15000</v>
      </c>
      <c r="J744" s="21">
        <v>15000</v>
      </c>
      <c r="K744" s="26">
        <v>120000</v>
      </c>
      <c r="L744" s="21">
        <f>SUM(F744:K744)</f>
        <v>387796.5</v>
      </c>
      <c r="M744" s="21">
        <v>24323.197000000004</v>
      </c>
      <c r="N744" s="21">
        <v>0</v>
      </c>
      <c r="O744" s="21">
        <v>12154.303</v>
      </c>
      <c r="P744" s="21">
        <f t="shared" si="40"/>
        <v>4377.3</v>
      </c>
      <c r="Q744" s="21">
        <f t="shared" si="39"/>
        <v>371264.897</v>
      </c>
      <c r="R744" s="21">
        <v>167796.5</v>
      </c>
    </row>
    <row r="745" spans="1:18" ht="15.75" thickBot="1" x14ac:dyDescent="0.3">
      <c r="A745" s="21" t="s">
        <v>131</v>
      </c>
      <c r="B745" s="22" t="s">
        <v>99</v>
      </c>
      <c r="C745" s="22" t="s">
        <v>102</v>
      </c>
      <c r="D745" s="22">
        <v>610</v>
      </c>
      <c r="E745" s="22">
        <v>11</v>
      </c>
      <c r="F745" s="21">
        <f t="shared" si="37"/>
        <v>142408.16</v>
      </c>
      <c r="G745" s="21">
        <f t="shared" si="38"/>
        <v>21361.223999999998</v>
      </c>
      <c r="H745" s="21">
        <v>70000</v>
      </c>
      <c r="I745" s="21">
        <v>15000</v>
      </c>
      <c r="J745" s="21">
        <v>15000</v>
      </c>
      <c r="K745" s="26">
        <v>120000</v>
      </c>
      <c r="L745" s="21">
        <f>SUM(F745:K745)</f>
        <v>383769.38399999996</v>
      </c>
      <c r="M745" s="21">
        <v>23739.440272000003</v>
      </c>
      <c r="N745" s="21">
        <v>0</v>
      </c>
      <c r="O745" s="21">
        <v>11862.599728000001</v>
      </c>
      <c r="P745" s="21">
        <f t="shared" si="40"/>
        <v>4272.2448000000004</v>
      </c>
      <c r="Q745" s="21">
        <f t="shared" si="39"/>
        <v>367634.53947199997</v>
      </c>
      <c r="R745" s="21">
        <v>163769.38399999999</v>
      </c>
    </row>
    <row r="746" spans="1:18" ht="15.75" thickBot="1" x14ac:dyDescent="0.3">
      <c r="A746" s="21" t="s">
        <v>131</v>
      </c>
      <c r="B746" s="22" t="s">
        <v>99</v>
      </c>
      <c r="C746" s="22" t="s">
        <v>102</v>
      </c>
      <c r="D746" s="22">
        <v>600</v>
      </c>
      <c r="E746" s="22">
        <v>23</v>
      </c>
      <c r="F746" s="21">
        <f t="shared" si="37"/>
        <v>140073.60000000001</v>
      </c>
      <c r="G746" s="21">
        <f t="shared" si="38"/>
        <v>21011.040000000001</v>
      </c>
      <c r="H746" s="21">
        <v>70000</v>
      </c>
      <c r="I746" s="21">
        <v>15000</v>
      </c>
      <c r="J746" s="21">
        <v>15000</v>
      </c>
      <c r="K746" s="26">
        <v>120000</v>
      </c>
      <c r="L746" s="21">
        <f>SUM(F746:K746)</f>
        <v>381084.64</v>
      </c>
      <c r="M746" s="21">
        <v>23350.269120000004</v>
      </c>
      <c r="N746" s="21">
        <v>0</v>
      </c>
      <c r="O746" s="21">
        <v>11668.130880000001</v>
      </c>
      <c r="P746" s="21">
        <f t="shared" si="40"/>
        <v>4202.2079999999996</v>
      </c>
      <c r="Q746" s="21">
        <f t="shared" si="39"/>
        <v>365214.30112000002</v>
      </c>
      <c r="R746" s="21">
        <v>161084.64000000001</v>
      </c>
    </row>
    <row r="747" spans="1:18" ht="15.75" thickBot="1" x14ac:dyDescent="0.3">
      <c r="A747" s="21" t="s">
        <v>131</v>
      </c>
      <c r="B747" s="22" t="s">
        <v>99</v>
      </c>
      <c r="C747" s="22" t="s">
        <v>102</v>
      </c>
      <c r="D747" s="22">
        <v>590</v>
      </c>
      <c r="E747" s="22">
        <v>22</v>
      </c>
      <c r="F747" s="21">
        <f t="shared" si="37"/>
        <v>137739.03999999998</v>
      </c>
      <c r="G747" s="21">
        <f t="shared" si="38"/>
        <v>20660.855999999996</v>
      </c>
      <c r="H747" s="21">
        <v>70000</v>
      </c>
      <c r="I747" s="21">
        <v>15000</v>
      </c>
      <c r="J747" s="21">
        <v>15000</v>
      </c>
      <c r="K747" s="26">
        <v>120000</v>
      </c>
      <c r="L747" s="21">
        <f>SUM(F747:K747)</f>
        <v>378399.89599999995</v>
      </c>
      <c r="M747" s="21">
        <v>22961.097967999998</v>
      </c>
      <c r="N747" s="21">
        <v>0</v>
      </c>
      <c r="O747" s="21">
        <v>11473.662031999998</v>
      </c>
      <c r="P747" s="21">
        <f t="shared" si="40"/>
        <v>4132.1711999999989</v>
      </c>
      <c r="Q747" s="21">
        <f t="shared" si="39"/>
        <v>362794.06276799995</v>
      </c>
      <c r="R747" s="21">
        <v>158399.89599999998</v>
      </c>
    </row>
    <row r="748" spans="1:18" ht="15.75" thickBot="1" x14ac:dyDescent="0.3">
      <c r="A748" s="21" t="s">
        <v>131</v>
      </c>
      <c r="B748" s="22" t="s">
        <v>99</v>
      </c>
      <c r="C748" s="22" t="s">
        <v>102</v>
      </c>
      <c r="D748" s="22">
        <v>580</v>
      </c>
      <c r="E748" s="22">
        <v>21</v>
      </c>
      <c r="F748" s="21">
        <f t="shared" si="37"/>
        <v>135404.47999999998</v>
      </c>
      <c r="G748" s="21">
        <f t="shared" si="38"/>
        <v>20310.671999999995</v>
      </c>
      <c r="H748" s="21">
        <v>70000</v>
      </c>
      <c r="I748" s="21">
        <v>15000</v>
      </c>
      <c r="J748" s="21">
        <v>15000</v>
      </c>
      <c r="K748" s="26">
        <v>120000</v>
      </c>
      <c r="L748" s="21">
        <f>SUM(F748:K748)</f>
        <v>375715.152</v>
      </c>
      <c r="M748" s="21">
        <v>22571.926815999999</v>
      </c>
      <c r="N748" s="21">
        <v>0</v>
      </c>
      <c r="O748" s="21">
        <v>11279.193183999998</v>
      </c>
      <c r="P748" s="21">
        <f t="shared" si="40"/>
        <v>4062.1343999999995</v>
      </c>
      <c r="Q748" s="21">
        <f t="shared" si="39"/>
        <v>360373.82441599999</v>
      </c>
      <c r="R748" s="21">
        <v>155715.15199999997</v>
      </c>
    </row>
    <row r="749" spans="1:18" ht="15.75" thickBot="1" x14ac:dyDescent="0.3">
      <c r="A749" s="21" t="s">
        <v>131</v>
      </c>
      <c r="B749" s="22" t="s">
        <v>99</v>
      </c>
      <c r="C749" s="22" t="s">
        <v>102</v>
      </c>
      <c r="D749" s="22">
        <v>545</v>
      </c>
      <c r="E749" s="22">
        <v>33</v>
      </c>
      <c r="F749" s="21">
        <f t="shared" si="37"/>
        <v>127233.51999999999</v>
      </c>
      <c r="G749" s="21">
        <f t="shared" si="38"/>
        <v>19085.027999999998</v>
      </c>
      <c r="H749" s="21">
        <v>70000</v>
      </c>
      <c r="I749" s="21">
        <v>15000</v>
      </c>
      <c r="J749" s="21">
        <v>15000</v>
      </c>
      <c r="K749" s="26">
        <v>120000</v>
      </c>
      <c r="L749" s="21">
        <f>SUM(F749:K749)</f>
        <v>366318.54799999995</v>
      </c>
      <c r="M749" s="21">
        <v>21209.827784000001</v>
      </c>
      <c r="N749" s="21">
        <v>0</v>
      </c>
      <c r="O749" s="21">
        <v>10598.552215999998</v>
      </c>
      <c r="P749" s="21">
        <f t="shared" si="40"/>
        <v>3817.0055999999995</v>
      </c>
      <c r="Q749" s="21">
        <f t="shared" si="39"/>
        <v>351902.99018399994</v>
      </c>
      <c r="R749" s="21">
        <v>146318.54799999998</v>
      </c>
    </row>
    <row r="750" spans="1:18" ht="15.75" thickBot="1" x14ac:dyDescent="0.3">
      <c r="A750" s="21" t="s">
        <v>131</v>
      </c>
      <c r="B750" s="22" t="s">
        <v>99</v>
      </c>
      <c r="C750" s="22" t="s">
        <v>102</v>
      </c>
      <c r="D750" s="22">
        <v>525</v>
      </c>
      <c r="E750" s="22">
        <v>32</v>
      </c>
      <c r="F750" s="21">
        <f t="shared" si="37"/>
        <v>122564.4</v>
      </c>
      <c r="G750" s="21">
        <f t="shared" si="38"/>
        <v>18384.66</v>
      </c>
      <c r="H750" s="21">
        <v>70000</v>
      </c>
      <c r="I750" s="21">
        <v>15000</v>
      </c>
      <c r="J750" s="21">
        <v>15000</v>
      </c>
      <c r="K750" s="26">
        <v>120000</v>
      </c>
      <c r="L750" s="21">
        <f>SUM(F750:K750)</f>
        <v>360949.06</v>
      </c>
      <c r="M750" s="21">
        <v>20431.485479999999</v>
      </c>
      <c r="N750" s="21">
        <v>0</v>
      </c>
      <c r="O750" s="21">
        <v>10209.614519999999</v>
      </c>
      <c r="P750" s="21">
        <f t="shared" si="40"/>
        <v>3676.9319999999998</v>
      </c>
      <c r="Q750" s="21">
        <f t="shared" si="39"/>
        <v>347062.51348000002</v>
      </c>
      <c r="R750" s="21">
        <v>140949.06</v>
      </c>
    </row>
    <row r="751" spans="1:18" ht="15.75" thickBot="1" x14ac:dyDescent="0.3">
      <c r="A751" s="21" t="s">
        <v>131</v>
      </c>
      <c r="B751" s="22" t="s">
        <v>99</v>
      </c>
      <c r="C751" s="22" t="s">
        <v>102</v>
      </c>
      <c r="D751" s="22">
        <v>515</v>
      </c>
      <c r="E751" s="22">
        <v>31</v>
      </c>
      <c r="F751" s="21">
        <f t="shared" si="37"/>
        <v>120229.84</v>
      </c>
      <c r="G751" s="21">
        <f t="shared" si="38"/>
        <v>18034.475999999999</v>
      </c>
      <c r="H751" s="21">
        <v>70000</v>
      </c>
      <c r="I751" s="21">
        <v>15000</v>
      </c>
      <c r="J751" s="21">
        <v>15000</v>
      </c>
      <c r="K751" s="26">
        <v>120000</v>
      </c>
      <c r="L751" s="21">
        <f>SUM(F751:K751)</f>
        <v>358264.31599999999</v>
      </c>
      <c r="M751" s="21">
        <v>20042.314328</v>
      </c>
      <c r="N751" s="21">
        <v>0</v>
      </c>
      <c r="O751" s="21">
        <v>10015.145671999999</v>
      </c>
      <c r="P751" s="21">
        <f t="shared" si="40"/>
        <v>3606.8951999999999</v>
      </c>
      <c r="Q751" s="21">
        <f t="shared" si="39"/>
        <v>344642.27512800001</v>
      </c>
      <c r="R751" s="21">
        <v>138264.31599999999</v>
      </c>
    </row>
    <row r="752" spans="1:18" ht="15.75" thickBot="1" x14ac:dyDescent="0.3">
      <c r="A752" s="21" t="s">
        <v>131</v>
      </c>
      <c r="B752" s="22" t="s">
        <v>99</v>
      </c>
      <c r="C752" s="22" t="s">
        <v>102</v>
      </c>
      <c r="D752" s="22">
        <v>490</v>
      </c>
      <c r="E752" s="22">
        <v>44</v>
      </c>
      <c r="F752" s="21">
        <f t="shared" si="37"/>
        <v>114393.43999999999</v>
      </c>
      <c r="G752" s="21">
        <f t="shared" si="38"/>
        <v>17159.015999999996</v>
      </c>
      <c r="H752" s="21">
        <v>70000</v>
      </c>
      <c r="I752" s="21">
        <v>15000</v>
      </c>
      <c r="J752" s="21">
        <v>15000</v>
      </c>
      <c r="K752" s="26">
        <v>120000</v>
      </c>
      <c r="L752" s="21">
        <f>SUM(F752:K752)</f>
        <v>351552.45600000001</v>
      </c>
      <c r="M752" s="21">
        <v>19069.386448000001</v>
      </c>
      <c r="N752" s="21">
        <v>0</v>
      </c>
      <c r="O752" s="21">
        <v>9528.9735519999995</v>
      </c>
      <c r="P752" s="21">
        <f t="shared" si="40"/>
        <v>3431.8031999999994</v>
      </c>
      <c r="Q752" s="21">
        <f t="shared" si="39"/>
        <v>338591.67924800003</v>
      </c>
      <c r="R752" s="21">
        <v>131552.45599999998</v>
      </c>
    </row>
    <row r="753" spans="1:18" ht="15.75" thickBot="1" x14ac:dyDescent="0.3">
      <c r="A753" s="21" t="s">
        <v>131</v>
      </c>
      <c r="B753" s="22" t="s">
        <v>99</v>
      </c>
      <c r="C753" s="22" t="s">
        <v>102</v>
      </c>
      <c r="D753" s="22">
        <v>480</v>
      </c>
      <c r="E753" s="22">
        <v>43</v>
      </c>
      <c r="F753" s="21">
        <f t="shared" si="37"/>
        <v>112058.87999999999</v>
      </c>
      <c r="G753" s="21">
        <f t="shared" si="38"/>
        <v>16808.831999999999</v>
      </c>
      <c r="H753" s="21">
        <v>70000</v>
      </c>
      <c r="I753" s="21">
        <v>15000</v>
      </c>
      <c r="J753" s="21">
        <v>15000</v>
      </c>
      <c r="K753" s="26">
        <v>120000</v>
      </c>
      <c r="L753" s="21">
        <f>SUM(F753:K753)</f>
        <v>348867.712</v>
      </c>
      <c r="M753" s="21">
        <v>18680.215295999998</v>
      </c>
      <c r="N753" s="21">
        <v>0</v>
      </c>
      <c r="O753" s="21">
        <v>9334.504703999999</v>
      </c>
      <c r="P753" s="21">
        <f t="shared" si="40"/>
        <v>3361.7663999999995</v>
      </c>
      <c r="Q753" s="21">
        <f t="shared" si="39"/>
        <v>336171.44089600001</v>
      </c>
      <c r="R753" s="21">
        <v>128867.71199999998</v>
      </c>
    </row>
    <row r="754" spans="1:18" ht="15.75" thickBot="1" x14ac:dyDescent="0.3">
      <c r="A754" s="21" t="s">
        <v>131</v>
      </c>
      <c r="B754" s="22" t="s">
        <v>99</v>
      </c>
      <c r="C754" s="22" t="s">
        <v>102</v>
      </c>
      <c r="D754" s="22">
        <v>470</v>
      </c>
      <c r="E754" s="22">
        <v>42</v>
      </c>
      <c r="F754" s="21">
        <f t="shared" si="37"/>
        <v>109724.31999999999</v>
      </c>
      <c r="G754" s="21">
        <f t="shared" si="38"/>
        <v>16458.647999999997</v>
      </c>
      <c r="H754" s="21">
        <v>70000</v>
      </c>
      <c r="I754" s="21">
        <v>15000</v>
      </c>
      <c r="J754" s="21">
        <v>15000</v>
      </c>
      <c r="K754" s="26">
        <v>120000</v>
      </c>
      <c r="L754" s="21">
        <f>SUM(F754:K754)</f>
        <v>346182.96799999999</v>
      </c>
      <c r="M754" s="21">
        <v>18291.044144</v>
      </c>
      <c r="N754" s="21">
        <v>0</v>
      </c>
      <c r="O754" s="21">
        <v>9140.0358559999986</v>
      </c>
      <c r="P754" s="21">
        <f t="shared" si="40"/>
        <v>3291.7295999999997</v>
      </c>
      <c r="Q754" s="21">
        <f t="shared" si="39"/>
        <v>333751.202544</v>
      </c>
      <c r="R754" s="21">
        <v>126182.96799999999</v>
      </c>
    </row>
    <row r="755" spans="1:18" ht="15.75" thickBot="1" x14ac:dyDescent="0.3">
      <c r="A755" s="21" t="s">
        <v>131</v>
      </c>
      <c r="B755" s="22" t="s">
        <v>99</v>
      </c>
      <c r="C755" s="22" t="s">
        <v>102</v>
      </c>
      <c r="D755" s="22">
        <v>460</v>
      </c>
      <c r="E755" s="22">
        <v>41</v>
      </c>
      <c r="F755" s="21">
        <f t="shared" si="37"/>
        <v>107389.75999999999</v>
      </c>
      <c r="G755" s="21">
        <f t="shared" si="38"/>
        <v>16108.463999999998</v>
      </c>
      <c r="H755" s="21">
        <v>70000</v>
      </c>
      <c r="I755" s="21">
        <v>15000</v>
      </c>
      <c r="J755" s="21">
        <v>15000</v>
      </c>
      <c r="K755" s="26">
        <v>120000</v>
      </c>
      <c r="L755" s="21">
        <f>SUM(F755:K755)</f>
        <v>343498.22399999999</v>
      </c>
      <c r="M755" s="21">
        <v>17901.872992000001</v>
      </c>
      <c r="N755" s="21">
        <v>0</v>
      </c>
      <c r="O755" s="21">
        <v>8945.567008</v>
      </c>
      <c r="P755" s="21">
        <f t="shared" si="40"/>
        <v>3221.6927999999998</v>
      </c>
      <c r="Q755" s="21">
        <f t="shared" si="39"/>
        <v>331330.96419199998</v>
      </c>
      <c r="R755" s="21">
        <v>123498.22399999999</v>
      </c>
    </row>
  </sheetData>
  <autoFilter ref="A1:R755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CE0C-25B0-4F12-A939-D0F35AE33FDA}">
  <dimension ref="B1:E22"/>
  <sheetViews>
    <sheetView workbookViewId="0">
      <selection activeCell="C25" sqref="C25"/>
    </sheetView>
  </sheetViews>
  <sheetFormatPr baseColWidth="10" defaultRowHeight="15" x14ac:dyDescent="0.25"/>
  <cols>
    <col min="2" max="2" width="24.28515625" customWidth="1"/>
    <col min="3" max="3" width="23" customWidth="1"/>
    <col min="4" max="4" width="29.28515625" customWidth="1"/>
    <col min="5" max="5" width="26.140625" customWidth="1"/>
  </cols>
  <sheetData>
    <row r="1" spans="2:5" ht="15.75" thickBot="1" x14ac:dyDescent="0.3">
      <c r="B1" s="28" t="s">
        <v>133</v>
      </c>
      <c r="C1" s="28"/>
      <c r="D1" s="28"/>
      <c r="E1" s="28"/>
    </row>
    <row r="2" spans="2:5" ht="15.75" thickBot="1" x14ac:dyDescent="0.3">
      <c r="B2" s="1" t="s">
        <v>0</v>
      </c>
      <c r="C2" s="2" t="s">
        <v>69</v>
      </c>
      <c r="D2" s="2" t="s">
        <v>132</v>
      </c>
      <c r="E2" s="2" t="s">
        <v>70</v>
      </c>
    </row>
    <row r="3" spans="2:5" ht="30.75" thickBot="1" x14ac:dyDescent="0.3">
      <c r="B3" s="3" t="s">
        <v>1</v>
      </c>
      <c r="C3" s="4" t="s">
        <v>2</v>
      </c>
      <c r="D3" s="4" t="s">
        <v>3</v>
      </c>
      <c r="E3" s="4" t="s">
        <v>4</v>
      </c>
    </row>
    <row r="4" spans="2:5" ht="15.75" thickBot="1" x14ac:dyDescent="0.3">
      <c r="B4" s="5" t="s">
        <v>5</v>
      </c>
      <c r="C4" s="6" t="s">
        <v>6</v>
      </c>
      <c r="D4" s="6" t="s">
        <v>7</v>
      </c>
      <c r="E4" s="6" t="s">
        <v>8</v>
      </c>
    </row>
    <row r="5" spans="2:5" ht="15.75" thickBot="1" x14ac:dyDescent="0.3">
      <c r="B5" s="7" t="s">
        <v>9</v>
      </c>
      <c r="C5" s="8" t="s">
        <v>6</v>
      </c>
      <c r="D5" s="8" t="s">
        <v>10</v>
      </c>
      <c r="E5" s="8" t="s">
        <v>11</v>
      </c>
    </row>
    <row r="6" spans="2:5" ht="15.75" thickBot="1" x14ac:dyDescent="0.3">
      <c r="B6" s="7" t="s">
        <v>12</v>
      </c>
      <c r="C6" s="8" t="s">
        <v>13</v>
      </c>
      <c r="D6" s="8" t="s">
        <v>14</v>
      </c>
      <c r="E6" s="8" t="s">
        <v>15</v>
      </c>
    </row>
    <row r="7" spans="2:5" ht="15.75" thickBot="1" x14ac:dyDescent="0.3">
      <c r="B7" s="7" t="s">
        <v>16</v>
      </c>
      <c r="C7" s="8" t="s">
        <v>17</v>
      </c>
      <c r="D7" s="8" t="s">
        <v>18</v>
      </c>
      <c r="E7" s="8" t="s">
        <v>8</v>
      </c>
    </row>
    <row r="8" spans="2:5" ht="15.75" thickBot="1" x14ac:dyDescent="0.3">
      <c r="B8" s="9" t="s">
        <v>19</v>
      </c>
      <c r="C8" s="10" t="s">
        <v>20</v>
      </c>
      <c r="D8" s="10" t="s">
        <v>21</v>
      </c>
      <c r="E8" s="10" t="s">
        <v>22</v>
      </c>
    </row>
    <row r="9" spans="2:5" ht="15.75" thickBot="1" x14ac:dyDescent="0.3">
      <c r="B9" s="7" t="s">
        <v>23</v>
      </c>
      <c r="C9" s="8" t="s">
        <v>24</v>
      </c>
      <c r="D9" s="8" t="s">
        <v>25</v>
      </c>
      <c r="E9" s="8" t="s">
        <v>22</v>
      </c>
    </row>
    <row r="10" spans="2:5" ht="15.75" thickBot="1" x14ac:dyDescent="0.3">
      <c r="B10" s="7" t="s">
        <v>26</v>
      </c>
      <c r="C10" s="8" t="s">
        <v>20</v>
      </c>
      <c r="D10" s="8" t="s">
        <v>27</v>
      </c>
      <c r="E10" s="8" t="s">
        <v>28</v>
      </c>
    </row>
    <row r="11" spans="2:5" ht="15.75" thickBot="1" x14ac:dyDescent="0.3">
      <c r="B11" s="9" t="s">
        <v>29</v>
      </c>
      <c r="C11" s="10" t="s">
        <v>30</v>
      </c>
      <c r="D11" s="10" t="s">
        <v>31</v>
      </c>
      <c r="E11" s="10" t="s">
        <v>32</v>
      </c>
    </row>
    <row r="12" spans="2:5" ht="15.75" thickBot="1" x14ac:dyDescent="0.3">
      <c r="B12" s="7" t="s">
        <v>33</v>
      </c>
      <c r="C12" s="8" t="s">
        <v>34</v>
      </c>
      <c r="D12" s="8" t="s">
        <v>35</v>
      </c>
      <c r="E12" s="8" t="s">
        <v>32</v>
      </c>
    </row>
    <row r="13" spans="2:5" ht="15.75" thickBot="1" x14ac:dyDescent="0.3">
      <c r="B13" s="7" t="s">
        <v>36</v>
      </c>
      <c r="C13" s="8" t="s">
        <v>37</v>
      </c>
      <c r="D13" s="8" t="s">
        <v>38</v>
      </c>
      <c r="E13" s="8" t="s">
        <v>39</v>
      </c>
    </row>
    <row r="14" spans="2:5" ht="15.75" thickBot="1" x14ac:dyDescent="0.3">
      <c r="B14" s="7" t="s">
        <v>40</v>
      </c>
      <c r="C14" s="8" t="s">
        <v>41</v>
      </c>
      <c r="D14" s="8" t="s">
        <v>42</v>
      </c>
      <c r="E14" s="8" t="s">
        <v>43</v>
      </c>
    </row>
    <row r="15" spans="2:5" ht="15.75" thickBot="1" x14ac:dyDescent="0.3">
      <c r="B15" s="7" t="s">
        <v>44</v>
      </c>
      <c r="C15" s="8" t="s">
        <v>30</v>
      </c>
      <c r="D15" s="8" t="s">
        <v>45</v>
      </c>
      <c r="E15" s="8" t="s">
        <v>46</v>
      </c>
    </row>
    <row r="16" spans="2:5" ht="15.75" thickBot="1" x14ac:dyDescent="0.3">
      <c r="B16" s="9" t="s">
        <v>47</v>
      </c>
      <c r="C16" s="10" t="s">
        <v>48</v>
      </c>
      <c r="D16" s="10" t="s">
        <v>49</v>
      </c>
      <c r="E16" s="10" t="s">
        <v>50</v>
      </c>
    </row>
    <row r="17" spans="2:5" ht="15.75" thickBot="1" x14ac:dyDescent="0.3">
      <c r="B17" s="7" t="s">
        <v>51</v>
      </c>
      <c r="C17" s="8" t="s">
        <v>52</v>
      </c>
      <c r="D17" s="8" t="s">
        <v>53</v>
      </c>
      <c r="E17" s="8" t="s">
        <v>50</v>
      </c>
    </row>
    <row r="18" spans="2:5" ht="15.75" thickBot="1" x14ac:dyDescent="0.3">
      <c r="B18" s="11" t="s">
        <v>51</v>
      </c>
      <c r="C18" s="8" t="s">
        <v>54</v>
      </c>
      <c r="D18" s="8" t="s">
        <v>55</v>
      </c>
      <c r="E18" s="8" t="s">
        <v>50</v>
      </c>
    </row>
    <row r="19" spans="2:5" ht="15.75" thickBot="1" x14ac:dyDescent="0.3">
      <c r="B19" s="12" t="s">
        <v>56</v>
      </c>
      <c r="C19" s="8" t="s">
        <v>52</v>
      </c>
      <c r="D19" s="8" t="s">
        <v>57</v>
      </c>
      <c r="E19" s="8" t="s">
        <v>58</v>
      </c>
    </row>
    <row r="20" spans="2:5" ht="15.75" thickBot="1" x14ac:dyDescent="0.3">
      <c r="B20" s="7" t="s">
        <v>59</v>
      </c>
      <c r="C20" s="8" t="s">
        <v>54</v>
      </c>
      <c r="D20" s="8" t="s">
        <v>60</v>
      </c>
      <c r="E20" s="8" t="s">
        <v>61</v>
      </c>
    </row>
    <row r="21" spans="2:5" ht="15.75" thickBot="1" x14ac:dyDescent="0.3">
      <c r="B21" s="7" t="s">
        <v>62</v>
      </c>
      <c r="C21" s="8" t="s">
        <v>63</v>
      </c>
      <c r="D21" s="8" t="s">
        <v>64</v>
      </c>
      <c r="E21" s="8" t="s">
        <v>65</v>
      </c>
    </row>
    <row r="22" spans="2:5" ht="15.75" thickBot="1" x14ac:dyDescent="0.3">
      <c r="B22" s="13" t="s">
        <v>66</v>
      </c>
      <c r="C22" s="14" t="s">
        <v>48</v>
      </c>
      <c r="D22" s="14" t="s">
        <v>67</v>
      </c>
      <c r="E22" s="14" t="s">
        <v>68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SALAIRE BRUT</vt:lpstr>
      <vt:lpstr>EXEMPLE _STATISTIQUE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Kimou Sandrine Prisca (430789C)</dc:creator>
  <cp:lastModifiedBy>Kimou Sandrine Prisca (430789C)</cp:lastModifiedBy>
  <dcterms:created xsi:type="dcterms:W3CDTF">2026-01-30T11:41:18Z</dcterms:created>
  <dcterms:modified xsi:type="dcterms:W3CDTF">2026-01-30T17:00:11Z</dcterms:modified>
</cp:coreProperties>
</file>